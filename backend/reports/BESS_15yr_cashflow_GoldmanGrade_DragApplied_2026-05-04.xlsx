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Inputs_and_Assumptions" sheetId="2" state="visible" r:id="rId2"/>
    <sheet xmlns:r="http://schemas.openxmlformats.org/officeDocument/2006/relationships" name="Scenario_A_Current" sheetId="3" state="visible" r:id="rId3"/>
    <sheet xmlns:r="http://schemas.openxmlformats.org/officeDocument/2006/relationships" name="Realistic_A_Current" sheetId="4" state="visible" r:id="rId4"/>
    <sheet xmlns:r="http://schemas.openxmlformats.org/officeDocument/2006/relationships" name="Scenario_B_PICASSO" sheetId="5" state="visible" r:id="rId5"/>
    <sheet xmlns:r="http://schemas.openxmlformats.org/officeDocument/2006/relationships" name="Realistic_B_PICASSO" sheetId="6" state="visible" r:id="rId6"/>
    <sheet xmlns:r="http://schemas.openxmlformats.org/officeDocument/2006/relationships" name="Scenario_C_Mature" sheetId="7" state="visible" r:id="rId7"/>
    <sheet xmlns:r="http://schemas.openxmlformats.org/officeDocument/2006/relationships" name="Realistic_C_Mature" sheetId="8" state="visible" r:id="rId8"/>
    <sheet xmlns:r="http://schemas.openxmlformats.org/officeDocument/2006/relationships" name="Scenario_D_Bear" sheetId="9" state="visible" r:id="rId9"/>
    <sheet xmlns:r="http://schemas.openxmlformats.org/officeDocument/2006/relationships" name="Realistic_D_Bear" sheetId="10" state="visible" r:id="rId10"/>
    <sheet xmlns:r="http://schemas.openxmlformats.org/officeDocument/2006/relationships" name="Scenarios_Comparis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€&quot;#,##0;[Red]&quot;-€&quot;#,##0"/>
    <numFmt numFmtId="165" formatCode="0.00&quot;x&quot;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8"/>
    </font>
    <font>
      <i val="1"/>
      <color rgb="00595959"/>
      <sz val="10"/>
    </font>
    <font>
      <b val="1"/>
      <color rgb="00FFFFFF"/>
      <sz val="11"/>
    </font>
    <font>
      <b val="1"/>
      <sz val="11"/>
    </font>
    <font>
      <b val="1"/>
      <color rgb="00FFFFFF"/>
      <sz val="15"/>
    </font>
  </fonts>
  <fills count="1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DD7EE"/>
      </patternFill>
    </fill>
    <fill>
      <patternFill patternType="solid">
        <fgColor rgb="00FFEB99"/>
      </patternFill>
    </fill>
    <fill>
      <patternFill patternType="solid">
        <fgColor rgb="00E2EFDA"/>
      </patternFill>
    </fill>
    <fill>
      <patternFill patternType="solid">
        <fgColor rgb="00FFC7CE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5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wrapText="1"/>
    </xf>
    <xf numFmtId="0" fontId="5" fillId="4" borderId="2" applyAlignment="1" pivotButton="0" quotePrefix="0" xfId="0">
      <alignment horizontal="left"/>
    </xf>
    <xf numFmtId="0" fontId="5" fillId="4" borderId="2" applyAlignment="1" pivotButton="0" quotePrefix="0" xfId="0">
      <alignment horizontal="center"/>
    </xf>
    <xf numFmtId="0" fontId="5" fillId="5" borderId="2" applyAlignment="1" pivotButton="0" quotePrefix="0" xfId="0">
      <alignment horizontal="center"/>
    </xf>
    <xf numFmtId="0" fontId="5" fillId="6" borderId="2" applyAlignment="1" pivotButton="0" quotePrefix="0" xfId="0">
      <alignment horizontal="left"/>
    </xf>
    <xf numFmtId="0" fontId="5" fillId="6" borderId="2" applyAlignment="1" pivotButton="0" quotePrefix="0" xfId="0">
      <alignment horizontal="center"/>
    </xf>
    <xf numFmtId="0" fontId="5" fillId="7" borderId="2" applyAlignment="1" pivotButton="0" quotePrefix="0" xfId="0">
      <alignment horizontal="left"/>
    </xf>
    <xf numFmtId="0" fontId="5" fillId="7" borderId="2" applyAlignment="1" pivotButton="0" quotePrefix="0" xfId="0">
      <alignment horizontal="center"/>
    </xf>
    <xf numFmtId="0" fontId="5" fillId="8" borderId="2" applyAlignment="1" pivotButton="0" quotePrefix="0" xfId="0">
      <alignment horizontal="center"/>
    </xf>
    <xf numFmtId="0" fontId="5" fillId="9" borderId="2" applyAlignment="1" pivotButton="0" quotePrefix="0" xfId="0">
      <alignment horizontal="left"/>
    </xf>
    <xf numFmtId="0" fontId="5" fillId="9" borderId="2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5" fillId="10" borderId="2" applyAlignment="1" pivotButton="0" quotePrefix="0" xfId="0">
      <alignment horizontal="right"/>
    </xf>
    <xf numFmtId="0" fontId="5" fillId="11" borderId="2" applyAlignment="1" pivotButton="0" quotePrefix="0" xfId="0">
      <alignment horizontal="left"/>
    </xf>
    <xf numFmtId="0" fontId="4" fillId="3" borderId="2" applyAlignment="1" pivotButton="0" quotePrefix="0" xfId="0">
      <alignment horizontal="center" vertical="center" wrapText="1"/>
    </xf>
    <xf numFmtId="1" fontId="0" fillId="0" borderId="2" applyAlignment="1" pivotButton="0" quotePrefix="0" xfId="0">
      <alignment horizontal="center"/>
    </xf>
    <xf numFmtId="164" fontId="0" fillId="12" borderId="2" applyAlignment="1" pivotButton="0" quotePrefix="0" xfId="0">
      <alignment horizontal="center"/>
    </xf>
    <xf numFmtId="164" fontId="5" fillId="12" borderId="2" applyAlignment="1" pivotButton="0" quotePrefix="0" xfId="0">
      <alignment horizontal="center"/>
    </xf>
    <xf numFmtId="164" fontId="0" fillId="6" borderId="2" applyAlignment="1" pivotButton="0" quotePrefix="0" xfId="0">
      <alignment horizontal="center"/>
    </xf>
    <xf numFmtId="164" fontId="5" fillId="10" borderId="2" applyAlignment="1" pivotButton="0" quotePrefix="0" xfId="0">
      <alignment horizontal="center"/>
    </xf>
    <xf numFmtId="10" fontId="0" fillId="4" borderId="2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165" fontId="0" fillId="8" borderId="2" applyAlignment="1" pivotButton="0" quotePrefix="0" xfId="0">
      <alignment horizontal="center"/>
    </xf>
    <xf numFmtId="164" fontId="5" fillId="11" borderId="2" applyAlignment="1" pivotButton="0" quotePrefix="0" xfId="0">
      <alignment horizontal="center"/>
    </xf>
    <xf numFmtId="165" fontId="0" fillId="13" borderId="2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5" fillId="10" borderId="2" applyAlignment="1" pivotButton="0" quotePrefix="0" xfId="0">
      <alignment horizontal="left"/>
    </xf>
    <xf numFmtId="0" fontId="0" fillId="4" borderId="2" applyAlignment="1" pivotButton="0" quotePrefix="0" xfId="0">
      <alignment horizontal="center"/>
    </xf>
    <xf numFmtId="0" fontId="0" fillId="6" borderId="2" applyAlignment="1" pivotButton="0" quotePrefix="0" xfId="0">
      <alignment horizontal="center"/>
    </xf>
    <xf numFmtId="0" fontId="0" fillId="7" borderId="2" applyAlignment="1" pivotButton="0" quotePrefix="0" xfId="0">
      <alignment horizontal="center"/>
    </xf>
    <xf numFmtId="0" fontId="0" fillId="9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164" fontId="0" fillId="4" borderId="2" applyAlignment="1" pivotButton="0" quotePrefix="0" xfId="0">
      <alignment horizontal="right"/>
    </xf>
    <xf numFmtId="164" fontId="0" fillId="6" borderId="2" applyAlignment="1" pivotButton="0" quotePrefix="0" xfId="0">
      <alignment horizontal="right"/>
    </xf>
    <xf numFmtId="164" fontId="0" fillId="7" borderId="2" applyAlignment="1" pivotButton="0" quotePrefix="0" xfId="0">
      <alignment horizontal="right"/>
    </xf>
    <xf numFmtId="164" fontId="0" fillId="9" borderId="2" applyAlignment="1" pivotButton="0" quotePrefix="0" xfId="0">
      <alignment horizontal="right"/>
    </xf>
    <xf numFmtId="0" fontId="5" fillId="11" borderId="2" applyAlignment="1" pivotButton="0" quotePrefix="0" xfId="0">
      <alignment horizontal="center"/>
    </xf>
    <xf numFmtId="164" fontId="5" fillId="11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4" customWidth="1" min="4" max="4"/>
    <col width="16" customWidth="1" min="5" max="5"/>
    <col width="18" customWidth="1" min="6" max="6"/>
  </cols>
  <sheetData>
    <row r="1" ht="36" customHeight="1">
      <c r="A1" s="2" t="inlineStr">
        <is>
          <t>Executive Summary — 10 MW / 20 MWh BESS, 15-year project finance</t>
        </is>
      </c>
    </row>
    <row r="2">
      <c r="A2" s="3" t="inlineStr">
        <is>
          <t>Romanian aFRR + PZU arbitrage • Real DAMAS-anchored bids • 4 scenarios across PICASSO + market-share dynamics</t>
        </is>
      </c>
    </row>
    <row r="4">
      <c r="A4" s="4" t="inlineStr">
        <is>
          <t>Project facts</t>
        </is>
      </c>
    </row>
    <row r="5">
      <c r="A5" s="5" t="inlineStr">
        <is>
          <t>EPC investment</t>
        </is>
      </c>
      <c r="B5" s="6" t="inlineStr">
        <is>
          <t>€3.50M</t>
        </is>
      </c>
      <c r="C5" s="6" t="inlineStr">
        <is>
          <t>€175/kWh installed</t>
        </is>
      </c>
      <c r="D5" s="6" t="n"/>
      <c r="E5" s="6" t="n"/>
      <c r="F5" s="6" t="n"/>
    </row>
    <row r="6">
      <c r="A6" s="5" t="inlineStr">
        <is>
          <t>Equity / Loan split</t>
        </is>
      </c>
      <c r="B6" s="6" t="inlineStr">
        <is>
          <t>30% / 70%</t>
        </is>
      </c>
      <c r="C6" s="6" t="inlineStr">
        <is>
          <t>Equity = €1.05M, Loan = €2.45M</t>
        </is>
      </c>
      <c r="D6" s="6" t="n"/>
      <c r="E6" s="6" t="n"/>
      <c r="F6" s="6" t="n"/>
    </row>
    <row r="7">
      <c r="A7" s="5" t="inlineStr">
        <is>
          <t>Loan terms</t>
        </is>
      </c>
      <c r="B7" s="6" t="inlineStr">
        <is>
          <t>6.0% over 10 years</t>
        </is>
      </c>
      <c r="C7" s="6" t="inlineStr">
        <is>
          <t>Annuity = €333k/yr</t>
        </is>
      </c>
      <c r="D7" s="6" t="n"/>
      <c r="E7" s="6" t="n"/>
      <c r="F7" s="6" t="n"/>
    </row>
    <row r="8">
      <c r="A8" s="5" t="inlineStr">
        <is>
          <t>OPEX + Insurance</t>
        </is>
      </c>
      <c r="B8" s="6" t="inlineStr">
        <is>
          <t>2.5% of EPC</t>
        </is>
      </c>
      <c r="C8" s="6" t="inlineStr">
        <is>
          <t>€88k/yr Y1, +3%/yr inflation</t>
        </is>
      </c>
      <c r="D8" s="6" t="n"/>
      <c r="E8" s="6" t="n"/>
      <c r="F8" s="6" t="n"/>
    </row>
    <row r="9">
      <c r="A9" s="5" t="inlineStr">
        <is>
          <t>Augmentation</t>
        </is>
      </c>
      <c r="B9" s="6" t="inlineStr">
        <is>
          <t>10% of EPC at Y5 + Y10</t>
        </is>
      </c>
      <c r="C9" s="6" t="inlineStr">
        <is>
          <t>€350k each event</t>
        </is>
      </c>
      <c r="D9" s="6" t="n"/>
      <c r="E9" s="6" t="n"/>
      <c r="F9" s="6" t="n"/>
    </row>
    <row r="10">
      <c r="A10" s="5" t="inlineStr">
        <is>
          <t>Project life / Discount rate</t>
        </is>
      </c>
      <c r="B10" s="6" t="inlineStr">
        <is>
          <t>15 years / 8%</t>
        </is>
      </c>
      <c r="C10" s="6" t="inlineStr">
        <is>
          <t>DSCR covenant 1.20x (lender standard)</t>
        </is>
      </c>
      <c r="D10" s="6" t="n"/>
      <c r="E10" s="6" t="n"/>
      <c r="F10" s="6" t="n"/>
    </row>
    <row r="11">
      <c r="A11" s="5" t="inlineStr">
        <is>
          <t>Battery</t>
        </is>
      </c>
      <c r="B11" s="6" t="inlineStr">
        <is>
          <t>10 MW / 20 MWh</t>
        </is>
      </c>
      <c r="C11" s="6" t="inlineStr">
        <is>
          <t>RTE 0.97, full 0-100% SOC, 1 cycle/day</t>
        </is>
      </c>
      <c r="D11" s="6" t="n"/>
      <c r="E11" s="6" t="n"/>
      <c r="F11" s="6" t="n"/>
    </row>
    <row r="12">
      <c r="A12" s="5" t="inlineStr">
        <is>
          <t>Degradation</t>
        </is>
      </c>
      <c r="B12" s="6" t="inlineStr">
        <is>
          <t>2.5%/yr</t>
        </is>
      </c>
      <c r="C12" s="6" t="inlineStr">
        <is>
          <t>Capacity fade applied to all revenue legs</t>
        </is>
      </c>
      <c r="D12" s="6" t="n"/>
      <c r="E12" s="6" t="n"/>
      <c r="F12" s="6" t="n"/>
    </row>
    <row r="14">
      <c r="A14" s="4" t="inlineStr">
        <is>
          <t>Headline KPIs by scenario</t>
        </is>
      </c>
    </row>
    <row r="15" ht="30" customHeight="1">
      <c r="A15" s="7" t="inlineStr">
        <is>
          <t>Scenario</t>
        </is>
      </c>
      <c r="B15" s="7" t="inlineStr">
        <is>
          <t>Y1 (model)</t>
        </is>
      </c>
      <c r="C15" s="7" t="inlineStr">
        <is>
          <t>IRR (model)</t>
        </is>
      </c>
      <c r="D15" s="7" t="inlineStr">
        <is>
          <t>Y1 (realistic)</t>
        </is>
      </c>
      <c r="E15" s="7" t="inlineStr">
        <is>
          <t>IRR (realistic)</t>
        </is>
      </c>
      <c r="F15" s="7" t="inlineStr">
        <is>
          <t>Payback (real)</t>
        </is>
      </c>
    </row>
    <row r="16">
      <c r="A16" s="8" t="inlineStr">
        <is>
          <t>A. Current (10% share, pre-PICASSO)</t>
        </is>
      </c>
      <c r="B16" s="9" t="inlineStr">
        <is>
          <t>€2.39M</t>
        </is>
      </c>
      <c r="C16" s="9" t="inlineStr">
        <is>
          <t>149.77%</t>
        </is>
      </c>
      <c r="D16" s="9" t="inlineStr">
        <is>
          <t>€1.07M</t>
        </is>
      </c>
      <c r="E16" s="10" t="inlineStr">
        <is>
          <t>33.31%</t>
        </is>
      </c>
      <c r="F16" s="9" t="inlineStr">
        <is>
          <t>1.8 yr</t>
        </is>
      </c>
    </row>
    <row r="17">
      <c r="A17" s="11" t="inlineStr">
        <is>
          <t>B. PICASSO go-live (Y1) (10% share)</t>
        </is>
      </c>
      <c r="B17" s="12" t="inlineStr">
        <is>
          <t>€2.07M</t>
        </is>
      </c>
      <c r="C17" s="12" t="inlineStr">
        <is>
          <t>128.78%</t>
        </is>
      </c>
      <c r="D17" s="12" t="inlineStr">
        <is>
          <t>€1.05M</t>
        </is>
      </c>
      <c r="E17" s="10" t="inlineStr">
        <is>
          <t>39.89%</t>
        </is>
      </c>
      <c r="F17" s="12" t="inlineStr">
        <is>
          <t>1.9 yr</t>
        </is>
      </c>
    </row>
    <row r="18">
      <c r="A18" s="13" t="inlineStr">
        <is>
          <t>C. Mature market (5% share, -40%)</t>
        </is>
      </c>
      <c r="B18" s="14" t="inlineStr">
        <is>
          <t>€1.78M</t>
        </is>
      </c>
      <c r="C18" s="14" t="inlineStr">
        <is>
          <t>104.23%</t>
        </is>
      </c>
      <c r="D18" s="14" t="inlineStr">
        <is>
          <t>€864k</t>
        </is>
      </c>
      <c r="E18" s="15" t="inlineStr">
        <is>
          <t>23.95%</t>
        </is>
      </c>
      <c r="F18" s="14" t="inlineStr">
        <is>
          <t>2.8 yr</t>
        </is>
      </c>
    </row>
    <row r="19">
      <c r="A19" s="16" t="inlineStr">
        <is>
          <t>D. Bear case (2% share, full saturation)</t>
        </is>
      </c>
      <c r="B19" s="17" t="inlineStr">
        <is>
          <t>€1.18M</t>
        </is>
      </c>
      <c r="C19" s="17" t="inlineStr">
        <is>
          <t>57.21%</t>
        </is>
      </c>
      <c r="D19" s="17" t="inlineStr">
        <is>
          <t>€649k</t>
        </is>
      </c>
      <c r="E19" s="15" t="inlineStr">
        <is>
          <t>7.21%</t>
        </is>
      </c>
      <c r="F19" s="17" t="inlineStr">
        <is>
          <t>12.0 yr</t>
        </is>
      </c>
    </row>
    <row r="21">
      <c r="A21" s="4" t="inlineStr">
        <is>
          <t>How to read these numbers (lender perspective)</t>
        </is>
      </c>
    </row>
    <row r="22" ht="26" customHeight="1">
      <c r="A22" s="18" t="inlineStr">
        <is>
          <t>• Pitch deck Y1 number → Scenario A (current state).</t>
        </is>
      </c>
    </row>
    <row r="23" ht="26" customHeight="1">
      <c r="A23" s="18" t="inlineStr">
        <is>
          <t>• 5-year average projection → blend of A + B (assumes PICASSO mid-period).</t>
        </is>
      </c>
    </row>
    <row r="24" ht="26" customHeight="1">
      <c r="A24" s="18" t="inlineStr">
        <is>
          <t>• Lender-grade Y3-Y8 bankability case → Scenario C (mature market).</t>
        </is>
      </c>
    </row>
    <row r="25" ht="26" customHeight="1">
      <c r="A25" s="18" t="inlineStr">
        <is>
          <t>• Lender stress test Y8-Y15 → Scenario D (bear case).</t>
        </is>
      </c>
    </row>
    <row r="26" ht="26" customHeight="1">
      <c r="A26" s="18" t="inlineStr">
        <is>
          <t>• If DSCR &lt; 1.20 in any year → lender covenant breach. Either lower gearing (more equity), longer tenor, or equity injection.</t>
        </is>
      </c>
    </row>
    <row r="27" ht="26" customHeight="1">
      <c r="A27" s="18" t="inlineStr">
        <is>
          <t>• Numbers are SIMULATED on real Romanian DAMAS + OPCOM data. Compliance gates (ANRE/OPCOM/PRE/BRP/BSP/FSE) NOT applied — assumed obtained. Without them, all revenue = €0.</t>
        </is>
      </c>
    </row>
    <row r="28" ht="26" customHeight="1">
      <c r="A28" s="18" t="inlineStr">
        <is>
          <t>• Realistic operator drag (forecast error, market share guess, Tg/Td tariffs) typically reduces revenue another 30-50% vs the engineering optimum shown here.</t>
        </is>
      </c>
    </row>
  </sheetData>
  <mergeCells count="20">
    <mergeCell ref="C8:F8"/>
    <mergeCell ref="A27:F27"/>
    <mergeCell ref="C7:F7"/>
    <mergeCell ref="A26:F26"/>
    <mergeCell ref="A21:F21"/>
    <mergeCell ref="A2:F2"/>
    <mergeCell ref="A14:F14"/>
    <mergeCell ref="A23:F23"/>
    <mergeCell ref="C6:F6"/>
    <mergeCell ref="A22:F22"/>
    <mergeCell ref="A4:F4"/>
    <mergeCell ref="C5:F5"/>
    <mergeCell ref="A28:F28"/>
    <mergeCell ref="C10:F10"/>
    <mergeCell ref="A24:F24"/>
    <mergeCell ref="C9:F9"/>
    <mergeCell ref="A1:F1"/>
    <mergeCell ref="C12:F12"/>
    <mergeCell ref="C11:F11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2" t="inlineStr">
        <is>
          <t>Inputs &amp; Assumptions</t>
        </is>
      </c>
    </row>
    <row r="3" ht="22" customHeight="1">
      <c r="A3" s="4" t="inlineStr">
        <is>
          <t>Battery technical</t>
        </is>
      </c>
    </row>
    <row r="4">
      <c r="A4" s="5" t="inlineStr">
        <is>
          <t>Power</t>
        </is>
      </c>
      <c r="B4" s="6" t="inlineStr">
        <is>
          <t>10 MW</t>
        </is>
      </c>
      <c r="C4" s="6" t="inlineStr">
        <is>
          <t>Inverter rating</t>
        </is>
      </c>
      <c r="D4" s="6" t="n"/>
      <c r="E4" s="6" t="n"/>
      <c r="F4" s="6" t="n"/>
    </row>
    <row r="5">
      <c r="A5" s="5" t="inlineStr">
        <is>
          <t>Energy capacity</t>
        </is>
      </c>
      <c r="B5" s="6" t="inlineStr">
        <is>
          <t>20 MWh</t>
        </is>
      </c>
      <c r="C5" s="6" t="inlineStr">
        <is>
          <t>Daily throughput cap</t>
        </is>
      </c>
      <c r="D5" s="6" t="n"/>
      <c r="E5" s="6" t="n"/>
      <c r="F5" s="6" t="n"/>
    </row>
    <row r="6">
      <c r="A6" s="5" t="inlineStr">
        <is>
          <t>RTE</t>
        </is>
      </c>
      <c r="B6" s="6" t="inlineStr">
        <is>
          <t>0.97</t>
        </is>
      </c>
      <c r="C6" s="6" t="inlineStr">
        <is>
          <t>User directive — 3% loss per round-trip</t>
        </is>
      </c>
      <c r="D6" s="6" t="n"/>
      <c r="E6" s="6" t="n"/>
      <c r="F6" s="6" t="n"/>
    </row>
    <row r="7">
      <c r="A7" s="5" t="inlineStr">
        <is>
          <t>SOC band</t>
        </is>
      </c>
      <c r="B7" s="6" t="inlineStr">
        <is>
          <t>0% – 100%</t>
        </is>
      </c>
      <c r="C7" s="6" t="inlineStr">
        <is>
          <t>User directive — full DOD</t>
        </is>
      </c>
      <c r="D7" s="6" t="n"/>
      <c r="E7" s="6" t="n"/>
      <c r="F7" s="6" t="n"/>
    </row>
    <row r="8">
      <c r="A8" s="5" t="inlineStr">
        <is>
          <t>Cycles/day</t>
        </is>
      </c>
      <c r="B8" s="6" t="inlineStr">
        <is>
          <t>1</t>
        </is>
      </c>
      <c r="C8" s="6" t="inlineStr">
        <is>
          <t>Single round-trip per day</t>
        </is>
      </c>
      <c r="D8" s="6" t="n"/>
      <c r="E8" s="6" t="n"/>
      <c r="F8" s="6" t="n"/>
    </row>
    <row r="9">
      <c r="A9" s="5" t="inlineStr">
        <is>
          <t>Degradation</t>
        </is>
      </c>
      <c r="B9" s="6" t="inlineStr">
        <is>
          <t>2.5%/yr</t>
        </is>
      </c>
      <c r="C9" s="6" t="inlineStr">
        <is>
          <t>Capacity fade applied to all revenue legs</t>
        </is>
      </c>
      <c r="D9" s="6" t="n"/>
      <c r="E9" s="6" t="n"/>
      <c r="F9" s="6" t="n"/>
    </row>
    <row r="11" ht="22" customHeight="1">
      <c r="A11" s="4" t="inlineStr">
        <is>
          <t>Financing</t>
        </is>
      </c>
    </row>
    <row r="12">
      <c r="A12" s="5" t="inlineStr">
        <is>
          <t>EPC investment</t>
        </is>
      </c>
      <c r="B12" s="6" t="inlineStr">
        <is>
          <t>€3.50M</t>
        </is>
      </c>
      <c r="C12" s="6" t="inlineStr">
        <is>
          <t>€175/kWh installed</t>
        </is>
      </c>
      <c r="D12" s="6" t="n"/>
      <c r="E12" s="6" t="n"/>
      <c r="F12" s="6" t="n"/>
    </row>
    <row r="13">
      <c r="A13" s="5" t="inlineStr">
        <is>
          <t>Equity %</t>
        </is>
      </c>
      <c r="B13" s="6" t="inlineStr">
        <is>
          <t>30%</t>
        </is>
      </c>
      <c r="C13" s="6" t="inlineStr">
        <is>
          <t>€1.05M</t>
        </is>
      </c>
      <c r="D13" s="6" t="n"/>
      <c r="E13" s="6" t="n"/>
      <c r="F13" s="6" t="n"/>
    </row>
    <row r="14">
      <c r="A14" s="5" t="inlineStr">
        <is>
          <t>Loan %</t>
        </is>
      </c>
      <c r="B14" s="6" t="inlineStr">
        <is>
          <t>70%</t>
        </is>
      </c>
      <c r="C14" s="6" t="inlineStr">
        <is>
          <t>€2.45M</t>
        </is>
      </c>
      <c r="D14" s="6" t="n"/>
      <c r="E14" s="6" t="n"/>
      <c r="F14" s="6" t="n"/>
    </row>
    <row r="15">
      <c r="A15" s="5" t="inlineStr">
        <is>
          <t>Loan rate</t>
        </is>
      </c>
      <c r="B15" s="6" t="inlineStr">
        <is>
          <t>6.0%</t>
        </is>
      </c>
      <c r="C15" s="6" t="inlineStr">
        <is>
          <t>Fixed-rate annuity</t>
        </is>
      </c>
      <c r="D15" s="6" t="n"/>
      <c r="E15" s="6" t="n"/>
      <c r="F15" s="6" t="n"/>
    </row>
    <row r="16">
      <c r="A16" s="5" t="inlineStr">
        <is>
          <t>Loan term</t>
        </is>
      </c>
      <c r="B16" s="6" t="inlineStr">
        <is>
          <t>10 years</t>
        </is>
      </c>
      <c r="C16" s="6" t="inlineStr">
        <is>
          <t>Annuity payment ≈ €333k</t>
        </is>
      </c>
      <c r="D16" s="6" t="n"/>
      <c r="E16" s="6" t="n"/>
      <c r="F16" s="6" t="n"/>
    </row>
    <row r="17">
      <c r="A17" s="5" t="inlineStr">
        <is>
          <t>Discount rate (NPV)</t>
        </is>
      </c>
      <c r="B17" s="6" t="inlineStr">
        <is>
          <t>8%</t>
        </is>
      </c>
      <c r="C17" s="6" t="inlineStr">
        <is>
          <t>Standard EU project finance</t>
        </is>
      </c>
      <c r="D17" s="6" t="n"/>
      <c r="E17" s="6" t="n"/>
      <c r="F17" s="6" t="n"/>
    </row>
    <row r="18">
      <c r="A18" s="5" t="inlineStr">
        <is>
          <t>DSCR covenant</t>
        </is>
      </c>
      <c r="B18" s="6" t="inlineStr">
        <is>
          <t>1.20x</t>
        </is>
      </c>
      <c r="C18" s="6" t="inlineStr">
        <is>
          <t>Lender standard</t>
        </is>
      </c>
      <c r="D18" s="6" t="n"/>
      <c r="E18" s="6" t="n"/>
      <c r="F18" s="6" t="n"/>
    </row>
    <row r="20" ht="22" customHeight="1">
      <c r="A20" s="4" t="inlineStr">
        <is>
          <t>Operating costs</t>
        </is>
      </c>
    </row>
    <row r="21">
      <c r="A21" s="5" t="inlineStr">
        <is>
          <t>OPEX</t>
        </is>
      </c>
      <c r="B21" s="6" t="inlineStr">
        <is>
          <t>2.0% of EPC = €70k</t>
        </is>
      </c>
      <c r="C21" s="6" t="inlineStr">
        <is>
          <t>Year 1, +3%/yr inflation</t>
        </is>
      </c>
      <c r="D21" s="6" t="n"/>
      <c r="E21" s="6" t="n"/>
      <c r="F21" s="6" t="n"/>
    </row>
    <row r="22">
      <c r="A22" s="5" t="inlineStr">
        <is>
          <t>Insurance</t>
        </is>
      </c>
      <c r="B22" s="6" t="inlineStr">
        <is>
          <t>0.5% of EPC = €18k</t>
        </is>
      </c>
      <c r="C22" s="6" t="inlineStr">
        <is>
          <t>Year 1, +3%/yr inflation</t>
        </is>
      </c>
      <c r="D22" s="6" t="n"/>
      <c r="E22" s="6" t="n"/>
      <c r="F22" s="6" t="n"/>
    </row>
    <row r="23">
      <c r="A23" s="5" t="inlineStr">
        <is>
          <t>Augmentation</t>
        </is>
      </c>
      <c r="B23" s="6" t="inlineStr">
        <is>
          <t>10% of EPC at Y5 + Y10</t>
        </is>
      </c>
      <c r="C23" s="6">
        <f> €350k per event</f>
        <v/>
      </c>
      <c r="D23" s="6" t="n"/>
      <c r="E23" s="6" t="n"/>
      <c r="F23" s="6" t="n"/>
    </row>
    <row r="25" ht="22" customHeight="1">
      <c r="A25" s="4" t="inlineStr">
        <is>
          <t>Physical stacking constraints (applied to BOTH model + realistic)</t>
        </is>
      </c>
    </row>
    <row r="26">
      <c r="A26" s="5" t="inlineStr">
        <is>
          <t>aFRR capacity stacking</t>
        </is>
      </c>
      <c r="B26" s="6" t="inlineStr">
        <is>
          <t>× 1.00</t>
        </is>
      </c>
      <c r="C26" s="6" t="inlineStr">
        <is>
          <t>Pure availability reservation — independent of other streams</t>
        </is>
      </c>
      <c r="D26" s="6" t="n"/>
      <c r="E26" s="6" t="n"/>
      <c r="F26" s="6" t="n"/>
    </row>
    <row r="27">
      <c r="A27" s="5" t="inlineStr">
        <is>
          <t>aFRR activation stacking</t>
        </is>
      </c>
      <c r="B27" s="6" t="inlineStr">
        <is>
          <t>× 0.60</t>
        </is>
      </c>
      <c r="C27" s="6" t="inlineStr">
        <is>
          <t>Activation MWh competes with PZU throughput → ~60% of pure-aFRR</t>
        </is>
      </c>
      <c r="D27" s="6" t="n"/>
      <c r="E27" s="6" t="n"/>
      <c r="F27" s="6" t="n"/>
    </row>
    <row r="28">
      <c r="A28" s="5" t="inlineStr">
        <is>
          <t>PZU stacking</t>
        </is>
      </c>
      <c r="B28" s="6" t="inlineStr">
        <is>
          <t>× 0.50</t>
        </is>
      </c>
      <c r="C28" s="6" t="inlineStr">
        <is>
          <t>Capacity reservation costs PZU dispatch flexibility → ~50% of pure-PZU</t>
        </is>
      </c>
      <c r="D28" s="6" t="n"/>
      <c r="E28" s="6" t="n"/>
      <c r="F28" s="6" t="n"/>
    </row>
    <row r="29">
      <c r="A29" s="5" t="inlineStr">
        <is>
          <t>Net stacking efficiency</t>
        </is>
      </c>
      <c r="B29" s="6" t="inlineStr">
        <is>
          <t>≈ 0.62 of naive sum</t>
        </is>
      </c>
      <c r="C29" s="6" t="inlineStr">
        <is>
          <t>Matches empirical EU BESS data (Modo Energy, Magnus Energy, Field Energy: 65-75%)</t>
        </is>
      </c>
      <c r="D29" s="6" t="n"/>
      <c r="E29" s="6" t="n"/>
      <c r="F29" s="6" t="n"/>
    </row>
    <row r="31" ht="22" customHeight="1">
      <c r="A31" s="4" t="inlineStr">
        <is>
          <t>Operational drag multipliers (realistic mode only, on top of stacking)</t>
        </is>
      </c>
    </row>
    <row r="32">
      <c r="A32" s="5" t="inlineStr">
        <is>
          <t>aFRR capacity drag</t>
        </is>
      </c>
      <c r="B32" s="6" t="inlineStr">
        <is>
          <t>× 0.93</t>
        </is>
      </c>
      <c r="C32" s="6" t="inlineStr">
        <is>
          <t>REMIT/Tg/Td tariff erosion (~5-10%)</t>
        </is>
      </c>
      <c r="D32" s="6" t="n"/>
      <c r="E32" s="6" t="n"/>
      <c r="F32" s="6" t="n"/>
    </row>
    <row r="33">
      <c r="A33" s="5" t="inlineStr">
        <is>
          <t>aFRR activation drag</t>
        </is>
      </c>
      <c r="B33" s="6" t="inlineStr">
        <is>
          <t>× 0.25</t>
        </is>
      </c>
      <c r="C33" s="6" t="inlineStr">
        <is>
          <t>10% market-share guess → realistic ~2.5% (the BIG haircut)</t>
        </is>
      </c>
      <c r="D33" s="6" t="n"/>
      <c r="E33" s="6" t="n"/>
      <c r="F33" s="6" t="n"/>
    </row>
    <row r="34">
      <c r="A34" s="5" t="inlineStr">
        <is>
          <t>PZU drag</t>
        </is>
      </c>
      <c r="B34" s="6" t="inlineStr">
        <is>
          <t>× 0.80</t>
        </is>
      </c>
      <c r="C34" s="6" t="inlineStr">
        <is>
          <t>Forecast error vs perfect-foresight backtest</t>
        </is>
      </c>
      <c r="D34" s="6" t="n"/>
      <c r="E34" s="6" t="n"/>
      <c r="F34" s="6" t="n"/>
    </row>
    <row r="36" ht="22" customHeight="1">
      <c r="A36" s="4" t="inlineStr">
        <is>
          <t>Revenue scenarios — Y1 base values (BEFORE stacking + drag)</t>
        </is>
      </c>
    </row>
    <row r="37">
      <c r="A37" s="5" t="inlineStr">
        <is>
          <t>Scenario A — aFRR capacity Y1</t>
        </is>
      </c>
      <c r="B37" s="6" t="inlineStr">
        <is>
          <t>€363k</t>
        </is>
      </c>
      <c r="C37" s="6" t="inlineStr">
        <is>
          <t>10% market share, real DAMAS clearing</t>
        </is>
      </c>
      <c r="D37" s="6" t="n"/>
      <c r="E37" s="6" t="n"/>
      <c r="F37" s="6" t="n"/>
    </row>
    <row r="38">
      <c r="A38" s="5" t="inlineStr">
        <is>
          <t>Scenario A — aFRR activation Y1</t>
        </is>
      </c>
      <c r="B38" s="6" t="inlineStr">
        <is>
          <t>€2.68M</t>
        </is>
      </c>
      <c r="C38" s="6" t="inlineStr">
        <is>
          <t>Real per-slot DAMAS settlement</t>
        </is>
      </c>
      <c r="D38" s="6" t="n"/>
      <c r="E38" s="6" t="n"/>
      <c r="F38" s="6" t="n"/>
    </row>
    <row r="39">
      <c r="A39" s="5" t="inlineStr">
        <is>
          <t>Scenario A — PZU Y1</t>
        </is>
      </c>
      <c r="B39" s="6" t="inlineStr">
        <is>
          <t>€835k</t>
        </is>
      </c>
      <c r="C39" s="6" t="inlineStr">
        <is>
          <t>Real OPCOM dispatch</t>
        </is>
      </c>
      <c r="D39" s="6" t="n"/>
      <c r="E39" s="6" t="n"/>
      <c r="F39" s="6" t="n"/>
    </row>
    <row r="40">
      <c r="A40" s="5" t="inlineStr">
        <is>
          <t>Scenario B — base Y1 multiplier</t>
        </is>
      </c>
      <c r="B40" s="6" t="inlineStr">
        <is>
          <t>0.75</t>
        </is>
      </c>
      <c r="C40" s="6" t="inlineStr">
        <is>
          <t>PICASSO live → -25% on aFRR; PZU unchanged</t>
        </is>
      </c>
      <c r="D40" s="6" t="n"/>
      <c r="E40" s="6" t="n"/>
      <c r="F40" s="6" t="n"/>
    </row>
    <row r="41">
      <c r="A41" s="5" t="inlineStr">
        <is>
          <t>Scenario C — base Y1 multipliers</t>
        </is>
      </c>
      <c r="B41" s="6" t="inlineStr">
        <is>
          <t>share 0.50, prices 0.60</t>
        </is>
      </c>
      <c r="C41" s="6" t="inlineStr">
        <is>
          <t>Mature market: 5% share, capacity at €5/MW/h</t>
        </is>
      </c>
      <c r="D41" s="6" t="n"/>
      <c r="E41" s="6" t="n"/>
      <c r="F41" s="6" t="n"/>
    </row>
    <row r="42">
      <c r="A42" s="5" t="inlineStr">
        <is>
          <t>Scenario D — base Y1 multipliers</t>
        </is>
      </c>
      <c r="B42" s="6" t="inlineStr">
        <is>
          <t>share 0.20, prices 0.40</t>
        </is>
      </c>
      <c r="C42" s="6" t="inlineStr">
        <is>
          <t>Bear case: 2% share, prices at German current level</t>
        </is>
      </c>
      <c r="D42" s="6" t="n"/>
      <c r="E42" s="6" t="n"/>
      <c r="F42" s="6" t="n"/>
    </row>
  </sheetData>
  <mergeCells count="36">
    <mergeCell ref="C17:F17"/>
    <mergeCell ref="C23:F23"/>
    <mergeCell ref="C39:F39"/>
    <mergeCell ref="C8:F8"/>
    <mergeCell ref="C7:F7"/>
    <mergeCell ref="C38:F38"/>
    <mergeCell ref="C32:F32"/>
    <mergeCell ref="A3:F3"/>
    <mergeCell ref="C37:F37"/>
    <mergeCell ref="C28:F28"/>
    <mergeCell ref="C13:F13"/>
    <mergeCell ref="C18:F18"/>
    <mergeCell ref="C34:F34"/>
    <mergeCell ref="C6:F6"/>
    <mergeCell ref="C15:F15"/>
    <mergeCell ref="C33:F33"/>
    <mergeCell ref="A20:F20"/>
    <mergeCell ref="C5:F5"/>
    <mergeCell ref="C42:F42"/>
    <mergeCell ref="C14:F14"/>
    <mergeCell ref="C4:F4"/>
    <mergeCell ref="C26:F26"/>
    <mergeCell ref="C29:F29"/>
    <mergeCell ref="A31:F31"/>
    <mergeCell ref="C16:F16"/>
    <mergeCell ref="C41:F41"/>
    <mergeCell ref="C22:F22"/>
    <mergeCell ref="C40:F40"/>
    <mergeCell ref="C9:F9"/>
    <mergeCell ref="A11:F11"/>
    <mergeCell ref="A36:F36"/>
    <mergeCell ref="A1:F1"/>
    <mergeCell ref="C12:F12"/>
    <mergeCell ref="C21:F21"/>
    <mergeCell ref="C27:F27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1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1" customWidth="1" min="19" max="19"/>
    <col width="14" customWidth="1" min="20" max="20"/>
    <col width="14" customWidth="1" min="21" max="21"/>
    <col width="14" customWidth="1" min="22" max="22"/>
    <col width="14" customWidth="1" min="23" max="23"/>
    <col width="11" customWidth="1" min="24" max="24"/>
    <col width="11" customWidth="1" min="25" max="25"/>
    <col width="11" customWidth="1" min="26" max="26"/>
  </cols>
  <sheetData>
    <row r="1" ht="28" customHeight="1">
      <c r="A1" s="19" t="inlineStr">
        <is>
          <t>A. Current (10% share, pre-PICASSO)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  <c r="O1" s="20" t="n"/>
      <c r="P1" s="20" t="n"/>
      <c r="Q1" s="20" t="n"/>
      <c r="R1" s="20" t="n"/>
      <c r="S1" s="20" t="n"/>
      <c r="T1" s="20" t="n"/>
      <c r="U1" s="20" t="n"/>
      <c r="V1" s="20" t="n"/>
      <c r="W1" s="20" t="n"/>
      <c r="X1" s="20" t="n"/>
      <c r="Y1" s="20" t="n"/>
      <c r="Z1" s="21" t="n"/>
    </row>
    <row r="2">
      <c r="A2" s="22" t="inlineStr">
        <is>
          <t>Y1 revenue</t>
        </is>
      </c>
      <c r="B2" s="23" t="inlineStr">
        <is>
          <t>€2.39M</t>
        </is>
      </c>
      <c r="C2" s="22" t="inlineStr">
        <is>
          <t>Y1 EBITDA</t>
        </is>
      </c>
      <c r="D2" s="23" t="inlineStr">
        <is>
          <t>€2.30M</t>
        </is>
      </c>
      <c r="E2" s="22" t="inlineStr">
        <is>
          <t>Y1 EBITDA margin</t>
        </is>
      </c>
      <c r="F2" s="23" t="inlineStr">
        <is>
          <t>96.33%</t>
        </is>
      </c>
      <c r="G2" s="22" t="inlineStr">
        <is>
          <t>Y1 Net income</t>
        </is>
      </c>
      <c r="H2" s="23" t="inlineStr">
        <is>
          <t>€1.44M</t>
        </is>
      </c>
    </row>
    <row r="3">
      <c r="A3" s="22" t="inlineStr">
        <is>
          <t>Y1 Equity FCF</t>
        </is>
      </c>
      <c r="B3" s="23" t="inlineStr">
        <is>
          <t>€1.69M</t>
        </is>
      </c>
      <c r="C3" s="22" t="inlineStr">
        <is>
          <t>Equity IRR</t>
        </is>
      </c>
      <c r="D3" s="23" t="inlineStr">
        <is>
          <t>149.77%</t>
        </is>
      </c>
      <c r="E3" s="22" t="inlineStr">
        <is>
          <t>Project IRR</t>
        </is>
      </c>
      <c r="F3" s="23" t="inlineStr">
        <is>
          <t>46.41%</t>
        </is>
      </c>
      <c r="G3" s="22" t="inlineStr">
        <is>
          <t>Equity MIRR</t>
        </is>
      </c>
      <c r="H3" s="23" t="inlineStr">
        <is>
          <t>23.52%</t>
        </is>
      </c>
    </row>
    <row r="4">
      <c r="A4" s="22" t="inlineStr">
        <is>
          <t>Equity payback</t>
        </is>
      </c>
      <c r="B4" s="23" t="inlineStr">
        <is>
          <t>0.6 yr</t>
        </is>
      </c>
      <c r="C4" s="22" t="inlineStr">
        <is>
          <t>Disc. payback @ 8%</t>
        </is>
      </c>
      <c r="D4" s="23" t="inlineStr">
        <is>
          <t>0.7 yr</t>
        </is>
      </c>
      <c r="E4" s="22" t="inlineStr">
        <is>
          <t>MOIC</t>
        </is>
      </c>
      <c r="F4" s="23" t="inlineStr">
        <is>
          <t>11.71x</t>
        </is>
      </c>
      <c r="G4" s="22" t="inlineStr">
        <is>
          <t>Avg ROE</t>
        </is>
      </c>
      <c r="H4" s="23" t="inlineStr">
        <is>
          <t>75.85%</t>
        </is>
      </c>
    </row>
    <row r="5">
      <c r="A5" s="22" t="inlineStr">
        <is>
          <t>Equity NPV @ 8%</t>
        </is>
      </c>
      <c r="B5" s="23" t="inlineStr">
        <is>
          <t>€6.82M</t>
        </is>
      </c>
      <c r="C5" s="22" t="inlineStr">
        <is>
          <t>Equity NPV @ 10%</t>
        </is>
      </c>
      <c r="D5" s="23" t="inlineStr">
        <is>
          <t>€6.14M</t>
        </is>
      </c>
      <c r="E5" s="22" t="inlineStr">
        <is>
          <t>Project NPV @ 8%</t>
        </is>
      </c>
      <c r="F5" s="23" t="inlineStr">
        <is>
          <t>€6.60M</t>
        </is>
      </c>
      <c r="G5" s="22" t="inlineStr">
        <is>
          <t>Project NPV @ 10%</t>
        </is>
      </c>
      <c r="H5" s="23" t="inlineStr">
        <is>
          <t>€5.73M</t>
        </is>
      </c>
    </row>
    <row r="6">
      <c r="A6" s="22" t="inlineStr">
        <is>
          <t>Min DSCR</t>
        </is>
      </c>
      <c r="B6" s="23" t="inlineStr">
        <is>
          <t>2.85x</t>
        </is>
      </c>
      <c r="C6" s="22" t="inlineStr">
        <is>
          <t>Avg DSCR</t>
        </is>
      </c>
      <c r="D6" s="23" t="inlineStr">
        <is>
          <t>nanx</t>
        </is>
      </c>
      <c r="E6" s="22" t="inlineStr">
        <is>
          <t>LLCR</t>
        </is>
      </c>
      <c r="F6" s="23" t="inlineStr">
        <is>
          <t>3.87x</t>
        </is>
      </c>
      <c r="G6" s="22" t="inlineStr">
        <is>
          <t>PLCR</t>
        </is>
      </c>
      <c r="H6" s="23" t="inlineStr">
        <is>
          <t>4.54x</t>
        </is>
      </c>
    </row>
    <row r="7"/>
    <row r="8"/>
    <row r="9" ht="42" customHeight="1">
      <c r="A9" s="24" t="inlineStr">
        <is>
          <t>Year</t>
        </is>
      </c>
      <c r="B9" s="24" t="inlineStr">
        <is>
          <t>aFRR capacity (€)</t>
        </is>
      </c>
      <c r="C9" s="24" t="inlineStr">
        <is>
          <t>aFRR activation (€)</t>
        </is>
      </c>
      <c r="D9" s="24" t="inlineStr">
        <is>
          <t>PZU arbitrage (€)</t>
        </is>
      </c>
      <c r="E9" s="24" t="inlineStr">
        <is>
          <t>Total revenue (€)</t>
        </is>
      </c>
      <c r="F9" s="24" t="inlineStr">
        <is>
          <t>OPEX (€)</t>
        </is>
      </c>
      <c r="G9" s="24" t="inlineStr">
        <is>
          <t>Insurance (€)</t>
        </is>
      </c>
      <c r="H9" s="24" t="inlineStr">
        <is>
          <t>EBITDA (€)</t>
        </is>
      </c>
      <c r="I9" s="24" t="inlineStr">
        <is>
          <t>EBITDA margin (%)</t>
        </is>
      </c>
      <c r="J9" s="24" t="inlineStr">
        <is>
          <t>Depreciation (€)</t>
        </is>
      </c>
      <c r="K9" s="24" t="inlineStr">
        <is>
          <t>EBIT (€)</t>
        </is>
      </c>
      <c r="L9" s="24" t="inlineStr">
        <is>
          <t>Interest expense (€)</t>
        </is>
      </c>
      <c r="M9" s="24" t="inlineStr">
        <is>
          <t>EBT (€)</t>
        </is>
      </c>
      <c r="N9" s="24" t="inlineStr">
        <is>
          <t>Tax (€)</t>
        </is>
      </c>
      <c r="O9" s="24" t="inlineStr">
        <is>
          <t>Net income (€)</t>
        </is>
      </c>
      <c r="P9" s="24" t="inlineStr">
        <is>
          <t>Principal payment (€)</t>
        </is>
      </c>
      <c r="Q9" s="24" t="inlineStr">
        <is>
          <t>Debt service total (€)</t>
        </is>
      </c>
      <c r="R9" s="24" t="inlineStr">
        <is>
          <t>Debt outstanding YE (€)</t>
        </is>
      </c>
      <c r="S9" s="24" t="inlineStr">
        <is>
          <t>DSCR</t>
        </is>
      </c>
      <c r="T9" s="24" t="inlineStr">
        <is>
          <t>Augmentation (€)</t>
        </is>
      </c>
      <c r="U9" s="24" t="inlineStr">
        <is>
          <t>Project FCF (€)</t>
        </is>
      </c>
      <c r="V9" s="24" t="inlineStr">
        <is>
          <t>Equity FCF (€)</t>
        </is>
      </c>
      <c r="W9" s="24" t="inlineStr">
        <is>
          <t>Cumulative equity FCF (€)</t>
        </is>
      </c>
      <c r="X9" s="24" t="inlineStr">
        <is>
          <t>ROE (%)</t>
        </is>
      </c>
      <c r="Y9" s="24" t="inlineStr">
        <is>
          <t>ROIC (%)</t>
        </is>
      </c>
      <c r="Z9" s="24" t="inlineStr">
        <is>
          <t>Cash-on-cash yield (%)</t>
        </is>
      </c>
    </row>
    <row r="10">
      <c r="A10" s="25" t="n">
        <v>1</v>
      </c>
      <c r="B10" s="26" t="n">
        <v>363000</v>
      </c>
      <c r="C10" s="26" t="n">
        <v>1605564.6</v>
      </c>
      <c r="D10" s="26" t="n">
        <v>417593.5</v>
      </c>
      <c r="E10" s="27" t="n">
        <v>2386158.1</v>
      </c>
      <c r="F10" s="28" t="n">
        <v>-70000</v>
      </c>
      <c r="G10" s="28" t="n">
        <v>-17500</v>
      </c>
      <c r="H10" s="29" t="n">
        <v>2298658.1</v>
      </c>
      <c r="I10" s="30" t="n">
        <v>96.33301749787661</v>
      </c>
      <c r="J10" s="28" t="n">
        <v>-437500</v>
      </c>
      <c r="K10" s="29" t="n">
        <v>1861158.1</v>
      </c>
      <c r="L10" s="28" t="n">
        <v>-147000</v>
      </c>
      <c r="M10" s="29" t="n">
        <v>1714158.1</v>
      </c>
      <c r="N10" s="28" t="n">
        <v>-274265.296</v>
      </c>
      <c r="O10" s="29" t="n">
        <v>1439892.804</v>
      </c>
      <c r="P10" s="28" t="n">
        <v>-185876.4976399401</v>
      </c>
      <c r="Q10" s="28" t="n">
        <v>-332876.4976399401</v>
      </c>
      <c r="R10" s="31" t="n">
        <v>2264123.50236006</v>
      </c>
      <c r="S10" s="32" t="n">
        <v>6.90543825201613</v>
      </c>
      <c r="T10" s="28" t="n">
        <v>0</v>
      </c>
      <c r="U10" s="33" t="n">
        <v>2024392.804</v>
      </c>
      <c r="V10" s="33" t="n">
        <v>1691516.306360059</v>
      </c>
      <c r="W10" s="33" t="n">
        <v>1691516.306360059</v>
      </c>
      <c r="X10" s="30" t="n">
        <v>137.132648</v>
      </c>
      <c r="Y10" s="30" t="n">
        <v>44.66779439999999</v>
      </c>
      <c r="Z10" s="30" t="n">
        <v>161.0967910819104</v>
      </c>
    </row>
    <row r="11">
      <c r="A11" s="25" t="n">
        <v>2</v>
      </c>
      <c r="B11" s="26" t="n">
        <v>353925</v>
      </c>
      <c r="C11" s="26" t="n">
        <v>1565425.485</v>
      </c>
      <c r="D11" s="26" t="n">
        <v>394939.052625</v>
      </c>
      <c r="E11" s="27" t="n">
        <v>2314289.537625</v>
      </c>
      <c r="F11" s="28" t="n">
        <v>-72100</v>
      </c>
      <c r="G11" s="28" t="n">
        <v>-18025</v>
      </c>
      <c r="H11" s="29" t="n">
        <v>2224164.537625</v>
      </c>
      <c r="I11" s="30" t="n">
        <v>96.10571631013426</v>
      </c>
      <c r="J11" s="28" t="n">
        <v>-437500</v>
      </c>
      <c r="K11" s="29" t="n">
        <v>1786664.537625</v>
      </c>
      <c r="L11" s="28" t="n">
        <v>-135847.4101416036</v>
      </c>
      <c r="M11" s="29" t="n">
        <v>1650817.127483396</v>
      </c>
      <c r="N11" s="28" t="n">
        <v>-264130.7403973434</v>
      </c>
      <c r="O11" s="29" t="n">
        <v>1386686.387086053</v>
      </c>
      <c r="P11" s="28" t="n">
        <v>-197029.0874983365</v>
      </c>
      <c r="Q11" s="28" t="n">
        <v>-332876.4976399401</v>
      </c>
      <c r="R11" s="31" t="n">
        <v>2067094.414861723</v>
      </c>
      <c r="S11" s="32" t="n">
        <v>6.681650862689605</v>
      </c>
      <c r="T11" s="28" t="n">
        <v>0</v>
      </c>
      <c r="U11" s="33" t="n">
        <v>1960033.797227656</v>
      </c>
      <c r="V11" s="33" t="n">
        <v>1627157.299587716</v>
      </c>
      <c r="W11" s="33" t="n">
        <v>3318673.605947776</v>
      </c>
      <c r="X11" s="30" t="n">
        <v>132.0653701986717</v>
      </c>
      <c r="Y11" s="30" t="n">
        <v>42.879948903</v>
      </c>
      <c r="Z11" s="30" t="n">
        <v>154.9673618654968</v>
      </c>
    </row>
    <row r="12">
      <c r="A12" s="25" t="n">
        <v>3</v>
      </c>
      <c r="B12" s="26" t="n">
        <v>258807.65625</v>
      </c>
      <c r="C12" s="26" t="n">
        <v>1144717.38590625</v>
      </c>
      <c r="D12" s="26" t="n">
        <v>365216.8352625</v>
      </c>
      <c r="E12" s="27" t="n">
        <v>1768741.87741875</v>
      </c>
      <c r="F12" s="28" t="n">
        <v>-74263</v>
      </c>
      <c r="G12" s="28" t="n">
        <v>-18565.75</v>
      </c>
      <c r="H12" s="29" t="n">
        <v>1675913.12741875</v>
      </c>
      <c r="I12" s="30" t="n">
        <v>94.75170734717541</v>
      </c>
      <c r="J12" s="28" t="n">
        <v>-437500</v>
      </c>
      <c r="K12" s="29" t="n">
        <v>1238413.12741875</v>
      </c>
      <c r="L12" s="28" t="n">
        <v>-124025.6648917034</v>
      </c>
      <c r="M12" s="29" t="n">
        <v>1114387.462527047</v>
      </c>
      <c r="N12" s="28" t="n">
        <v>-178301.9940043275</v>
      </c>
      <c r="O12" s="29" t="n">
        <v>936085.4685227192</v>
      </c>
      <c r="P12" s="28" t="n">
        <v>-208850.8327482367</v>
      </c>
      <c r="Q12" s="28" t="n">
        <v>-332876.4976399401</v>
      </c>
      <c r="R12" s="31" t="n">
        <v>1858243.582113487</v>
      </c>
      <c r="S12" s="32" t="n">
        <v>5.034639391188025</v>
      </c>
      <c r="T12" s="28" t="n">
        <v>0</v>
      </c>
      <c r="U12" s="33" t="n">
        <v>1497611.133414422</v>
      </c>
      <c r="V12" s="33" t="n">
        <v>1164734.635774482</v>
      </c>
      <c r="W12" s="33" t="n">
        <v>4483408.241722258</v>
      </c>
      <c r="X12" s="30" t="n">
        <v>89.15099700216373</v>
      </c>
      <c r="Y12" s="30" t="n">
        <v>29.72191505805</v>
      </c>
      <c r="Z12" s="30" t="n">
        <v>110.9271081689983</v>
      </c>
    </row>
    <row r="13">
      <c r="A13" s="25" t="n">
        <v>4</v>
      </c>
      <c r="B13" s="26" t="n">
        <v>232150.46765625</v>
      </c>
      <c r="C13" s="26" t="n">
        <v>1041692.821174687</v>
      </c>
      <c r="D13" s="26" t="n">
        <v>336733.8918602343</v>
      </c>
      <c r="E13" s="27" t="n">
        <v>1610577.180691172</v>
      </c>
      <c r="F13" s="28" t="n">
        <v>-76490.89</v>
      </c>
      <c r="G13" s="28" t="n">
        <v>-19122.7225</v>
      </c>
      <c r="H13" s="29" t="n">
        <v>1514963.568191172</v>
      </c>
      <c r="I13" s="30" t="n">
        <v>94.06339456150945</v>
      </c>
      <c r="J13" s="28" t="n">
        <v>-437500</v>
      </c>
      <c r="K13" s="29" t="n">
        <v>1077463.568191172</v>
      </c>
      <c r="L13" s="28" t="n">
        <v>-111494.6149268092</v>
      </c>
      <c r="M13" s="29" t="n">
        <v>965968.9532643626</v>
      </c>
      <c r="N13" s="28" t="n">
        <v>-154555.032522298</v>
      </c>
      <c r="O13" s="29" t="n">
        <v>811413.9207420646</v>
      </c>
      <c r="P13" s="28" t="n">
        <v>-221381.8827131309</v>
      </c>
      <c r="Q13" s="28" t="n">
        <v>-332876.4976399401</v>
      </c>
      <c r="R13" s="31" t="n">
        <v>1636861.699400356</v>
      </c>
      <c r="S13" s="32" t="n">
        <v>4.551128057799534</v>
      </c>
      <c r="T13" s="28" t="n">
        <v>0</v>
      </c>
      <c r="U13" s="33" t="n">
        <v>1360408.535668874</v>
      </c>
      <c r="V13" s="33" t="n">
        <v>1027532.038028934</v>
      </c>
      <c r="W13" s="33" t="n">
        <v>5510940.279751192</v>
      </c>
      <c r="X13" s="30" t="n">
        <v>77.277516261149</v>
      </c>
      <c r="Y13" s="30" t="n">
        <v>25.85912563658813</v>
      </c>
      <c r="Z13" s="30" t="n">
        <v>97.86019409799368</v>
      </c>
    </row>
    <row r="14">
      <c r="A14" s="25" t="n">
        <v>5</v>
      </c>
      <c r="B14" s="26" t="n">
        <v>206664.3837070312</v>
      </c>
      <c r="C14" s="26" t="n">
        <v>957613.3291798732</v>
      </c>
      <c r="D14" s="26" t="n">
        <v>309446.8351060429</v>
      </c>
      <c r="E14" s="27" t="n">
        <v>1473724.547992947</v>
      </c>
      <c r="F14" s="28" t="n">
        <v>-78785.61670000001</v>
      </c>
      <c r="G14" s="28" t="n">
        <v>-19696.404175</v>
      </c>
      <c r="H14" s="29" t="n">
        <v>1375242.527117947</v>
      </c>
      <c r="I14" s="30" t="n">
        <v>93.31747435373036</v>
      </c>
      <c r="J14" s="28" t="n">
        <v>-437500</v>
      </c>
      <c r="K14" s="29" t="n">
        <v>937742.5271179473</v>
      </c>
      <c r="L14" s="28" t="n">
        <v>-98211.70196402134</v>
      </c>
      <c r="M14" s="29" t="n">
        <v>839530.825153926</v>
      </c>
      <c r="N14" s="28" t="n">
        <v>-134324.9320246282</v>
      </c>
      <c r="O14" s="29" t="n">
        <v>705205.8931292979</v>
      </c>
      <c r="P14" s="28" t="n">
        <v>-234664.7956759188</v>
      </c>
      <c r="Q14" s="28" t="n">
        <v>-332876.4976399401</v>
      </c>
      <c r="R14" s="31" t="n">
        <v>1402196.903724437</v>
      </c>
      <c r="S14" s="32" t="n">
        <v>4.131389680161485</v>
      </c>
      <c r="T14" s="28" t="n">
        <v>-350000</v>
      </c>
      <c r="U14" s="33" t="n">
        <v>890917.5950933192</v>
      </c>
      <c r="V14" s="33" t="n">
        <v>558041.0974533791</v>
      </c>
      <c r="W14" s="33" t="n">
        <v>6068981.377204571</v>
      </c>
      <c r="X14" s="30" t="n">
        <v>67.16246601231408</v>
      </c>
      <c r="Y14" s="30" t="n">
        <v>22.50582065083074</v>
      </c>
      <c r="Z14" s="30" t="n">
        <v>53.1467711860361</v>
      </c>
    </row>
    <row r="15">
      <c r="A15" s="25" t="n">
        <v>6</v>
      </c>
      <c r="B15" s="26" t="n">
        <v>185505.8872798828</v>
      </c>
      <c r="C15" s="26" t="n">
        <v>877086.7537715657</v>
      </c>
      <c r="D15" s="26" t="n">
        <v>283313.6725071485</v>
      </c>
      <c r="E15" s="27" t="n">
        <v>1345906.313558597</v>
      </c>
      <c r="F15" s="28" t="n">
        <v>-81149.185201</v>
      </c>
      <c r="G15" s="28" t="n">
        <v>-20287.29630025</v>
      </c>
      <c r="H15" s="29" t="n">
        <v>1244469.832057347</v>
      </c>
      <c r="I15" s="30" t="n">
        <v>92.46333266443706</v>
      </c>
      <c r="J15" s="28" t="n">
        <v>-437500</v>
      </c>
      <c r="K15" s="29" t="n">
        <v>806969.8320573468</v>
      </c>
      <c r="L15" s="28" t="n">
        <v>-84131.81422346622</v>
      </c>
      <c r="M15" s="29" t="n">
        <v>722838.0178338806</v>
      </c>
      <c r="N15" s="28" t="n">
        <v>-115654.0828534209</v>
      </c>
      <c r="O15" s="29" t="n">
        <v>607183.9349804597</v>
      </c>
      <c r="P15" s="28" t="n">
        <v>-248744.6834164739</v>
      </c>
      <c r="Q15" s="28" t="n">
        <v>-332876.4976399401</v>
      </c>
      <c r="R15" s="31" t="n">
        <v>1153452.220307963</v>
      </c>
      <c r="S15" s="32" t="n">
        <v>3.738533182367962</v>
      </c>
      <c r="T15" s="28" t="n">
        <v>0</v>
      </c>
      <c r="U15" s="33" t="n">
        <v>1128815.749203926</v>
      </c>
      <c r="V15" s="33" t="n">
        <v>795939.2515639858</v>
      </c>
      <c r="W15" s="33" t="n">
        <v>6864920.628768557</v>
      </c>
      <c r="X15" s="30" t="n">
        <v>57.82704142671046</v>
      </c>
      <c r="Y15" s="30" t="n">
        <v>19.36727596937632</v>
      </c>
      <c r="Z15" s="30" t="n">
        <v>75.80373824418912</v>
      </c>
    </row>
    <row r="16">
      <c r="A16" s="25" t="n">
        <v>7</v>
      </c>
      <c r="B16" s="26" t="n">
        <v>171512.9862997193</v>
      </c>
      <c r="C16" s="26" t="n">
        <v>799987.9988029361</v>
      </c>
      <c r="D16" s="26" t="n">
        <v>258293.7637662574</v>
      </c>
      <c r="E16" s="27" t="n">
        <v>1229794.748868913</v>
      </c>
      <c r="F16" s="28" t="n">
        <v>-83583.66075703001</v>
      </c>
      <c r="G16" s="28" t="n">
        <v>-20895.9151892575</v>
      </c>
      <c r="H16" s="29" t="n">
        <v>1125315.172922625</v>
      </c>
      <c r="I16" s="30" t="n">
        <v>91.50430784955122</v>
      </c>
      <c r="J16" s="28" t="n">
        <v>-437500</v>
      </c>
      <c r="K16" s="29" t="n">
        <v>687815.1729226254</v>
      </c>
      <c r="L16" s="28" t="n">
        <v>-69207.13321847779</v>
      </c>
      <c r="M16" s="29" t="n">
        <v>618608.0397041476</v>
      </c>
      <c r="N16" s="28" t="n">
        <v>-98977.28635266362</v>
      </c>
      <c r="O16" s="29" t="n">
        <v>519630.753351484</v>
      </c>
      <c r="P16" s="28" t="n">
        <v>-263669.3644214623</v>
      </c>
      <c r="Q16" s="28" t="n">
        <v>-332876.4976399401</v>
      </c>
      <c r="R16" s="31" t="n">
        <v>889782.8558865008</v>
      </c>
      <c r="S16" s="32" t="n">
        <v>3.380578625709515</v>
      </c>
      <c r="T16" s="28" t="n">
        <v>0</v>
      </c>
      <c r="U16" s="33" t="n">
        <v>1026337.886569962</v>
      </c>
      <c r="V16" s="33" t="n">
        <v>693461.3889300217</v>
      </c>
      <c r="W16" s="33" t="n">
        <v>7558382.017698579</v>
      </c>
      <c r="X16" s="30" t="n">
        <v>49.48864317633181</v>
      </c>
      <c r="Y16" s="30" t="n">
        <v>16.50756415014301</v>
      </c>
      <c r="Z16" s="30" t="n">
        <v>66.04394180285921</v>
      </c>
    </row>
    <row r="17">
      <c r="A17" s="25" t="n">
        <v>8</v>
      </c>
      <c r="B17" s="26" t="n">
        <v>167225.1616422263</v>
      </c>
      <c r="C17" s="26" t="n">
        <v>739644.0764794388</v>
      </c>
      <c r="D17" s="26" t="n">
        <v>237845.5074680954</v>
      </c>
      <c r="E17" s="27" t="n">
        <v>1144714.745589761</v>
      </c>
      <c r="F17" s="28" t="n">
        <v>-86091.17057974091</v>
      </c>
      <c r="G17" s="28" t="n">
        <v>-21522.79264493523</v>
      </c>
      <c r="H17" s="29" t="n">
        <v>1037100.782365084</v>
      </c>
      <c r="I17" s="30" t="n">
        <v>90.59905853058325</v>
      </c>
      <c r="J17" s="28" t="n">
        <v>-437500</v>
      </c>
      <c r="K17" s="29" t="n">
        <v>599600.7823650844</v>
      </c>
      <c r="L17" s="28" t="n">
        <v>-53386.97135319005</v>
      </c>
      <c r="M17" s="29" t="n">
        <v>546213.8110118944</v>
      </c>
      <c r="N17" s="28" t="n">
        <v>-87394.2097619031</v>
      </c>
      <c r="O17" s="29" t="n">
        <v>458819.6012499913</v>
      </c>
      <c r="P17" s="28" t="n">
        <v>-279489.5262867501</v>
      </c>
      <c r="Q17" s="28" t="n">
        <v>-332876.4976399401</v>
      </c>
      <c r="R17" s="31" t="n">
        <v>610293.3295997507</v>
      </c>
      <c r="S17" s="32" t="n">
        <v>3.11557226093768</v>
      </c>
      <c r="T17" s="28" t="n">
        <v>0</v>
      </c>
      <c r="U17" s="33" t="n">
        <v>949706.5726031812</v>
      </c>
      <c r="V17" s="33" t="n">
        <v>616830.0749632411</v>
      </c>
      <c r="W17" s="33" t="n">
        <v>8175212.092661819</v>
      </c>
      <c r="X17" s="30" t="n">
        <v>43.69710488095155</v>
      </c>
      <c r="Y17" s="30" t="n">
        <v>14.39041877676203</v>
      </c>
      <c r="Z17" s="30" t="n">
        <v>58.74572142507058</v>
      </c>
    </row>
    <row r="18">
      <c r="A18" s="25" t="n">
        <v>9</v>
      </c>
      <c r="B18" s="26" t="n">
        <v>163044.5326011706</v>
      </c>
      <c r="C18" s="26" t="n">
        <v>721152.9745674528</v>
      </c>
      <c r="D18" s="26" t="n">
        <v>218258.2303824875</v>
      </c>
      <c r="E18" s="27" t="n">
        <v>1102455.737551111</v>
      </c>
      <c r="F18" s="28" t="n">
        <v>-88673.90569713314</v>
      </c>
      <c r="G18" s="28" t="n">
        <v>-22168.47642428329</v>
      </c>
      <c r="H18" s="29" t="n">
        <v>991613.3554296944</v>
      </c>
      <c r="I18" s="30" t="n">
        <v>89.94586554852252</v>
      </c>
      <c r="J18" s="28" t="n">
        <v>-0</v>
      </c>
      <c r="K18" s="29" t="n">
        <v>991613.3554296944</v>
      </c>
      <c r="L18" s="28" t="n">
        <v>-36617.59977598504</v>
      </c>
      <c r="M18" s="29" t="n">
        <v>954995.7556537094</v>
      </c>
      <c r="N18" s="28" t="n">
        <v>-152799.3209045935</v>
      </c>
      <c r="O18" s="29" t="n">
        <v>802196.434749116</v>
      </c>
      <c r="P18" s="28" t="n">
        <v>-296258.8978639551</v>
      </c>
      <c r="Q18" s="28" t="n">
        <v>-332876.4976399401</v>
      </c>
      <c r="R18" s="31" t="n">
        <v>314034.4317357956</v>
      </c>
      <c r="S18" s="32" t="n">
        <v>2.978922700942032</v>
      </c>
      <c r="T18" s="28" t="n">
        <v>0</v>
      </c>
      <c r="U18" s="33" t="n">
        <v>838814.0345251008</v>
      </c>
      <c r="V18" s="33" t="n">
        <v>505937.5368851607</v>
      </c>
      <c r="W18" s="33" t="n">
        <v>8681149.629546979</v>
      </c>
      <c r="X18" s="30" t="n">
        <v>76.39966045229676</v>
      </c>
      <c r="Y18" s="30" t="n">
        <v>23.79872053031266</v>
      </c>
      <c r="Z18" s="30" t="n">
        <v>48.18452732239626</v>
      </c>
    </row>
    <row r="19">
      <c r="A19" s="25" t="n">
        <v>10</v>
      </c>
      <c r="B19" s="26" t="n">
        <v>158968.4192861413</v>
      </c>
      <c r="C19" s="26" t="n">
        <v>703124.1502032665</v>
      </c>
      <c r="D19" s="26" t="n">
        <v>199501.6637089924</v>
      </c>
      <c r="E19" s="27" t="n">
        <v>1061594.2331984</v>
      </c>
      <c r="F19" s="28" t="n">
        <v>-91334.12286804714</v>
      </c>
      <c r="G19" s="28" t="n">
        <v>-22833.53071701178</v>
      </c>
      <c r="H19" s="29" t="n">
        <v>947426.5796133415</v>
      </c>
      <c r="I19" s="30" t="n">
        <v>89.24564112965352</v>
      </c>
      <c r="J19" s="28" t="n">
        <v>-0</v>
      </c>
      <c r="K19" s="29" t="n">
        <v>947426.5796133415</v>
      </c>
      <c r="L19" s="28" t="n">
        <v>-18842.06590414774</v>
      </c>
      <c r="M19" s="29" t="n">
        <v>928584.5137091938</v>
      </c>
      <c r="N19" s="28" t="n">
        <v>-148573.522193471</v>
      </c>
      <c r="O19" s="29" t="n">
        <v>780010.9915157228</v>
      </c>
      <c r="P19" s="28" t="n">
        <v>-314034.4317357924</v>
      </c>
      <c r="Q19" s="28" t="n">
        <v>-332876.4976399401</v>
      </c>
      <c r="R19" s="31" t="n">
        <v>3.259629011154175e-09</v>
      </c>
      <c r="S19" s="32" t="n">
        <v>2.846180449297255</v>
      </c>
      <c r="T19" s="28" t="n">
        <v>-350000</v>
      </c>
      <c r="U19" s="33" t="n">
        <v>448853.0574198705</v>
      </c>
      <c r="V19" s="33" t="n">
        <v>115976.5597799304</v>
      </c>
      <c r="W19" s="33" t="n">
        <v>8797126.18932691</v>
      </c>
      <c r="X19" s="30" t="n">
        <v>74.2867610967355</v>
      </c>
      <c r="Y19" s="30" t="n">
        <v>22.73823791072019</v>
      </c>
      <c r="Z19" s="30" t="n">
        <v>11.04538664570766</v>
      </c>
    </row>
    <row r="20">
      <c r="A20" s="25" t="n">
        <v>11</v>
      </c>
      <c r="B20" s="26" t="n">
        <v>154994.2088039878</v>
      </c>
      <c r="C20" s="26" t="n">
        <v>685546.0464481849</v>
      </c>
      <c r="D20" s="26" t="n">
        <v>184788.4160104543</v>
      </c>
      <c r="E20" s="27" t="n">
        <v>1025328.671262627</v>
      </c>
      <c r="F20" s="28" t="n">
        <v>-94074.14655408855</v>
      </c>
      <c r="G20" s="28" t="n">
        <v>-23518.53663852214</v>
      </c>
      <c r="H20" s="29" t="n">
        <v>907735.9880700163</v>
      </c>
      <c r="I20" s="30" t="n">
        <v>88.5312206233536</v>
      </c>
      <c r="J20" s="28" t="n">
        <v>-0</v>
      </c>
      <c r="K20" s="29" t="n">
        <v>907735.9880700163</v>
      </c>
      <c r="L20" s="28" t="n">
        <v>-0</v>
      </c>
      <c r="M20" s="29" t="n">
        <v>907735.9880700163</v>
      </c>
      <c r="N20" s="28" t="n">
        <v>-145237.7580912026</v>
      </c>
      <c r="O20" s="29" t="n">
        <v>762498.2299788137</v>
      </c>
      <c r="P20" s="28" t="n">
        <v>-0</v>
      </c>
      <c r="Q20" s="28" t="n">
        <v>0</v>
      </c>
      <c r="R20" s="31" t="n">
        <v>0</v>
      </c>
      <c r="S20" s="32" t="n">
        <v/>
      </c>
      <c r="T20" s="28" t="n">
        <v>0</v>
      </c>
      <c r="U20" s="33" t="n">
        <v>762498.2299788137</v>
      </c>
      <c r="V20" s="33" t="n">
        <v>762498.2299788137</v>
      </c>
      <c r="W20" s="33" t="n">
        <v>9559624.419305723</v>
      </c>
      <c r="X20" s="30" t="n">
        <v>72.6188790456013</v>
      </c>
      <c r="Y20" s="30" t="n">
        <v>21.78566371368039</v>
      </c>
      <c r="Z20" s="30" t="n">
        <v>72.6188790456013</v>
      </c>
    </row>
    <row r="21">
      <c r="A21" s="25" t="n">
        <v>12</v>
      </c>
      <c r="B21" s="26" t="n">
        <v>151119.3535838881</v>
      </c>
      <c r="C21" s="26" t="n">
        <v>668407.3952869802</v>
      </c>
      <c r="D21" s="26" t="n">
        <v>170686.1421570249</v>
      </c>
      <c r="E21" s="27" t="n">
        <v>990212.8910278932</v>
      </c>
      <c r="F21" s="28" t="n">
        <v>-96896.37095071122</v>
      </c>
      <c r="G21" s="28" t="n">
        <v>-24224.09273767781</v>
      </c>
      <c r="H21" s="29" t="n">
        <v>869092.4273395041</v>
      </c>
      <c r="I21" s="30" t="n">
        <v>87.7682400637443</v>
      </c>
      <c r="J21" s="28" t="n">
        <v>-0</v>
      </c>
      <c r="K21" s="29" t="n">
        <v>869092.4273395041</v>
      </c>
      <c r="L21" s="28" t="n">
        <v>-0</v>
      </c>
      <c r="M21" s="29" t="n">
        <v>869092.4273395041</v>
      </c>
      <c r="N21" s="28" t="n">
        <v>-139054.7883743207</v>
      </c>
      <c r="O21" s="29" t="n">
        <v>730037.6389651834</v>
      </c>
      <c r="P21" s="28" t="n">
        <v>-0</v>
      </c>
      <c r="Q21" s="28" t="n">
        <v>0</v>
      </c>
      <c r="R21" s="31" t="n">
        <v>0</v>
      </c>
      <c r="S21" s="32" t="n">
        <v/>
      </c>
      <c r="T21" s="28" t="n">
        <v>0</v>
      </c>
      <c r="U21" s="33" t="n">
        <v>730037.6389651834</v>
      </c>
      <c r="V21" s="33" t="n">
        <v>730037.6389651834</v>
      </c>
      <c r="W21" s="33" t="n">
        <v>10289662.05827091</v>
      </c>
      <c r="X21" s="30" t="n">
        <v>69.52739418716033</v>
      </c>
      <c r="Y21" s="30" t="n">
        <v>20.8582182561481</v>
      </c>
      <c r="Z21" s="30" t="n">
        <v>69.52739418716033</v>
      </c>
    </row>
    <row r="22">
      <c r="A22" s="25" t="n">
        <v>13</v>
      </c>
      <c r="B22" s="26" t="n">
        <v>147341.3697442909</v>
      </c>
      <c r="C22" s="26" t="n">
        <v>651697.2104048056</v>
      </c>
      <c r="D22" s="26" t="n">
        <v>157173.4892362604</v>
      </c>
      <c r="E22" s="27" t="n">
        <v>956212.0693853569</v>
      </c>
      <c r="F22" s="28" t="n">
        <v>-99803.26207923255</v>
      </c>
      <c r="G22" s="28" t="n">
        <v>-24950.81551980814</v>
      </c>
      <c r="H22" s="29" t="n">
        <v>831457.9917863163</v>
      </c>
      <c r="I22" s="30" t="n">
        <v>86.95330444017181</v>
      </c>
      <c r="J22" s="28" t="n">
        <v>-0</v>
      </c>
      <c r="K22" s="29" t="n">
        <v>831457.9917863163</v>
      </c>
      <c r="L22" s="28" t="n">
        <v>-0</v>
      </c>
      <c r="M22" s="29" t="n">
        <v>831457.9917863163</v>
      </c>
      <c r="N22" s="28" t="n">
        <v>-133033.2786858106</v>
      </c>
      <c r="O22" s="29" t="n">
        <v>698424.7131005056</v>
      </c>
      <c r="P22" s="28" t="n">
        <v>-0</v>
      </c>
      <c r="Q22" s="28" t="n">
        <v>0</v>
      </c>
      <c r="R22" s="31" t="n">
        <v>0</v>
      </c>
      <c r="S22" s="32" t="n">
        <v/>
      </c>
      <c r="T22" s="28" t="n">
        <v>0</v>
      </c>
      <c r="U22" s="33" t="n">
        <v>698424.7131005056</v>
      </c>
      <c r="V22" s="33" t="n">
        <v>698424.7131005056</v>
      </c>
      <c r="W22" s="33" t="n">
        <v>10988086.77137141</v>
      </c>
      <c r="X22" s="30" t="n">
        <v>66.51663934290531</v>
      </c>
      <c r="Y22" s="30" t="n">
        <v>19.95499180287159</v>
      </c>
      <c r="Z22" s="30" t="n">
        <v>66.51663934290531</v>
      </c>
    </row>
    <row r="23">
      <c r="A23" s="25" t="n">
        <v>14</v>
      </c>
      <c r="B23" s="26" t="n">
        <v>143657.8355006836</v>
      </c>
      <c r="C23" s="26" t="n">
        <v>635404.7801446855</v>
      </c>
      <c r="D23" s="26" t="n">
        <v>144229.790122686</v>
      </c>
      <c r="E23" s="27" t="n">
        <v>923292.4057680552</v>
      </c>
      <c r="F23" s="28" t="n">
        <v>-102797.3599416095</v>
      </c>
      <c r="G23" s="28" t="n">
        <v>-25699.33998540238</v>
      </c>
      <c r="H23" s="29" t="n">
        <v>794795.7058410433</v>
      </c>
      <c r="I23" s="30" t="n">
        <v>86.08277300622656</v>
      </c>
      <c r="J23" s="28" t="n">
        <v>-0</v>
      </c>
      <c r="K23" s="29" t="n">
        <v>794795.7058410433</v>
      </c>
      <c r="L23" s="28" t="n">
        <v>-0</v>
      </c>
      <c r="M23" s="29" t="n">
        <v>794795.7058410433</v>
      </c>
      <c r="N23" s="28" t="n">
        <v>-127167.3129345669</v>
      </c>
      <c r="O23" s="29" t="n">
        <v>667628.3929064763</v>
      </c>
      <c r="P23" s="28" t="n">
        <v>-0</v>
      </c>
      <c r="Q23" s="28" t="n">
        <v>0</v>
      </c>
      <c r="R23" s="31" t="n">
        <v>0</v>
      </c>
      <c r="S23" s="32" t="n">
        <v/>
      </c>
      <c r="T23" s="28" t="n">
        <v>0</v>
      </c>
      <c r="U23" s="33" t="n">
        <v>667628.3929064763</v>
      </c>
      <c r="V23" s="33" t="n">
        <v>667628.3929064763</v>
      </c>
      <c r="W23" s="33" t="n">
        <v>11655715.16427789</v>
      </c>
      <c r="X23" s="30" t="n">
        <v>63.58365646728345</v>
      </c>
      <c r="Y23" s="30" t="n">
        <v>19.07509694018504</v>
      </c>
      <c r="Z23" s="30" t="n">
        <v>63.58365646728345</v>
      </c>
    </row>
    <row r="24">
      <c r="A24" s="25" t="n">
        <v>15</v>
      </c>
      <c r="B24" s="26" t="n">
        <v>140066.3896131665</v>
      </c>
      <c r="C24" s="26" t="n">
        <v>619519.6606410685</v>
      </c>
      <c r="D24" s="26" t="n">
        <v>134764.7101458847</v>
      </c>
      <c r="E24" s="27" t="n">
        <v>894350.7604001198</v>
      </c>
      <c r="F24" s="28" t="n">
        <v>-105881.2807398578</v>
      </c>
      <c r="G24" s="28" t="n">
        <v>-26470.32018496446</v>
      </c>
      <c r="H24" s="29" t="n">
        <v>761999.1594752976</v>
      </c>
      <c r="I24" s="30" t="n">
        <v>85.20137659796812</v>
      </c>
      <c r="J24" s="28" t="n">
        <v>-0</v>
      </c>
      <c r="K24" s="29" t="n">
        <v>761999.1594752976</v>
      </c>
      <c r="L24" s="28" t="n">
        <v>-0</v>
      </c>
      <c r="M24" s="29" t="n">
        <v>761999.1594752976</v>
      </c>
      <c r="N24" s="28" t="n">
        <v>-121919.8655160476</v>
      </c>
      <c r="O24" s="29" t="n">
        <v>640079.29395925</v>
      </c>
      <c r="P24" s="28" t="n">
        <v>-0</v>
      </c>
      <c r="Q24" s="28" t="n">
        <v>0</v>
      </c>
      <c r="R24" s="31" t="n">
        <v>0</v>
      </c>
      <c r="S24" s="32" t="n">
        <v/>
      </c>
      <c r="T24" s="28" t="n">
        <v>0</v>
      </c>
      <c r="U24" s="33" t="n">
        <v>640079.29395925</v>
      </c>
      <c r="V24" s="33" t="n">
        <v>640079.29395925</v>
      </c>
      <c r="W24" s="33" t="n">
        <v>12295794.45823714</v>
      </c>
      <c r="X24" s="30" t="n">
        <v>60.9599327580238</v>
      </c>
      <c r="Y24" s="30" t="n">
        <v>18.28797982740714</v>
      </c>
      <c r="Z24" s="30" t="n">
        <v>60.9599327580238</v>
      </c>
    </row>
    <row r="26">
      <c r="A26" s="4" t="inlineStr">
        <is>
          <t>Scenario description</t>
        </is>
      </c>
    </row>
    <row r="27" ht="80" customHeight="1">
      <c r="A27" s="18" t="inlineStr">
        <is>
          <t>Y1 reflects today's Romanian state: 10% market share, pre-PICASSO. PICASSO assumed to go live at Y3 → -25% step on capacity + activation. Standard compression schedule (8%/yr from Y3) bottoms at 55% of Y1 by Y8.</t>
        </is>
      </c>
    </row>
  </sheetData>
  <mergeCells count="3">
    <mergeCell ref="A1:Z1"/>
    <mergeCell ref="A27:Z27"/>
    <mergeCell ref="A26:Z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1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1" customWidth="1" min="19" max="19"/>
    <col width="14" customWidth="1" min="20" max="20"/>
    <col width="14" customWidth="1" min="21" max="21"/>
    <col width="14" customWidth="1" min="22" max="22"/>
    <col width="14" customWidth="1" min="23" max="23"/>
    <col width="11" customWidth="1" min="24" max="24"/>
    <col width="11" customWidth="1" min="25" max="25"/>
    <col width="11" customWidth="1" min="26" max="26"/>
  </cols>
  <sheetData>
    <row r="1" ht="28" customHeight="1">
      <c r="A1" s="19" t="inlineStr">
        <is>
          <t>A. Current (10% share, pre-PICASSO)  ← REALISTIC (operator drag applied)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  <c r="O1" s="20" t="n"/>
      <c r="P1" s="20" t="n"/>
      <c r="Q1" s="20" t="n"/>
      <c r="R1" s="20" t="n"/>
      <c r="S1" s="20" t="n"/>
      <c r="T1" s="20" t="n"/>
      <c r="U1" s="20" t="n"/>
      <c r="V1" s="20" t="n"/>
      <c r="W1" s="20" t="n"/>
      <c r="X1" s="20" t="n"/>
      <c r="Y1" s="20" t="n"/>
      <c r="Z1" s="21" t="n"/>
    </row>
    <row r="2">
      <c r="A2" s="22" t="inlineStr">
        <is>
          <t>Y1 revenue</t>
        </is>
      </c>
      <c r="B2" s="23" t="inlineStr">
        <is>
          <t>€1.07M</t>
        </is>
      </c>
      <c r="C2" s="22" t="inlineStr">
        <is>
          <t>Y1 EBITDA</t>
        </is>
      </c>
      <c r="D2" s="23" t="inlineStr">
        <is>
          <t>€986k</t>
        </is>
      </c>
      <c r="E2" s="22" t="inlineStr">
        <is>
          <t>Y1 EBITDA margin</t>
        </is>
      </c>
      <c r="F2" s="23" t="inlineStr">
        <is>
          <t>91.85%</t>
        </is>
      </c>
      <c r="G2" s="22" t="inlineStr">
        <is>
          <t>Y1 Net income</t>
        </is>
      </c>
      <c r="H2" s="23" t="inlineStr">
        <is>
          <t>€337k</t>
        </is>
      </c>
    </row>
    <row r="3">
      <c r="A3" s="22" t="inlineStr">
        <is>
          <t>Y1 Equity FCF</t>
        </is>
      </c>
      <c r="B3" s="23" t="inlineStr">
        <is>
          <t>€589k</t>
        </is>
      </c>
      <c r="C3" s="22" t="inlineStr">
        <is>
          <t>Equity IRR</t>
        </is>
      </c>
      <c r="D3" s="23" t="inlineStr">
        <is>
          <t>33.31%</t>
        </is>
      </c>
      <c r="E3" s="22" t="inlineStr">
        <is>
          <t>Project IRR</t>
        </is>
      </c>
      <c r="F3" s="23" t="inlineStr">
        <is>
          <t>12.82%</t>
        </is>
      </c>
      <c r="G3" s="22" t="inlineStr">
        <is>
          <t>Equity MIRR</t>
        </is>
      </c>
      <c r="H3" s="23" t="inlineStr">
        <is>
          <t>11.80%</t>
        </is>
      </c>
    </row>
    <row r="4">
      <c r="A4" s="22" t="inlineStr">
        <is>
          <t>Equity payback</t>
        </is>
      </c>
      <c r="B4" s="23" t="inlineStr">
        <is>
          <t>1.8 yr</t>
        </is>
      </c>
      <c r="C4" s="22" t="inlineStr">
        <is>
          <t>Disc. payback @ 8%</t>
        </is>
      </c>
      <c r="D4" s="23" t="inlineStr">
        <is>
          <t>2.1 yr</t>
        </is>
      </c>
      <c r="E4" s="22" t="inlineStr">
        <is>
          <t>MOIC</t>
        </is>
      </c>
      <c r="F4" s="23" t="inlineStr">
        <is>
          <t>3.32x</t>
        </is>
      </c>
      <c r="G4" s="22" t="inlineStr">
        <is>
          <t>Avg ROE</t>
        </is>
      </c>
      <c r="H4" s="23" t="inlineStr">
        <is>
          <t>16.87%</t>
        </is>
      </c>
    </row>
    <row r="5">
      <c r="A5" s="22" t="inlineStr">
        <is>
          <t>Equity NPV @ 8%</t>
        </is>
      </c>
      <c r="B5" s="23" t="inlineStr">
        <is>
          <t>€953k</t>
        </is>
      </c>
      <c r="C5" s="22" t="inlineStr">
        <is>
          <t>Equity NPV @ 10%</t>
        </is>
      </c>
      <c r="D5" s="23" t="inlineStr">
        <is>
          <t>€804k</t>
        </is>
      </c>
      <c r="E5" s="22" t="inlineStr">
        <is>
          <t>Project NPV @ 8%</t>
        </is>
      </c>
      <c r="F5" s="23" t="inlineStr">
        <is>
          <t>€737k</t>
        </is>
      </c>
      <c r="G5" s="22" t="inlineStr">
        <is>
          <t>Project NPV @ 10%</t>
        </is>
      </c>
      <c r="H5" s="23" t="inlineStr">
        <is>
          <t>€399k</t>
        </is>
      </c>
    </row>
    <row r="6">
      <c r="A6" s="22" t="inlineStr">
        <is>
          <t>Min DSCR</t>
        </is>
      </c>
      <c r="B6" s="23" t="inlineStr">
        <is>
          <t>1.11x</t>
        </is>
      </c>
      <c r="C6" s="22" t="inlineStr">
        <is>
          <t>Avg DSCR</t>
        </is>
      </c>
      <c r="D6" s="23" t="inlineStr">
        <is>
          <t>nanx</t>
        </is>
      </c>
      <c r="E6" s="22" t="inlineStr">
        <is>
          <t>LLCR</t>
        </is>
      </c>
      <c r="F6" s="23" t="inlineStr">
        <is>
          <t>1.65x</t>
        </is>
      </c>
      <c r="G6" s="22" t="inlineStr">
        <is>
          <t>PLCR</t>
        </is>
      </c>
      <c r="H6" s="23" t="inlineStr">
        <is>
          <t>1.89x</t>
        </is>
      </c>
    </row>
    <row r="7"/>
    <row r="8"/>
    <row r="9" ht="42" customHeight="1">
      <c r="A9" s="24" t="inlineStr">
        <is>
          <t>Year</t>
        </is>
      </c>
      <c r="B9" s="24" t="inlineStr">
        <is>
          <t>aFRR capacity (€)</t>
        </is>
      </c>
      <c r="C9" s="24" t="inlineStr">
        <is>
          <t>aFRR activation (€)</t>
        </is>
      </c>
      <c r="D9" s="24" t="inlineStr">
        <is>
          <t>PZU arbitrage (€)</t>
        </is>
      </c>
      <c r="E9" s="24" t="inlineStr">
        <is>
          <t>Total revenue (€)</t>
        </is>
      </c>
      <c r="F9" s="24" t="inlineStr">
        <is>
          <t>OPEX (€)</t>
        </is>
      </c>
      <c r="G9" s="24" t="inlineStr">
        <is>
          <t>Insurance (€)</t>
        </is>
      </c>
      <c r="H9" s="24" t="inlineStr">
        <is>
          <t>EBITDA (€)</t>
        </is>
      </c>
      <c r="I9" s="24" t="inlineStr">
        <is>
          <t>EBITDA margin (%)</t>
        </is>
      </c>
      <c r="J9" s="24" t="inlineStr">
        <is>
          <t>Depreciation (€)</t>
        </is>
      </c>
      <c r="K9" s="24" t="inlineStr">
        <is>
          <t>EBIT (€)</t>
        </is>
      </c>
      <c r="L9" s="24" t="inlineStr">
        <is>
          <t>Interest expense (€)</t>
        </is>
      </c>
      <c r="M9" s="24" t="inlineStr">
        <is>
          <t>EBT (€)</t>
        </is>
      </c>
      <c r="N9" s="24" t="inlineStr">
        <is>
          <t>Tax (€)</t>
        </is>
      </c>
      <c r="O9" s="24" t="inlineStr">
        <is>
          <t>Net income (€)</t>
        </is>
      </c>
      <c r="P9" s="24" t="inlineStr">
        <is>
          <t>Principal payment (€)</t>
        </is>
      </c>
      <c r="Q9" s="24" t="inlineStr">
        <is>
          <t>Debt service total (€)</t>
        </is>
      </c>
      <c r="R9" s="24" t="inlineStr">
        <is>
          <t>Debt outstanding YE (€)</t>
        </is>
      </c>
      <c r="S9" s="24" t="inlineStr">
        <is>
          <t>DSCR</t>
        </is>
      </c>
      <c r="T9" s="24" t="inlineStr">
        <is>
          <t>Augmentation (€)</t>
        </is>
      </c>
      <c r="U9" s="24" t="inlineStr">
        <is>
          <t>Project FCF (€)</t>
        </is>
      </c>
      <c r="V9" s="24" t="inlineStr">
        <is>
          <t>Equity FCF (€)</t>
        </is>
      </c>
      <c r="W9" s="24" t="inlineStr">
        <is>
          <t>Cumulative equity FCF (€)</t>
        </is>
      </c>
      <c r="X9" s="24" t="inlineStr">
        <is>
          <t>ROE (%)</t>
        </is>
      </c>
      <c r="Y9" s="24" t="inlineStr">
        <is>
          <t>ROIC (%)</t>
        </is>
      </c>
      <c r="Z9" s="24" t="inlineStr">
        <is>
          <t>Cash-on-cash yield (%)</t>
        </is>
      </c>
    </row>
    <row r="10">
      <c r="A10" s="25" t="n">
        <v>1</v>
      </c>
      <c r="B10" s="26" t="n">
        <v>337590</v>
      </c>
      <c r="C10" s="26" t="n">
        <v>401391.15</v>
      </c>
      <c r="D10" s="26" t="n">
        <v>334074.8</v>
      </c>
      <c r="E10" s="27" t="n">
        <v>1073055.95</v>
      </c>
      <c r="F10" s="28" t="n">
        <v>-70000</v>
      </c>
      <c r="G10" s="28" t="n">
        <v>-17500</v>
      </c>
      <c r="H10" s="29" t="n">
        <v>985555.95</v>
      </c>
      <c r="I10" s="30" t="n">
        <v>91.8457187623814</v>
      </c>
      <c r="J10" s="28" t="n">
        <v>-437500</v>
      </c>
      <c r="K10" s="29" t="n">
        <v>548055.95</v>
      </c>
      <c r="L10" s="28" t="n">
        <v>-147000</v>
      </c>
      <c r="M10" s="29" t="n">
        <v>401055.95</v>
      </c>
      <c r="N10" s="28" t="n">
        <v>-64168.952</v>
      </c>
      <c r="O10" s="29" t="n">
        <v>336886.998</v>
      </c>
      <c r="P10" s="28" t="n">
        <v>-185876.4976399401</v>
      </c>
      <c r="Q10" s="28" t="n">
        <v>-332876.4976399401</v>
      </c>
      <c r="R10" s="31" t="n">
        <v>2264123.50236006</v>
      </c>
      <c r="S10" s="32" t="n">
        <v>2.960725545322333</v>
      </c>
      <c r="T10" s="28" t="n">
        <v>0</v>
      </c>
      <c r="U10" s="33" t="n">
        <v>921386.9979999999</v>
      </c>
      <c r="V10" s="33" t="n">
        <v>588510.5003600598</v>
      </c>
      <c r="W10" s="33" t="n">
        <v>588510.5003600598</v>
      </c>
      <c r="X10" s="30" t="n">
        <v>32.084476</v>
      </c>
      <c r="Y10" s="30" t="n">
        <v>13.1533428</v>
      </c>
      <c r="Z10" s="30" t="n">
        <v>56.04861908191046</v>
      </c>
    </row>
    <row r="11">
      <c r="A11" s="25" t="n">
        <v>2</v>
      </c>
      <c r="B11" s="26" t="n">
        <v>329150.25</v>
      </c>
      <c r="C11" s="26" t="n">
        <v>391356.37125</v>
      </c>
      <c r="D11" s="26" t="n">
        <v>315951.2421</v>
      </c>
      <c r="E11" s="27" t="n">
        <v>1036457.86335</v>
      </c>
      <c r="F11" s="28" t="n">
        <v>-72100</v>
      </c>
      <c r="G11" s="28" t="n">
        <v>-18025</v>
      </c>
      <c r="H11" s="29" t="n">
        <v>946332.8633500001</v>
      </c>
      <c r="I11" s="30" t="n">
        <v>91.3045186700884</v>
      </c>
      <c r="J11" s="28" t="n">
        <v>-437500</v>
      </c>
      <c r="K11" s="29" t="n">
        <v>508832.8633500001</v>
      </c>
      <c r="L11" s="28" t="n">
        <v>-135847.4101416036</v>
      </c>
      <c r="M11" s="29" t="n">
        <v>372985.4532083966</v>
      </c>
      <c r="N11" s="28" t="n">
        <v>-59677.67251334345</v>
      </c>
      <c r="O11" s="29" t="n">
        <v>313307.7806950531</v>
      </c>
      <c r="P11" s="28" t="n">
        <v>-197029.0874983365</v>
      </c>
      <c r="Q11" s="28" t="n">
        <v>-332876.4976399401</v>
      </c>
      <c r="R11" s="31" t="n">
        <v>2067094.414861723</v>
      </c>
      <c r="S11" s="32" t="n">
        <v>2.842894797498178</v>
      </c>
      <c r="T11" s="28" t="n">
        <v>0</v>
      </c>
      <c r="U11" s="33" t="n">
        <v>886655.1908366566</v>
      </c>
      <c r="V11" s="33" t="n">
        <v>553778.6931967165</v>
      </c>
      <c r="W11" s="33" t="n">
        <v>1142289.193556776</v>
      </c>
      <c r="X11" s="30" t="n">
        <v>29.83883625667173</v>
      </c>
      <c r="Y11" s="30" t="n">
        <v>12.2119887204</v>
      </c>
      <c r="Z11" s="30" t="n">
        <v>52.74082792349682</v>
      </c>
    </row>
    <row r="12">
      <c r="A12" s="25" t="n">
        <v>3</v>
      </c>
      <c r="B12" s="26" t="n">
        <v>240691.1203125</v>
      </c>
      <c r="C12" s="26" t="n">
        <v>286179.3464765625</v>
      </c>
      <c r="D12" s="26" t="n">
        <v>292173.46821</v>
      </c>
      <c r="E12" s="27" t="n">
        <v>819043.9349990624</v>
      </c>
      <c r="F12" s="28" t="n">
        <v>-74263</v>
      </c>
      <c r="G12" s="28" t="n">
        <v>-18565.75</v>
      </c>
      <c r="H12" s="29" t="n">
        <v>726215.1849990624</v>
      </c>
      <c r="I12" s="30" t="n">
        <v>88.66620628842014</v>
      </c>
      <c r="J12" s="28" t="n">
        <v>-437500</v>
      </c>
      <c r="K12" s="29" t="n">
        <v>288715.1849990624</v>
      </c>
      <c r="L12" s="28" t="n">
        <v>-124025.6648917034</v>
      </c>
      <c r="M12" s="29" t="n">
        <v>164689.520107359</v>
      </c>
      <c r="N12" s="28" t="n">
        <v>-26350.32321717745</v>
      </c>
      <c r="O12" s="29" t="n">
        <v>138339.1968901816</v>
      </c>
      <c r="P12" s="28" t="n">
        <v>-208850.8327482367</v>
      </c>
      <c r="Q12" s="28" t="n">
        <v>-332876.4976399401</v>
      </c>
      <c r="R12" s="31" t="n">
        <v>1858243.582113487</v>
      </c>
      <c r="S12" s="32" t="n">
        <v>2.181635501898911</v>
      </c>
      <c r="T12" s="28" t="n">
        <v>0</v>
      </c>
      <c r="U12" s="33" t="n">
        <v>699864.861781885</v>
      </c>
      <c r="V12" s="33" t="n">
        <v>366988.3641419449</v>
      </c>
      <c r="W12" s="33" t="n">
        <v>1509277.557698721</v>
      </c>
      <c r="X12" s="30" t="n">
        <v>13.17516160858872</v>
      </c>
      <c r="Y12" s="30" t="n">
        <v>6.929164439977499</v>
      </c>
      <c r="Z12" s="30" t="n">
        <v>34.95127277542333</v>
      </c>
    </row>
    <row r="13">
      <c r="A13" s="25" t="n">
        <v>4</v>
      </c>
      <c r="B13" s="26" t="n">
        <v>215899.9349203125</v>
      </c>
      <c r="C13" s="26" t="n">
        <v>260423.2052936718</v>
      </c>
      <c r="D13" s="26" t="n">
        <v>269387.1134881875</v>
      </c>
      <c r="E13" s="27" t="n">
        <v>745710.2537021718</v>
      </c>
      <c r="F13" s="28" t="n">
        <v>-76490.89</v>
      </c>
      <c r="G13" s="28" t="n">
        <v>-19122.7225</v>
      </c>
      <c r="H13" s="29" t="n">
        <v>650096.6412021718</v>
      </c>
      <c r="I13" s="30" t="n">
        <v>87.17818187086549</v>
      </c>
      <c r="J13" s="28" t="n">
        <v>-437500</v>
      </c>
      <c r="K13" s="29" t="n">
        <v>212596.6412021718</v>
      </c>
      <c r="L13" s="28" t="n">
        <v>-111494.6149268092</v>
      </c>
      <c r="M13" s="29" t="n">
        <v>101102.0262753626</v>
      </c>
      <c r="N13" s="28" t="n">
        <v>-16176.32420405802</v>
      </c>
      <c r="O13" s="29" t="n">
        <v>84925.70207130458</v>
      </c>
      <c r="P13" s="28" t="n">
        <v>-221381.8827131309</v>
      </c>
      <c r="Q13" s="28" t="n">
        <v>-332876.4976399401</v>
      </c>
      <c r="R13" s="31" t="n">
        <v>1636861.699400356</v>
      </c>
      <c r="S13" s="32" t="n">
        <v>1.952966477991957</v>
      </c>
      <c r="T13" s="28" t="n">
        <v>0</v>
      </c>
      <c r="U13" s="33" t="n">
        <v>633920.3169981138</v>
      </c>
      <c r="V13" s="33" t="n">
        <v>301043.8193581736</v>
      </c>
      <c r="W13" s="33" t="n">
        <v>1810321.377056895</v>
      </c>
      <c r="X13" s="30" t="n">
        <v>8.088162102029008</v>
      </c>
      <c r="Y13" s="30" t="n">
        <v>5.102319388852123</v>
      </c>
      <c r="Z13" s="30" t="n">
        <v>28.67083993887368</v>
      </c>
    </row>
    <row r="14">
      <c r="A14" s="25" t="n">
        <v>5</v>
      </c>
      <c r="B14" s="26" t="n">
        <v>192197.876847539</v>
      </c>
      <c r="C14" s="26" t="n">
        <v>239403.3322949683</v>
      </c>
      <c r="D14" s="26" t="n">
        <v>247557.4680848343</v>
      </c>
      <c r="E14" s="27" t="n">
        <v>679158.6772273417</v>
      </c>
      <c r="F14" s="28" t="n">
        <v>-78785.61670000001</v>
      </c>
      <c r="G14" s="28" t="n">
        <v>-19696.404175</v>
      </c>
      <c r="H14" s="29" t="n">
        <v>580676.6563523416</v>
      </c>
      <c r="I14" s="30" t="n">
        <v>85.49940916943713</v>
      </c>
      <c r="J14" s="28" t="n">
        <v>-437500</v>
      </c>
      <c r="K14" s="29" t="n">
        <v>143176.6563523416</v>
      </c>
      <c r="L14" s="28" t="n">
        <v>-98211.70196402134</v>
      </c>
      <c r="M14" s="29" t="n">
        <v>44964.9543883203</v>
      </c>
      <c r="N14" s="28" t="n">
        <v>-7194.392702131248</v>
      </c>
      <c r="O14" s="29" t="n">
        <v>37770.56168618905</v>
      </c>
      <c r="P14" s="28" t="n">
        <v>-234664.7956759188</v>
      </c>
      <c r="Q14" s="28" t="n">
        <v>-332876.4976399401</v>
      </c>
      <c r="R14" s="31" t="n">
        <v>1402196.903724437</v>
      </c>
      <c r="S14" s="32" t="n">
        <v>1.74442070999088</v>
      </c>
      <c r="T14" s="28" t="n">
        <v>-350000</v>
      </c>
      <c r="U14" s="33" t="n">
        <v>223482.2636502103</v>
      </c>
      <c r="V14" s="33" t="n">
        <v>-109394.2339897298</v>
      </c>
      <c r="W14" s="33" t="n">
        <v>1700927.143067165</v>
      </c>
      <c r="X14" s="30" t="n">
        <v>3.597196351065624</v>
      </c>
      <c r="Y14" s="30" t="n">
        <v>3.436239752456199</v>
      </c>
      <c r="Z14" s="30" t="n">
        <v>-10.41849847521236</v>
      </c>
    </row>
    <row r="15">
      <c r="A15" s="25" t="n">
        <v>6</v>
      </c>
      <c r="B15" s="26" t="n">
        <v>172520.475170291</v>
      </c>
      <c r="C15" s="26" t="n">
        <v>219271.6884428914</v>
      </c>
      <c r="D15" s="26" t="n">
        <v>226650.9380057188</v>
      </c>
      <c r="E15" s="27" t="n">
        <v>618443.1016189012</v>
      </c>
      <c r="F15" s="28" t="n">
        <v>-81149.185201</v>
      </c>
      <c r="G15" s="28" t="n">
        <v>-20287.29630025</v>
      </c>
      <c r="H15" s="29" t="n">
        <v>517006.6201176513</v>
      </c>
      <c r="I15" s="30" t="n">
        <v>83.59808990742734</v>
      </c>
      <c r="J15" s="28" t="n">
        <v>-437500</v>
      </c>
      <c r="K15" s="29" t="n">
        <v>79506.6201176513</v>
      </c>
      <c r="L15" s="28" t="n">
        <v>-84131.81422346622</v>
      </c>
      <c r="M15" s="29" t="n">
        <v>-4625.194105814924</v>
      </c>
      <c r="N15" s="28" t="n">
        <v>-0</v>
      </c>
      <c r="O15" s="29" t="n">
        <v>-4625.194105814924</v>
      </c>
      <c r="P15" s="28" t="n">
        <v>-248744.6834164739</v>
      </c>
      <c r="Q15" s="28" t="n">
        <v>-332876.4976399401</v>
      </c>
      <c r="R15" s="31" t="n">
        <v>1153452.220307963</v>
      </c>
      <c r="S15" s="32" t="n">
        <v>1.553148461315757</v>
      </c>
      <c r="T15" s="28" t="n">
        <v>0</v>
      </c>
      <c r="U15" s="33" t="n">
        <v>517006.6201176513</v>
      </c>
      <c r="V15" s="33" t="n">
        <v>184130.1224777112</v>
      </c>
      <c r="W15" s="33" t="n">
        <v>1885057.265544876</v>
      </c>
      <c r="X15" s="30" t="n">
        <v>-0.4404946767442784</v>
      </c>
      <c r="Y15" s="30" t="n">
        <v>1.908158882823631</v>
      </c>
      <c r="Z15" s="30" t="n">
        <v>17.5362021407344</v>
      </c>
    </row>
    <row r="16">
      <c r="A16" s="25" t="n">
        <v>7</v>
      </c>
      <c r="B16" s="26" t="n">
        <v>159507.0772587389</v>
      </c>
      <c r="C16" s="26" t="n">
        <v>199996.999700734</v>
      </c>
      <c r="D16" s="26" t="n">
        <v>206635.011013006</v>
      </c>
      <c r="E16" s="27" t="n">
        <v>566139.0879724789</v>
      </c>
      <c r="F16" s="28" t="n">
        <v>-83583.66075703001</v>
      </c>
      <c r="G16" s="28" t="n">
        <v>-20895.9151892575</v>
      </c>
      <c r="H16" s="29" t="n">
        <v>461659.5120261915</v>
      </c>
      <c r="I16" s="30" t="n">
        <v>81.54524600651378</v>
      </c>
      <c r="J16" s="28" t="n">
        <v>-437500</v>
      </c>
      <c r="K16" s="29" t="n">
        <v>24159.51202619146</v>
      </c>
      <c r="L16" s="28" t="n">
        <v>-69207.13321847779</v>
      </c>
      <c r="M16" s="29" t="n">
        <v>-45047.62119228633</v>
      </c>
      <c r="N16" s="28" t="n">
        <v>-0</v>
      </c>
      <c r="O16" s="29" t="n">
        <v>-45047.62119228633</v>
      </c>
      <c r="P16" s="28" t="n">
        <v>-263669.3644214623</v>
      </c>
      <c r="Q16" s="28" t="n">
        <v>-332876.4976399401</v>
      </c>
      <c r="R16" s="31" t="n">
        <v>889782.8558865008</v>
      </c>
      <c r="S16" s="32" t="n">
        <v>1.386879263929144</v>
      </c>
      <c r="T16" s="28" t="n">
        <v>0</v>
      </c>
      <c r="U16" s="33" t="n">
        <v>461659.5120261915</v>
      </c>
      <c r="V16" s="33" t="n">
        <v>128783.0143862513</v>
      </c>
      <c r="W16" s="33" t="n">
        <v>2013840.279931128</v>
      </c>
      <c r="X16" s="30" t="n">
        <v>-4.290249637360603</v>
      </c>
      <c r="Y16" s="30" t="n">
        <v>0.5798282886285949</v>
      </c>
      <c r="Z16" s="30" t="n">
        <v>12.26504898916679</v>
      </c>
    </row>
    <row r="17">
      <c r="A17" s="25" t="n">
        <v>8</v>
      </c>
      <c r="B17" s="26" t="n">
        <v>155519.4003272704</v>
      </c>
      <c r="C17" s="26" t="n">
        <v>184911.0191198597</v>
      </c>
      <c r="D17" s="26" t="n">
        <v>190276.4059744763</v>
      </c>
      <c r="E17" s="27" t="n">
        <v>530706.8254216065</v>
      </c>
      <c r="F17" s="28" t="n">
        <v>-86091.17057974091</v>
      </c>
      <c r="G17" s="28" t="n">
        <v>-21522.79264493523</v>
      </c>
      <c r="H17" s="29" t="n">
        <v>423092.8621969304</v>
      </c>
      <c r="I17" s="30" t="n">
        <v>79.72252134892274</v>
      </c>
      <c r="J17" s="28" t="n">
        <v>-437500</v>
      </c>
      <c r="K17" s="29" t="n">
        <v>-14407.13780306961</v>
      </c>
      <c r="L17" s="28" t="n">
        <v>-53386.97135319005</v>
      </c>
      <c r="M17" s="29" t="n">
        <v>-67794.10915625966</v>
      </c>
      <c r="N17" s="28" t="n">
        <v>-0</v>
      </c>
      <c r="O17" s="29" t="n">
        <v>-67794.10915625966</v>
      </c>
      <c r="P17" s="28" t="n">
        <v>-279489.5262867501</v>
      </c>
      <c r="Q17" s="28" t="n">
        <v>-332876.4976399401</v>
      </c>
      <c r="R17" s="31" t="n">
        <v>610293.3295997507</v>
      </c>
      <c r="S17" s="32" t="n">
        <v>1.271020529225148</v>
      </c>
      <c r="T17" s="28" t="n">
        <v>0</v>
      </c>
      <c r="U17" s="33" t="n">
        <v>423092.8621969304</v>
      </c>
      <c r="V17" s="33" t="n">
        <v>90216.36455699027</v>
      </c>
      <c r="W17" s="33" t="n">
        <v>2104056.644488118</v>
      </c>
      <c r="X17" s="30" t="n">
        <v>-6.456581824405681</v>
      </c>
      <c r="Y17" s="30" t="n">
        <v>-0.3457713072736706</v>
      </c>
      <c r="Z17" s="30" t="n">
        <v>8.592034719713359</v>
      </c>
    </row>
    <row r="18">
      <c r="A18" s="25" t="n">
        <v>9</v>
      </c>
      <c r="B18" s="26" t="n">
        <v>151631.4153190887</v>
      </c>
      <c r="C18" s="26" t="n">
        <v>180288.2436418632</v>
      </c>
      <c r="D18" s="26" t="n">
        <v>174606.58430599</v>
      </c>
      <c r="E18" s="27" t="n">
        <v>506526.2432669419</v>
      </c>
      <c r="F18" s="28" t="n">
        <v>-88673.90569713314</v>
      </c>
      <c r="G18" s="28" t="n">
        <v>-22168.47642428329</v>
      </c>
      <c r="H18" s="29" t="n">
        <v>395683.8611455254</v>
      </c>
      <c r="I18" s="30" t="n">
        <v>78.11714919122127</v>
      </c>
      <c r="J18" s="28" t="n">
        <v>-0</v>
      </c>
      <c r="K18" s="29" t="n">
        <v>395683.8611455254</v>
      </c>
      <c r="L18" s="28" t="n">
        <v>-36617.59977598504</v>
      </c>
      <c r="M18" s="29" t="n">
        <v>359066.2613695404</v>
      </c>
      <c r="N18" s="28" t="n">
        <v>-57450.60181912646</v>
      </c>
      <c r="O18" s="29" t="n">
        <v>301615.6595504139</v>
      </c>
      <c r="P18" s="28" t="n">
        <v>-296258.8978639551</v>
      </c>
      <c r="Q18" s="28" t="n">
        <v>-332876.4976399401</v>
      </c>
      <c r="R18" s="31" t="n">
        <v>314034.4317357956</v>
      </c>
      <c r="S18" s="34" t="n">
        <v>1.188680678722839</v>
      </c>
      <c r="T18" s="28" t="n">
        <v>0</v>
      </c>
      <c r="U18" s="33" t="n">
        <v>338233.259326399</v>
      </c>
      <c r="V18" s="33" t="n">
        <v>5356.761686458834</v>
      </c>
      <c r="W18" s="33" t="n">
        <v>2109413.406174576</v>
      </c>
      <c r="X18" s="30" t="n">
        <v>28.72530090956323</v>
      </c>
      <c r="Y18" s="30" t="n">
        <v>9.49641266749261</v>
      </c>
      <c r="Z18" s="30" t="n">
        <v>0.5101677796627462</v>
      </c>
    </row>
    <row r="19">
      <c r="A19" s="25" t="n">
        <v>10</v>
      </c>
      <c r="B19" s="26" t="n">
        <v>147840.6299361114</v>
      </c>
      <c r="C19" s="26" t="n">
        <v>175781.0375508166</v>
      </c>
      <c r="D19" s="26" t="n">
        <v>159601.330967194</v>
      </c>
      <c r="E19" s="27" t="n">
        <v>483222.998454122</v>
      </c>
      <c r="F19" s="28" t="n">
        <v>-91334.12286804714</v>
      </c>
      <c r="G19" s="28" t="n">
        <v>-22833.53071701178</v>
      </c>
      <c r="H19" s="29" t="n">
        <v>369055.3448690631</v>
      </c>
      <c r="I19" s="30" t="n">
        <v>76.37371276816449</v>
      </c>
      <c r="J19" s="28" t="n">
        <v>-0</v>
      </c>
      <c r="K19" s="29" t="n">
        <v>369055.3448690631</v>
      </c>
      <c r="L19" s="28" t="n">
        <v>-18842.06590414774</v>
      </c>
      <c r="M19" s="29" t="n">
        <v>350213.2789649153</v>
      </c>
      <c r="N19" s="28" t="n">
        <v>-56034.12463438645</v>
      </c>
      <c r="O19" s="29" t="n">
        <v>294179.1543305289</v>
      </c>
      <c r="P19" s="28" t="n">
        <v>-314034.4317357924</v>
      </c>
      <c r="Q19" s="28" t="n">
        <v>-332876.4976399401</v>
      </c>
      <c r="R19" s="31" t="n">
        <v>3.259629011154175e-09</v>
      </c>
      <c r="S19" s="34" t="n">
        <v>1.108685495929052</v>
      </c>
      <c r="T19" s="28" t="n">
        <v>-350000</v>
      </c>
      <c r="U19" s="33" t="n">
        <v>-36978.77976532339</v>
      </c>
      <c r="V19" s="33" t="n">
        <v>-369855.2774052635</v>
      </c>
      <c r="W19" s="33" t="n">
        <v>1739558.128769313</v>
      </c>
      <c r="X19" s="30" t="n">
        <v>28.01706231719323</v>
      </c>
      <c r="Y19" s="30" t="n">
        <v>8.857328276857512</v>
      </c>
      <c r="Z19" s="30" t="n">
        <v>-35.22431213383462</v>
      </c>
    </row>
    <row r="20">
      <c r="A20" s="25" t="n">
        <v>11</v>
      </c>
      <c r="B20" s="26" t="n">
        <v>144144.6141877086</v>
      </c>
      <c r="C20" s="26" t="n">
        <v>171386.5116120462</v>
      </c>
      <c r="D20" s="26" t="n">
        <v>147830.7328083634</v>
      </c>
      <c r="E20" s="27" t="n">
        <v>463361.8586081183</v>
      </c>
      <c r="F20" s="28" t="n">
        <v>-94074.14655408855</v>
      </c>
      <c r="G20" s="28" t="n">
        <v>-23518.53663852214</v>
      </c>
      <c r="H20" s="29" t="n">
        <v>345769.1754155076</v>
      </c>
      <c r="I20" s="30" t="n">
        <v>74.62184661770725</v>
      </c>
      <c r="J20" s="28" t="n">
        <v>-0</v>
      </c>
      <c r="K20" s="29" t="n">
        <v>345769.1754155076</v>
      </c>
      <c r="L20" s="28" t="n">
        <v>-0</v>
      </c>
      <c r="M20" s="29" t="n">
        <v>345769.1754155076</v>
      </c>
      <c r="N20" s="28" t="n">
        <v>-55323.06806648121</v>
      </c>
      <c r="O20" s="29" t="n">
        <v>290446.1073490264</v>
      </c>
      <c r="P20" s="28" t="n">
        <v>-0</v>
      </c>
      <c r="Q20" s="28" t="n">
        <v>0</v>
      </c>
      <c r="R20" s="31" t="n">
        <v>0</v>
      </c>
      <c r="S20" s="32" t="n">
        <v/>
      </c>
      <c r="T20" s="28" t="n">
        <v>0</v>
      </c>
      <c r="U20" s="33" t="n">
        <v>290446.1073490264</v>
      </c>
      <c r="V20" s="33" t="n">
        <v>290446.1073490264</v>
      </c>
      <c r="W20" s="33" t="n">
        <v>2030004.236118339</v>
      </c>
      <c r="X20" s="30" t="n">
        <v>27.66153403324061</v>
      </c>
      <c r="Y20" s="30" t="n">
        <v>8.298460209972182</v>
      </c>
      <c r="Z20" s="30" t="n">
        <v>27.66153403324061</v>
      </c>
    </row>
    <row r="21">
      <c r="A21" s="25" t="n">
        <v>12</v>
      </c>
      <c r="B21" s="26" t="n">
        <v>140540.9988330159</v>
      </c>
      <c r="C21" s="26" t="n">
        <v>167101.8488217451</v>
      </c>
      <c r="D21" s="26" t="n">
        <v>136548.9137256199</v>
      </c>
      <c r="E21" s="27" t="n">
        <v>444191.7613803809</v>
      </c>
      <c r="F21" s="28" t="n">
        <v>-96896.37095071122</v>
      </c>
      <c r="G21" s="28" t="n">
        <v>-24224.09273767781</v>
      </c>
      <c r="H21" s="29" t="n">
        <v>323071.2976919918</v>
      </c>
      <c r="I21" s="30" t="n">
        <v>72.73239302953476</v>
      </c>
      <c r="J21" s="28" t="n">
        <v>-0</v>
      </c>
      <c r="K21" s="29" t="n">
        <v>323071.2976919918</v>
      </c>
      <c r="L21" s="28" t="n">
        <v>-0</v>
      </c>
      <c r="M21" s="29" t="n">
        <v>323071.2976919918</v>
      </c>
      <c r="N21" s="28" t="n">
        <v>-51691.4076307187</v>
      </c>
      <c r="O21" s="29" t="n">
        <v>271379.8900612731</v>
      </c>
      <c r="P21" s="28" t="n">
        <v>-0</v>
      </c>
      <c r="Q21" s="28" t="n">
        <v>0</v>
      </c>
      <c r="R21" s="31" t="n">
        <v>0</v>
      </c>
      <c r="S21" s="32" t="n">
        <v/>
      </c>
      <c r="T21" s="28" t="n">
        <v>0</v>
      </c>
      <c r="U21" s="33" t="n">
        <v>271379.8900612731</v>
      </c>
      <c r="V21" s="33" t="n">
        <v>271379.8900612731</v>
      </c>
      <c r="W21" s="33" t="n">
        <v>2301384.126179613</v>
      </c>
      <c r="X21" s="30" t="n">
        <v>25.84570381535934</v>
      </c>
      <c r="Y21" s="30" t="n">
        <v>7.753711144607804</v>
      </c>
      <c r="Z21" s="30" t="n">
        <v>25.84570381535934</v>
      </c>
    </row>
    <row r="22">
      <c r="A22" s="25" t="n">
        <v>13</v>
      </c>
      <c r="B22" s="26" t="n">
        <v>137027.4738621905</v>
      </c>
      <c r="C22" s="26" t="n">
        <v>162924.3026012014</v>
      </c>
      <c r="D22" s="26" t="n">
        <v>125738.7913890083</v>
      </c>
      <c r="E22" s="27" t="n">
        <v>425690.5678524002</v>
      </c>
      <c r="F22" s="28" t="n">
        <v>-99803.26207923255</v>
      </c>
      <c r="G22" s="28" t="n">
        <v>-24950.81551980814</v>
      </c>
      <c r="H22" s="29" t="n">
        <v>300936.4902533595</v>
      </c>
      <c r="I22" s="30" t="n">
        <v>70.69371815579041</v>
      </c>
      <c r="J22" s="28" t="n">
        <v>-0</v>
      </c>
      <c r="K22" s="29" t="n">
        <v>300936.4902533595</v>
      </c>
      <c r="L22" s="28" t="n">
        <v>-0</v>
      </c>
      <c r="M22" s="29" t="n">
        <v>300936.4902533595</v>
      </c>
      <c r="N22" s="28" t="n">
        <v>-48149.83844053753</v>
      </c>
      <c r="O22" s="29" t="n">
        <v>252786.651812822</v>
      </c>
      <c r="P22" s="28" t="n">
        <v>-0</v>
      </c>
      <c r="Q22" s="28" t="n">
        <v>0</v>
      </c>
      <c r="R22" s="31" t="n">
        <v>0</v>
      </c>
      <c r="S22" s="32" t="n">
        <v/>
      </c>
      <c r="T22" s="28" t="n">
        <v>0</v>
      </c>
      <c r="U22" s="33" t="n">
        <v>252786.651812822</v>
      </c>
      <c r="V22" s="33" t="n">
        <v>252786.651812822</v>
      </c>
      <c r="W22" s="33" t="n">
        <v>2554170.777992435</v>
      </c>
      <c r="X22" s="30" t="n">
        <v>24.07491922026876</v>
      </c>
      <c r="Y22" s="30" t="n">
        <v>7.222475766080628</v>
      </c>
      <c r="Z22" s="30" t="n">
        <v>24.07491922026876</v>
      </c>
    </row>
    <row r="23">
      <c r="A23" s="25" t="n">
        <v>14</v>
      </c>
      <c r="B23" s="26" t="n">
        <v>133601.7870156358</v>
      </c>
      <c r="C23" s="26" t="n">
        <v>158851.1950361714</v>
      </c>
      <c r="D23" s="26" t="n">
        <v>115383.8320981488</v>
      </c>
      <c r="E23" s="27" t="n">
        <v>407836.8141499559</v>
      </c>
      <c r="F23" s="28" t="n">
        <v>-102797.3599416095</v>
      </c>
      <c r="G23" s="28" t="n">
        <v>-25699.33998540238</v>
      </c>
      <c r="H23" s="29" t="n">
        <v>279340.114222944</v>
      </c>
      <c r="I23" s="30" t="n">
        <v>68.4931091385572</v>
      </c>
      <c r="J23" s="28" t="n">
        <v>-0</v>
      </c>
      <c r="K23" s="29" t="n">
        <v>279340.114222944</v>
      </c>
      <c r="L23" s="28" t="n">
        <v>-0</v>
      </c>
      <c r="M23" s="29" t="n">
        <v>279340.114222944</v>
      </c>
      <c r="N23" s="28" t="n">
        <v>-44694.41827567104</v>
      </c>
      <c r="O23" s="29" t="n">
        <v>234645.695947273</v>
      </c>
      <c r="P23" s="28" t="n">
        <v>-0</v>
      </c>
      <c r="Q23" s="28" t="n">
        <v>0</v>
      </c>
      <c r="R23" s="31" t="n">
        <v>0</v>
      </c>
      <c r="S23" s="32" t="n">
        <v/>
      </c>
      <c r="T23" s="28" t="n">
        <v>0</v>
      </c>
      <c r="U23" s="33" t="n">
        <v>234645.695947273</v>
      </c>
      <c r="V23" s="33" t="n">
        <v>234645.695947273</v>
      </c>
      <c r="W23" s="33" t="n">
        <v>2788816.473939708</v>
      </c>
      <c r="X23" s="30" t="n">
        <v>22.34720913783552</v>
      </c>
      <c r="Y23" s="30" t="n">
        <v>6.704162741350656</v>
      </c>
      <c r="Z23" s="30" t="n">
        <v>22.34720913783552</v>
      </c>
    </row>
    <row r="24">
      <c r="A24" s="25" t="n">
        <v>15</v>
      </c>
      <c r="B24" s="26" t="n">
        <v>130261.7423402449</v>
      </c>
      <c r="C24" s="26" t="n">
        <v>154879.9151602671</v>
      </c>
      <c r="D24" s="26" t="n">
        <v>107811.7681167078</v>
      </c>
      <c r="E24" s="27" t="n">
        <v>392953.4256172198</v>
      </c>
      <c r="F24" s="28" t="n">
        <v>-105881.2807398578</v>
      </c>
      <c r="G24" s="28" t="n">
        <v>-26470.32018496446</v>
      </c>
      <c r="H24" s="29" t="n">
        <v>260601.8246923976</v>
      </c>
      <c r="I24" s="30" t="n">
        <v>66.31875629613485</v>
      </c>
      <c r="J24" s="28" t="n">
        <v>-0</v>
      </c>
      <c r="K24" s="29" t="n">
        <v>260601.8246923976</v>
      </c>
      <c r="L24" s="28" t="n">
        <v>-0</v>
      </c>
      <c r="M24" s="29" t="n">
        <v>260601.8246923976</v>
      </c>
      <c r="N24" s="28" t="n">
        <v>-41696.29195078361</v>
      </c>
      <c r="O24" s="29" t="n">
        <v>218905.5327416139</v>
      </c>
      <c r="P24" s="28" t="n">
        <v>-0</v>
      </c>
      <c r="Q24" s="28" t="n">
        <v>0</v>
      </c>
      <c r="R24" s="31" t="n">
        <v>0</v>
      </c>
      <c r="S24" s="32" t="n">
        <v/>
      </c>
      <c r="T24" s="28" t="n">
        <v>0</v>
      </c>
      <c r="U24" s="33" t="n">
        <v>218905.5327416139</v>
      </c>
      <c r="V24" s="33" t="n">
        <v>218905.5327416139</v>
      </c>
      <c r="W24" s="33" t="n">
        <v>3007722.006681322</v>
      </c>
      <c r="X24" s="30" t="n">
        <v>20.84814597539181</v>
      </c>
      <c r="Y24" s="30" t="n">
        <v>6.254443792617541</v>
      </c>
      <c r="Z24" s="30" t="n">
        <v>20.84814597539181</v>
      </c>
    </row>
    <row r="26">
      <c r="A26" s="4" t="inlineStr">
        <is>
          <t>Scenario description</t>
        </is>
      </c>
    </row>
    <row r="27" ht="80" customHeight="1">
      <c r="A27" s="18" t="inlineStr">
        <is>
          <t>Same scenario as the engineering-optimum sheet, but with realistic operator drag multipliers applied to each revenue leg:
  • aFRR capacity × 0.93  (REMIT/Tg/Td tariff erosion)
  • aFRR activation × 0.25  (10% market-share guess → realistic ~2.5% — the BIG haircut)
  • PZU arbitrage × 0.80  (forecast error vs perfect-foresight dispatch)
These are the numbers a lender would actually underwrite. The engineering-optimum sheet is what an EPC vendor's marketing would quote — useful for ceiling-of-the-band but not bankable.</t>
        </is>
      </c>
    </row>
  </sheetData>
  <mergeCells count="3">
    <mergeCell ref="A1:Z1"/>
    <mergeCell ref="A27:Z27"/>
    <mergeCell ref="A26:Z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1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1" customWidth="1" min="19" max="19"/>
    <col width="14" customWidth="1" min="20" max="20"/>
    <col width="14" customWidth="1" min="21" max="21"/>
    <col width="14" customWidth="1" min="22" max="22"/>
    <col width="14" customWidth="1" min="23" max="23"/>
    <col width="11" customWidth="1" min="24" max="24"/>
    <col width="11" customWidth="1" min="25" max="25"/>
    <col width="11" customWidth="1" min="26" max="26"/>
  </cols>
  <sheetData>
    <row r="1" ht="28" customHeight="1">
      <c r="A1" s="19" t="inlineStr">
        <is>
          <t>B. PICASSO go-live (Y1) (10% share)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  <c r="O1" s="20" t="n"/>
      <c r="P1" s="20" t="n"/>
      <c r="Q1" s="20" t="n"/>
      <c r="R1" s="20" t="n"/>
      <c r="S1" s="20" t="n"/>
      <c r="T1" s="20" t="n"/>
      <c r="U1" s="20" t="n"/>
      <c r="V1" s="20" t="n"/>
      <c r="W1" s="20" t="n"/>
      <c r="X1" s="20" t="n"/>
      <c r="Y1" s="20" t="n"/>
      <c r="Z1" s="21" t="n"/>
    </row>
    <row r="2">
      <c r="A2" s="22" t="inlineStr">
        <is>
          <t>Y1 revenue</t>
        </is>
      </c>
      <c r="B2" s="23" t="inlineStr">
        <is>
          <t>€2.07M</t>
        </is>
      </c>
      <c r="C2" s="22" t="inlineStr">
        <is>
          <t>Y1 EBITDA</t>
        </is>
      </c>
      <c r="D2" s="23" t="inlineStr">
        <is>
          <t>€1.98M</t>
        </is>
      </c>
      <c r="E2" s="22" t="inlineStr">
        <is>
          <t>Y1 EBITDA margin</t>
        </is>
      </c>
      <c r="F2" s="23" t="inlineStr">
        <is>
          <t>95.77%</t>
        </is>
      </c>
      <c r="G2" s="22" t="inlineStr">
        <is>
          <t>Y1 Net income</t>
        </is>
      </c>
      <c r="H2" s="23" t="inlineStr">
        <is>
          <t>€1.17M</t>
        </is>
      </c>
    </row>
    <row r="3">
      <c r="A3" s="22" t="inlineStr">
        <is>
          <t>Y1 Equity FCF</t>
        </is>
      </c>
      <c r="B3" s="23" t="inlineStr">
        <is>
          <t>€1.43M</t>
        </is>
      </c>
      <c r="C3" s="22" t="inlineStr">
        <is>
          <t>Equity IRR</t>
        </is>
      </c>
      <c r="D3" s="23" t="inlineStr">
        <is>
          <t>128.78%</t>
        </is>
      </c>
      <c r="E3" s="22" t="inlineStr">
        <is>
          <t>Project IRR</t>
        </is>
      </c>
      <c r="F3" s="23" t="inlineStr">
        <is>
          <t>43.03%</t>
        </is>
      </c>
      <c r="G3" s="22" t="inlineStr">
        <is>
          <t>Equity MIRR</t>
        </is>
      </c>
      <c r="H3" s="23" t="inlineStr">
        <is>
          <t>23.58%</t>
        </is>
      </c>
    </row>
    <row r="4">
      <c r="A4" s="22" t="inlineStr">
        <is>
          <t>Equity payback</t>
        </is>
      </c>
      <c r="B4" s="23" t="inlineStr">
        <is>
          <t>0.7 yr</t>
        </is>
      </c>
      <c r="C4" s="22" t="inlineStr">
        <is>
          <t>Disc. payback @ 8%</t>
        </is>
      </c>
      <c r="D4" s="23" t="inlineStr">
        <is>
          <t>0.8 yr</t>
        </is>
      </c>
      <c r="E4" s="22" t="inlineStr">
        <is>
          <t>MOIC</t>
        </is>
      </c>
      <c r="F4" s="23" t="inlineStr">
        <is>
          <t>12.10x</t>
        </is>
      </c>
      <c r="G4" s="22" t="inlineStr">
        <is>
          <t>Avg ROE</t>
        </is>
      </c>
      <c r="H4" s="23" t="inlineStr">
        <is>
          <t>78.43%</t>
        </is>
      </c>
    </row>
    <row r="5">
      <c r="A5" s="22" t="inlineStr">
        <is>
          <t>Equity NPV @ 8%</t>
        </is>
      </c>
      <c r="B5" s="23" t="inlineStr">
        <is>
          <t>€6.88M</t>
        </is>
      </c>
      <c r="C5" s="22" t="inlineStr">
        <is>
          <t>Equity NPV @ 10%</t>
        </is>
      </c>
      <c r="D5" s="23" t="inlineStr">
        <is>
          <t>€6.14M</t>
        </is>
      </c>
      <c r="E5" s="22" t="inlineStr">
        <is>
          <t>Project NPV @ 8%</t>
        </is>
      </c>
      <c r="F5" s="23" t="inlineStr">
        <is>
          <t>€6.66M</t>
        </is>
      </c>
      <c r="G5" s="22" t="inlineStr">
        <is>
          <t>Project NPV @ 10%</t>
        </is>
      </c>
      <c r="H5" s="23" t="inlineStr">
        <is>
          <t>€5.74M</t>
        </is>
      </c>
    </row>
    <row r="6">
      <c r="A6" s="22" t="inlineStr">
        <is>
          <t>Min DSCR</t>
        </is>
      </c>
      <c r="B6" s="23" t="inlineStr">
        <is>
          <t>3.02x</t>
        </is>
      </c>
      <c r="C6" s="22" t="inlineStr">
        <is>
          <t>Avg DSCR</t>
        </is>
      </c>
      <c r="D6" s="23" t="inlineStr">
        <is>
          <t>nanx</t>
        </is>
      </c>
      <c r="E6" s="22" t="inlineStr">
        <is>
          <t>LLCR</t>
        </is>
      </c>
      <c r="F6" s="23" t="inlineStr">
        <is>
          <t>3.87x</t>
        </is>
      </c>
      <c r="G6" s="22" t="inlineStr">
        <is>
          <t>PLCR</t>
        </is>
      </c>
      <c r="H6" s="23" t="inlineStr">
        <is>
          <t>4.59x</t>
        </is>
      </c>
    </row>
    <row r="7"/>
    <row r="8"/>
    <row r="9" ht="42" customHeight="1">
      <c r="A9" s="24" t="inlineStr">
        <is>
          <t>Year</t>
        </is>
      </c>
      <c r="B9" s="24" t="inlineStr">
        <is>
          <t>aFRR capacity (€)</t>
        </is>
      </c>
      <c r="C9" s="24" t="inlineStr">
        <is>
          <t>aFRR activation (€)</t>
        </is>
      </c>
      <c r="D9" s="24" t="inlineStr">
        <is>
          <t>PZU arbitrage (€)</t>
        </is>
      </c>
      <c r="E9" s="24" t="inlineStr">
        <is>
          <t>Total revenue (€)</t>
        </is>
      </c>
      <c r="F9" s="24" t="inlineStr">
        <is>
          <t>OPEX (€)</t>
        </is>
      </c>
      <c r="G9" s="24" t="inlineStr">
        <is>
          <t>Insurance (€)</t>
        </is>
      </c>
      <c r="H9" s="24" t="inlineStr">
        <is>
          <t>EBITDA (€)</t>
        </is>
      </c>
      <c r="I9" s="24" t="inlineStr">
        <is>
          <t>EBITDA margin (%)</t>
        </is>
      </c>
      <c r="J9" s="24" t="inlineStr">
        <is>
          <t>Depreciation (€)</t>
        </is>
      </c>
      <c r="K9" s="24" t="inlineStr">
        <is>
          <t>EBIT (€)</t>
        </is>
      </c>
      <c r="L9" s="24" t="inlineStr">
        <is>
          <t>Interest expense (€)</t>
        </is>
      </c>
      <c r="M9" s="24" t="inlineStr">
        <is>
          <t>EBT (€)</t>
        </is>
      </c>
      <c r="N9" s="24" t="inlineStr">
        <is>
          <t>Tax (€)</t>
        </is>
      </c>
      <c r="O9" s="24" t="inlineStr">
        <is>
          <t>Net income (€)</t>
        </is>
      </c>
      <c r="P9" s="24" t="inlineStr">
        <is>
          <t>Principal payment (€)</t>
        </is>
      </c>
      <c r="Q9" s="24" t="inlineStr">
        <is>
          <t>Debt service total (€)</t>
        </is>
      </c>
      <c r="R9" s="24" t="inlineStr">
        <is>
          <t>Debt outstanding YE (€)</t>
        </is>
      </c>
      <c r="S9" s="24" t="inlineStr">
        <is>
          <t>DSCR</t>
        </is>
      </c>
      <c r="T9" s="24" t="inlineStr">
        <is>
          <t>Augmentation (€)</t>
        </is>
      </c>
      <c r="U9" s="24" t="inlineStr">
        <is>
          <t>Project FCF (€)</t>
        </is>
      </c>
      <c r="V9" s="24" t="inlineStr">
        <is>
          <t>Equity FCF (€)</t>
        </is>
      </c>
      <c r="W9" s="24" t="inlineStr">
        <is>
          <t>Cumulative equity FCF (€)</t>
        </is>
      </c>
      <c r="X9" s="24" t="inlineStr">
        <is>
          <t>ROE (%)</t>
        </is>
      </c>
      <c r="Y9" s="24" t="inlineStr">
        <is>
          <t>ROIC (%)</t>
        </is>
      </c>
      <c r="Z9" s="24" t="inlineStr">
        <is>
          <t>Cash-on-cash yield (%)</t>
        </is>
      </c>
    </row>
    <row r="10">
      <c r="A10" s="25" t="n">
        <v>1</v>
      </c>
      <c r="B10" s="26" t="n">
        <v>448725</v>
      </c>
      <c r="C10" s="26" t="n">
        <v>1204173.6</v>
      </c>
      <c r="D10" s="26" t="n">
        <v>417593.5</v>
      </c>
      <c r="E10" s="27" t="n">
        <v>2070492.1</v>
      </c>
      <c r="F10" s="28" t="n">
        <v>-70000</v>
      </c>
      <c r="G10" s="28" t="n">
        <v>-17500</v>
      </c>
      <c r="H10" s="29" t="n">
        <v>1982992.1</v>
      </c>
      <c r="I10" s="30" t="n">
        <v>95.77395151616372</v>
      </c>
      <c r="J10" s="28" t="n">
        <v>-437500</v>
      </c>
      <c r="K10" s="29" t="n">
        <v>1545492.1</v>
      </c>
      <c r="L10" s="28" t="n">
        <v>-147000</v>
      </c>
      <c r="M10" s="29" t="n">
        <v>1398492.1</v>
      </c>
      <c r="N10" s="28" t="n">
        <v>-223758.736</v>
      </c>
      <c r="O10" s="29" t="n">
        <v>1174733.364</v>
      </c>
      <c r="P10" s="28" t="n">
        <v>-185876.4976399401</v>
      </c>
      <c r="Q10" s="28" t="n">
        <v>-332876.4976399401</v>
      </c>
      <c r="R10" s="31" t="n">
        <v>2264123.50236006</v>
      </c>
      <c r="S10" s="32" t="n">
        <v>5.95714060337455</v>
      </c>
      <c r="T10" s="28" t="n">
        <v>0</v>
      </c>
      <c r="U10" s="33" t="n">
        <v>1759233.364</v>
      </c>
      <c r="V10" s="33" t="n">
        <v>1426356.86636006</v>
      </c>
      <c r="W10" s="33" t="n">
        <v>1426356.86636006</v>
      </c>
      <c r="X10" s="30" t="n">
        <v>111.879368</v>
      </c>
      <c r="Y10" s="30" t="n">
        <v>37.0918104</v>
      </c>
      <c r="Z10" s="30" t="n">
        <v>135.8435110819104</v>
      </c>
    </row>
    <row r="11">
      <c r="A11" s="25" t="n">
        <v>2</v>
      </c>
      <c r="B11" s="26" t="n">
        <v>437506.875</v>
      </c>
      <c r="C11" s="26" t="n">
        <v>1174069.26</v>
      </c>
      <c r="D11" s="26" t="n">
        <v>394939.052625</v>
      </c>
      <c r="E11" s="27" t="n">
        <v>2006515.187625</v>
      </c>
      <c r="F11" s="28" t="n">
        <v>-72100</v>
      </c>
      <c r="G11" s="28" t="n">
        <v>-18025</v>
      </c>
      <c r="H11" s="29" t="n">
        <v>1916390.187625</v>
      </c>
      <c r="I11" s="30" t="n">
        <v>95.50838186743675</v>
      </c>
      <c r="J11" s="28" t="n">
        <v>-437500</v>
      </c>
      <c r="K11" s="29" t="n">
        <v>1478890.187625</v>
      </c>
      <c r="L11" s="28" t="n">
        <v>-135847.4101416036</v>
      </c>
      <c r="M11" s="29" t="n">
        <v>1343042.777483396</v>
      </c>
      <c r="N11" s="28" t="n">
        <v>-214886.8443973434</v>
      </c>
      <c r="O11" s="29" t="n">
        <v>1128155.933086053</v>
      </c>
      <c r="P11" s="28" t="n">
        <v>-197029.0874983365</v>
      </c>
      <c r="Q11" s="28" t="n">
        <v>-332876.4976399401</v>
      </c>
      <c r="R11" s="31" t="n">
        <v>2067094.414861723</v>
      </c>
      <c r="S11" s="32" t="n">
        <v>5.757060655264063</v>
      </c>
      <c r="T11" s="28" t="n">
        <v>0</v>
      </c>
      <c r="U11" s="33" t="n">
        <v>1701503.343227656</v>
      </c>
      <c r="V11" s="33" t="n">
        <v>1368626.845587716</v>
      </c>
      <c r="W11" s="33" t="n">
        <v>2794983.711947776</v>
      </c>
      <c r="X11" s="30" t="n">
        <v>107.4434221986717</v>
      </c>
      <c r="Y11" s="30" t="n">
        <v>35.49336450299999</v>
      </c>
      <c r="Z11" s="30" t="n">
        <v>130.3454138654968</v>
      </c>
    </row>
    <row r="12">
      <c r="A12" s="25" t="n">
        <v>3</v>
      </c>
      <c r="B12" s="26" t="n">
        <v>405240.74296875</v>
      </c>
      <c r="C12" s="26" t="n">
        <v>1087481.652075</v>
      </c>
      <c r="D12" s="26" t="n">
        <v>365216.8352625</v>
      </c>
      <c r="E12" s="27" t="n">
        <v>1857939.23030625</v>
      </c>
      <c r="F12" s="28" t="n">
        <v>-74263</v>
      </c>
      <c r="G12" s="28" t="n">
        <v>-18565.75</v>
      </c>
      <c r="H12" s="29" t="n">
        <v>1765110.48030625</v>
      </c>
      <c r="I12" s="30" t="n">
        <v>95.00367135341135</v>
      </c>
      <c r="J12" s="28" t="n">
        <v>-437500</v>
      </c>
      <c r="K12" s="29" t="n">
        <v>1327610.48030625</v>
      </c>
      <c r="L12" s="28" t="n">
        <v>-124025.6648917034</v>
      </c>
      <c r="M12" s="29" t="n">
        <v>1203584.815414547</v>
      </c>
      <c r="N12" s="28" t="n">
        <v>-192573.5704663275</v>
      </c>
      <c r="O12" s="29" t="n">
        <v>1011011.244948219</v>
      </c>
      <c r="P12" s="28" t="n">
        <v>-208850.8327482367</v>
      </c>
      <c r="Q12" s="28" t="n">
        <v>-332876.4976399401</v>
      </c>
      <c r="R12" s="31" t="n">
        <v>1858243.582113487</v>
      </c>
      <c r="S12" s="32" t="n">
        <v>5.3025986899667</v>
      </c>
      <c r="T12" s="28" t="n">
        <v>0</v>
      </c>
      <c r="U12" s="33" t="n">
        <v>1572536.909839922</v>
      </c>
      <c r="V12" s="33" t="n">
        <v>1239660.412199982</v>
      </c>
      <c r="W12" s="33" t="n">
        <v>4034644.124147758</v>
      </c>
      <c r="X12" s="30" t="n">
        <v>96.28678523316371</v>
      </c>
      <c r="Y12" s="30" t="n">
        <v>31.86265152735</v>
      </c>
      <c r="Z12" s="30" t="n">
        <v>118.0628963999983</v>
      </c>
    </row>
    <row r="13">
      <c r="A13" s="25" t="n">
        <v>4</v>
      </c>
      <c r="B13" s="26" t="n">
        <v>374314.4757421875</v>
      </c>
      <c r="C13" s="26" t="n">
        <v>1004489.63125875</v>
      </c>
      <c r="D13" s="26" t="n">
        <v>336733.8918602343</v>
      </c>
      <c r="E13" s="27" t="n">
        <v>1715537.998861172</v>
      </c>
      <c r="F13" s="28" t="n">
        <v>-76490.89</v>
      </c>
      <c r="G13" s="28" t="n">
        <v>-19122.7225</v>
      </c>
      <c r="H13" s="29" t="n">
        <v>1619924.386361172</v>
      </c>
      <c r="I13" s="30" t="n">
        <v>94.42661062806704</v>
      </c>
      <c r="J13" s="28" t="n">
        <v>-437500</v>
      </c>
      <c r="K13" s="29" t="n">
        <v>1182424.386361172</v>
      </c>
      <c r="L13" s="28" t="n">
        <v>-111494.6149268092</v>
      </c>
      <c r="M13" s="29" t="n">
        <v>1070929.771434363</v>
      </c>
      <c r="N13" s="28" t="n">
        <v>-171348.763429498</v>
      </c>
      <c r="O13" s="29" t="n">
        <v>899581.0080048647</v>
      </c>
      <c r="P13" s="28" t="n">
        <v>-221381.8827131309</v>
      </c>
      <c r="Q13" s="28" t="n">
        <v>-332876.4976399401</v>
      </c>
      <c r="R13" s="31" t="n">
        <v>1636861.699400356</v>
      </c>
      <c r="S13" s="32" t="n">
        <v>4.866442653195008</v>
      </c>
      <c r="T13" s="28" t="n">
        <v>0</v>
      </c>
      <c r="U13" s="33" t="n">
        <v>1448575.622931674</v>
      </c>
      <c r="V13" s="33" t="n">
        <v>1115699.125291734</v>
      </c>
      <c r="W13" s="33" t="n">
        <v>5150343.249439492</v>
      </c>
      <c r="X13" s="30" t="n">
        <v>85.67438171474902</v>
      </c>
      <c r="Y13" s="30" t="n">
        <v>28.37818527266813</v>
      </c>
      <c r="Z13" s="30" t="n">
        <v>106.2570595515937</v>
      </c>
    </row>
    <row r="14">
      <c r="A14" s="25" t="n">
        <v>5</v>
      </c>
      <c r="B14" s="26" t="n">
        <v>348736.3198998047</v>
      </c>
      <c r="C14" s="26" t="n">
        <v>935849.5064560686</v>
      </c>
      <c r="D14" s="26" t="n">
        <v>309446.8351060429</v>
      </c>
      <c r="E14" s="27" t="n">
        <v>1594032.661461916</v>
      </c>
      <c r="F14" s="28" t="n">
        <v>-78785.61670000001</v>
      </c>
      <c r="G14" s="28" t="n">
        <v>-19696.404175</v>
      </c>
      <c r="H14" s="29" t="n">
        <v>1495550.640586916</v>
      </c>
      <c r="I14" s="30" t="n">
        <v>93.82183168162437</v>
      </c>
      <c r="J14" s="28" t="n">
        <v>-437500</v>
      </c>
      <c r="K14" s="29" t="n">
        <v>1058050.640586916</v>
      </c>
      <c r="L14" s="28" t="n">
        <v>-98211.70196402134</v>
      </c>
      <c r="M14" s="29" t="n">
        <v>959838.9386228948</v>
      </c>
      <c r="N14" s="28" t="n">
        <v>-153574.2301796632</v>
      </c>
      <c r="O14" s="29" t="n">
        <v>806264.7084432316</v>
      </c>
      <c r="P14" s="28" t="n">
        <v>-234664.7956759188</v>
      </c>
      <c r="Q14" s="28" t="n">
        <v>-332876.4976399401</v>
      </c>
      <c r="R14" s="31" t="n">
        <v>1402196.903724437</v>
      </c>
      <c r="S14" s="32" t="n">
        <v>4.492809348783153</v>
      </c>
      <c r="T14" s="28" t="n">
        <v>-350000</v>
      </c>
      <c r="U14" s="33" t="n">
        <v>991976.4104072531</v>
      </c>
      <c r="V14" s="33" t="n">
        <v>659099.912767313</v>
      </c>
      <c r="W14" s="33" t="n">
        <v>5809443.162206804</v>
      </c>
      <c r="X14" s="30" t="n">
        <v>76.78711508983159</v>
      </c>
      <c r="Y14" s="30" t="n">
        <v>25.39321537408599</v>
      </c>
      <c r="Z14" s="30" t="n">
        <v>62.77142026355362</v>
      </c>
    </row>
    <row r="15">
      <c r="A15" s="25" t="n">
        <v>6</v>
      </c>
      <c r="B15" s="26" t="n">
        <v>324203.1253022021</v>
      </c>
      <c r="C15" s="26" t="n">
        <v>870013.5818739847</v>
      </c>
      <c r="D15" s="26" t="n">
        <v>283313.6725071485</v>
      </c>
      <c r="E15" s="27" t="n">
        <v>1477530.379683335</v>
      </c>
      <c r="F15" s="28" t="n">
        <v>-81149.185201</v>
      </c>
      <c r="G15" s="28" t="n">
        <v>-20287.29630025</v>
      </c>
      <c r="H15" s="29" t="n">
        <v>1376093.898182085</v>
      </c>
      <c r="I15" s="30" t="n">
        <v>93.13472786102781</v>
      </c>
      <c r="J15" s="28" t="n">
        <v>-437500</v>
      </c>
      <c r="K15" s="29" t="n">
        <v>938593.8981820852</v>
      </c>
      <c r="L15" s="28" t="n">
        <v>-84131.81422346622</v>
      </c>
      <c r="M15" s="29" t="n">
        <v>854462.083958619</v>
      </c>
      <c r="N15" s="28" t="n">
        <v>-136713.933433379</v>
      </c>
      <c r="O15" s="29" t="n">
        <v>717748.15052524</v>
      </c>
      <c r="P15" s="28" t="n">
        <v>-248744.6834164739</v>
      </c>
      <c r="Q15" s="28" t="n">
        <v>-332876.4976399401</v>
      </c>
      <c r="R15" s="31" t="n">
        <v>1153452.220307963</v>
      </c>
      <c r="S15" s="32" t="n">
        <v>4.13394729858806</v>
      </c>
      <c r="T15" s="28" t="n">
        <v>0</v>
      </c>
      <c r="U15" s="33" t="n">
        <v>1239379.964748706</v>
      </c>
      <c r="V15" s="33" t="n">
        <v>906503.4671087661</v>
      </c>
      <c r="W15" s="33" t="n">
        <v>6715946.62931557</v>
      </c>
      <c r="X15" s="30" t="n">
        <v>68.35696671668953</v>
      </c>
      <c r="Y15" s="30" t="n">
        <v>22.52625355637005</v>
      </c>
      <c r="Z15" s="30" t="n">
        <v>86.33366353416821</v>
      </c>
    </row>
    <row r="16">
      <c r="A16" s="25" t="n">
        <v>7</v>
      </c>
      <c r="B16" s="26" t="n">
        <v>300678.6302345424</v>
      </c>
      <c r="C16" s="26" t="n">
        <v>806884.54757947</v>
      </c>
      <c r="D16" s="26" t="n">
        <v>258293.7637662574</v>
      </c>
      <c r="E16" s="27" t="n">
        <v>1365856.94158027</v>
      </c>
      <c r="F16" s="28" t="n">
        <v>-83583.66075703001</v>
      </c>
      <c r="G16" s="28" t="n">
        <v>-20895.9151892575</v>
      </c>
      <c r="H16" s="29" t="n">
        <v>1261377.365633982</v>
      </c>
      <c r="I16" s="30" t="n">
        <v>92.35062086184467</v>
      </c>
      <c r="J16" s="28" t="n">
        <v>-437500</v>
      </c>
      <c r="K16" s="29" t="n">
        <v>823877.3656339825</v>
      </c>
      <c r="L16" s="28" t="n">
        <v>-69207.13321847779</v>
      </c>
      <c r="M16" s="29" t="n">
        <v>754670.2324155046</v>
      </c>
      <c r="N16" s="28" t="n">
        <v>-120747.2371864808</v>
      </c>
      <c r="O16" s="29" t="n">
        <v>633922.9952290239</v>
      </c>
      <c r="P16" s="28" t="n">
        <v>-263669.3644214623</v>
      </c>
      <c r="Q16" s="28" t="n">
        <v>-332876.4976399401</v>
      </c>
      <c r="R16" s="31" t="n">
        <v>889782.8558865008</v>
      </c>
      <c r="S16" s="32" t="n">
        <v>3.789325394183781</v>
      </c>
      <c r="T16" s="28" t="n">
        <v>0</v>
      </c>
      <c r="U16" s="33" t="n">
        <v>1140630.128447502</v>
      </c>
      <c r="V16" s="33" t="n">
        <v>807753.6308075616</v>
      </c>
      <c r="W16" s="33" t="n">
        <v>7523700.260123132</v>
      </c>
      <c r="X16" s="30" t="n">
        <v>60.37361859324037</v>
      </c>
      <c r="Y16" s="30" t="n">
        <v>19.77305677521558</v>
      </c>
      <c r="Z16" s="30" t="n">
        <v>76.92891721976777</v>
      </c>
    </row>
    <row r="17">
      <c r="A17" s="25" t="n">
        <v>8</v>
      </c>
      <c r="B17" s="26" t="n">
        <v>278127.7329669517</v>
      </c>
      <c r="C17" s="26" t="n">
        <v>746368.2065110097</v>
      </c>
      <c r="D17" s="26" t="n">
        <v>237845.5074680954</v>
      </c>
      <c r="E17" s="27" t="n">
        <v>1262341.446946057</v>
      </c>
      <c r="F17" s="28" t="n">
        <v>-86091.17057974091</v>
      </c>
      <c r="G17" s="28" t="n">
        <v>-21522.79264493523</v>
      </c>
      <c r="H17" s="29" t="n">
        <v>1154727.483721381</v>
      </c>
      <c r="I17" s="30" t="n">
        <v>91.47505110562413</v>
      </c>
      <c r="J17" s="28" t="n">
        <v>-437500</v>
      </c>
      <c r="K17" s="29" t="n">
        <v>717227.4837213806</v>
      </c>
      <c r="L17" s="28" t="n">
        <v>-53386.97135319005</v>
      </c>
      <c r="M17" s="29" t="n">
        <v>663840.5123681906</v>
      </c>
      <c r="N17" s="28" t="n">
        <v>-106214.4819789105</v>
      </c>
      <c r="O17" s="29" t="n">
        <v>557626.0303892801</v>
      </c>
      <c r="P17" s="28" t="n">
        <v>-279489.5262867501</v>
      </c>
      <c r="Q17" s="28" t="n">
        <v>-332876.4976399401</v>
      </c>
      <c r="R17" s="31" t="n">
        <v>610293.3295997507</v>
      </c>
      <c r="S17" s="32" t="n">
        <v>3.468936653408333</v>
      </c>
      <c r="T17" s="28" t="n">
        <v>0</v>
      </c>
      <c r="U17" s="33" t="n">
        <v>1048513.00174247</v>
      </c>
      <c r="V17" s="33" t="n">
        <v>715636.50410253</v>
      </c>
      <c r="W17" s="33" t="n">
        <v>8239336.764225662</v>
      </c>
      <c r="X17" s="30" t="n">
        <v>53.10724098945524</v>
      </c>
      <c r="Y17" s="30" t="n">
        <v>17.21345960931313</v>
      </c>
      <c r="Z17" s="30" t="n">
        <v>68.15585753357428</v>
      </c>
    </row>
    <row r="18">
      <c r="A18" s="25" t="n">
        <v>9</v>
      </c>
      <c r="B18" s="26" t="n">
        <v>260180.9772248274</v>
      </c>
      <c r="C18" s="26" t="n">
        <v>698207.2850773601</v>
      </c>
      <c r="D18" s="26" t="n">
        <v>218258.2303824875</v>
      </c>
      <c r="E18" s="27" t="n">
        <v>1176646.492684675</v>
      </c>
      <c r="F18" s="28" t="n">
        <v>-88673.90569713314</v>
      </c>
      <c r="G18" s="28" t="n">
        <v>-22168.47642428329</v>
      </c>
      <c r="H18" s="29" t="n">
        <v>1065804.110563258</v>
      </c>
      <c r="I18" s="30" t="n">
        <v>90.5798060156101</v>
      </c>
      <c r="J18" s="28" t="n">
        <v>-0</v>
      </c>
      <c r="K18" s="29" t="n">
        <v>1065804.110563258</v>
      </c>
      <c r="L18" s="28" t="n">
        <v>-36617.59977598504</v>
      </c>
      <c r="M18" s="29" t="n">
        <v>1029186.510787273</v>
      </c>
      <c r="N18" s="28" t="n">
        <v>-164669.8417259637</v>
      </c>
      <c r="O18" s="29" t="n">
        <v>864516.6690613097</v>
      </c>
      <c r="P18" s="28" t="n">
        <v>-296258.8978639551</v>
      </c>
      <c r="Q18" s="28" t="n">
        <v>-332876.4976399401</v>
      </c>
      <c r="R18" s="31" t="n">
        <v>314034.4317357956</v>
      </c>
      <c r="S18" s="32" t="n">
        <v>3.201800421837225</v>
      </c>
      <c r="T18" s="28" t="n">
        <v>0</v>
      </c>
      <c r="U18" s="33" t="n">
        <v>901134.2688372947</v>
      </c>
      <c r="V18" s="33" t="n">
        <v>568257.7711973545</v>
      </c>
      <c r="W18" s="33" t="n">
        <v>8807594.535423016</v>
      </c>
      <c r="X18" s="30" t="n">
        <v>82.33492086298187</v>
      </c>
      <c r="Y18" s="30" t="n">
        <v>25.5792986535182</v>
      </c>
      <c r="Z18" s="30" t="n">
        <v>54.11978773308138</v>
      </c>
    </row>
    <row r="19">
      <c r="A19" s="25" t="n">
        <v>10</v>
      </c>
      <c r="B19" s="26" t="n">
        <v>250103.5450083728</v>
      </c>
      <c r="C19" s="26" t="n">
        <v>671164.0451623918</v>
      </c>
      <c r="D19" s="26" t="n">
        <v>199501.6637089924</v>
      </c>
      <c r="E19" s="27" t="n">
        <v>1120769.253879757</v>
      </c>
      <c r="F19" s="28" t="n">
        <v>-91334.12286804714</v>
      </c>
      <c r="G19" s="28" t="n">
        <v>-22833.53071701178</v>
      </c>
      <c r="H19" s="29" t="n">
        <v>1006601.600294698</v>
      </c>
      <c r="I19" s="30" t="n">
        <v>89.81345596429901</v>
      </c>
      <c r="J19" s="28" t="n">
        <v>-0</v>
      </c>
      <c r="K19" s="29" t="n">
        <v>1006601.600294698</v>
      </c>
      <c r="L19" s="28" t="n">
        <v>-18842.06590414774</v>
      </c>
      <c r="M19" s="29" t="n">
        <v>987759.5343905506</v>
      </c>
      <c r="N19" s="28" t="n">
        <v>-158041.5255024881</v>
      </c>
      <c r="O19" s="29" t="n">
        <v>829718.0088880624</v>
      </c>
      <c r="P19" s="28" t="n">
        <v>-314034.4317357924</v>
      </c>
      <c r="Q19" s="28" t="n">
        <v>-332876.4976399401</v>
      </c>
      <c r="R19" s="31" t="n">
        <v>3.259629011154175e-09</v>
      </c>
      <c r="S19" s="32" t="n">
        <v>3.023949144596868</v>
      </c>
      <c r="T19" s="28" t="n">
        <v>-350000</v>
      </c>
      <c r="U19" s="33" t="n">
        <v>498560.0747922101</v>
      </c>
      <c r="V19" s="33" t="n">
        <v>165683.57715227</v>
      </c>
      <c r="W19" s="33" t="n">
        <v>8973278.112575287</v>
      </c>
      <c r="X19" s="30" t="n">
        <v>79.02076275124405</v>
      </c>
      <c r="Y19" s="30" t="n">
        <v>24.15843840707276</v>
      </c>
      <c r="Z19" s="30" t="n">
        <v>15.77938830021619</v>
      </c>
    </row>
    <row r="20">
      <c r="A20" s="25" t="n">
        <v>11</v>
      </c>
      <c r="B20" s="26" t="n">
        <v>243850.9563831635</v>
      </c>
      <c r="C20" s="26" t="n">
        <v>654384.9440333321</v>
      </c>
      <c r="D20" s="26" t="n">
        <v>184788.4160104543</v>
      </c>
      <c r="E20" s="27" t="n">
        <v>1083024.31642695</v>
      </c>
      <c r="F20" s="28" t="n">
        <v>-94074.14655408855</v>
      </c>
      <c r="G20" s="28" t="n">
        <v>-23518.53663852214</v>
      </c>
      <c r="H20" s="29" t="n">
        <v>965431.6332343391</v>
      </c>
      <c r="I20" s="30" t="n">
        <v>89.14219363231237</v>
      </c>
      <c r="J20" s="28" t="n">
        <v>-0</v>
      </c>
      <c r="K20" s="29" t="n">
        <v>965431.6332343391</v>
      </c>
      <c r="L20" s="28" t="n">
        <v>-0</v>
      </c>
      <c r="M20" s="29" t="n">
        <v>965431.6332343391</v>
      </c>
      <c r="N20" s="28" t="n">
        <v>-154469.0613174943</v>
      </c>
      <c r="O20" s="29" t="n">
        <v>810962.5719168448</v>
      </c>
      <c r="P20" s="28" t="n">
        <v>-0</v>
      </c>
      <c r="Q20" s="28" t="n">
        <v>0</v>
      </c>
      <c r="R20" s="31" t="n">
        <v>0</v>
      </c>
      <c r="S20" s="32" t="n">
        <v/>
      </c>
      <c r="T20" s="28" t="n">
        <v>0</v>
      </c>
      <c r="U20" s="33" t="n">
        <v>810962.5719168448</v>
      </c>
      <c r="V20" s="33" t="n">
        <v>810962.5719168448</v>
      </c>
      <c r="W20" s="33" t="n">
        <v>9784240.684492132</v>
      </c>
      <c r="X20" s="30" t="n">
        <v>77.23453065874712</v>
      </c>
      <c r="Y20" s="30" t="n">
        <v>23.17035919762414</v>
      </c>
      <c r="Z20" s="30" t="n">
        <v>77.23453065874712</v>
      </c>
    </row>
    <row r="21">
      <c r="A21" s="25" t="n">
        <v>12</v>
      </c>
      <c r="B21" s="26" t="n">
        <v>237754.6824735844</v>
      </c>
      <c r="C21" s="26" t="n">
        <v>638025.3204324987</v>
      </c>
      <c r="D21" s="26" t="n">
        <v>170686.1421570249</v>
      </c>
      <c r="E21" s="27" t="n">
        <v>1046466.145063108</v>
      </c>
      <c r="F21" s="28" t="n">
        <v>-96896.37095071122</v>
      </c>
      <c r="G21" s="28" t="n">
        <v>-24224.09273767781</v>
      </c>
      <c r="H21" s="29" t="n">
        <v>925345.681374719</v>
      </c>
      <c r="I21" s="30" t="n">
        <v>88.42576377078259</v>
      </c>
      <c r="J21" s="28" t="n">
        <v>-0</v>
      </c>
      <c r="K21" s="29" t="n">
        <v>925345.681374719</v>
      </c>
      <c r="L21" s="28" t="n">
        <v>-0</v>
      </c>
      <c r="M21" s="29" t="n">
        <v>925345.681374719</v>
      </c>
      <c r="N21" s="28" t="n">
        <v>-148055.309019955</v>
      </c>
      <c r="O21" s="29" t="n">
        <v>777290.372354764</v>
      </c>
      <c r="P21" s="28" t="n">
        <v>-0</v>
      </c>
      <c r="Q21" s="28" t="n">
        <v>0</v>
      </c>
      <c r="R21" s="31" t="n">
        <v>0</v>
      </c>
      <c r="S21" s="32" t="n">
        <v/>
      </c>
      <c r="T21" s="28" t="n">
        <v>0</v>
      </c>
      <c r="U21" s="33" t="n">
        <v>777290.372354764</v>
      </c>
      <c r="V21" s="33" t="n">
        <v>777290.372354764</v>
      </c>
      <c r="W21" s="33" t="n">
        <v>10561531.0568469</v>
      </c>
      <c r="X21" s="30" t="n">
        <v>74.02765450997752</v>
      </c>
      <c r="Y21" s="30" t="n">
        <v>22.20829635299325</v>
      </c>
      <c r="Z21" s="30" t="n">
        <v>74.02765450997752</v>
      </c>
    </row>
    <row r="22">
      <c r="A22" s="25" t="n">
        <v>13</v>
      </c>
      <c r="B22" s="26" t="n">
        <v>231810.8154117448</v>
      </c>
      <c r="C22" s="26" t="n">
        <v>622074.6874216862</v>
      </c>
      <c r="D22" s="26" t="n">
        <v>157173.4892362604</v>
      </c>
      <c r="E22" s="27" t="n">
        <v>1011058.992069691</v>
      </c>
      <c r="F22" s="28" t="n">
        <v>-99803.26207923255</v>
      </c>
      <c r="G22" s="28" t="n">
        <v>-24950.81551980814</v>
      </c>
      <c r="H22" s="29" t="n">
        <v>886304.9144706507</v>
      </c>
      <c r="I22" s="30" t="n">
        <v>87.66104860571366</v>
      </c>
      <c r="J22" s="28" t="n">
        <v>-0</v>
      </c>
      <c r="K22" s="29" t="n">
        <v>886304.9144706507</v>
      </c>
      <c r="L22" s="28" t="n">
        <v>-0</v>
      </c>
      <c r="M22" s="29" t="n">
        <v>886304.9144706507</v>
      </c>
      <c r="N22" s="28" t="n">
        <v>-141808.7863153041</v>
      </c>
      <c r="O22" s="29" t="n">
        <v>744496.1281553466</v>
      </c>
      <c r="P22" s="28" t="n">
        <v>-0</v>
      </c>
      <c r="Q22" s="28" t="n">
        <v>0</v>
      </c>
      <c r="R22" s="31" t="n">
        <v>0</v>
      </c>
      <c r="S22" s="32" t="n">
        <v/>
      </c>
      <c r="T22" s="28" t="n">
        <v>0</v>
      </c>
      <c r="U22" s="33" t="n">
        <v>744496.1281553466</v>
      </c>
      <c r="V22" s="33" t="n">
        <v>744496.1281553466</v>
      </c>
      <c r="W22" s="33" t="n">
        <v>11306027.18500224</v>
      </c>
      <c r="X22" s="30" t="n">
        <v>70.90439315765205</v>
      </c>
      <c r="Y22" s="30" t="n">
        <v>21.27131794729562</v>
      </c>
      <c r="Z22" s="30" t="n">
        <v>70.90439315765205</v>
      </c>
    </row>
    <row r="23">
      <c r="A23" s="25" t="n">
        <v>14</v>
      </c>
      <c r="B23" s="26" t="n">
        <v>226015.5450264511</v>
      </c>
      <c r="C23" s="26" t="n">
        <v>606522.820236144</v>
      </c>
      <c r="D23" s="26" t="n">
        <v>144229.790122686</v>
      </c>
      <c r="E23" s="27" t="n">
        <v>976768.1553852812</v>
      </c>
      <c r="F23" s="28" t="n">
        <v>-102797.3599416095</v>
      </c>
      <c r="G23" s="28" t="n">
        <v>-25699.33998540238</v>
      </c>
      <c r="H23" s="29" t="n">
        <v>848271.4554582692</v>
      </c>
      <c r="I23" s="30" t="n">
        <v>86.84470831501186</v>
      </c>
      <c r="J23" s="28" t="n">
        <v>-0</v>
      </c>
      <c r="K23" s="29" t="n">
        <v>848271.4554582692</v>
      </c>
      <c r="L23" s="28" t="n">
        <v>-0</v>
      </c>
      <c r="M23" s="29" t="n">
        <v>848271.4554582692</v>
      </c>
      <c r="N23" s="28" t="n">
        <v>-135723.4328733231</v>
      </c>
      <c r="O23" s="29" t="n">
        <v>712548.0225849461</v>
      </c>
      <c r="P23" s="28" t="n">
        <v>-0</v>
      </c>
      <c r="Q23" s="28" t="n">
        <v>0</v>
      </c>
      <c r="R23" s="31" t="n">
        <v>0</v>
      </c>
      <c r="S23" s="32" t="n">
        <v/>
      </c>
      <c r="T23" s="28" t="n">
        <v>0</v>
      </c>
      <c r="U23" s="33" t="n">
        <v>712548.0225849461</v>
      </c>
      <c r="V23" s="33" t="n">
        <v>712548.0225849461</v>
      </c>
      <c r="W23" s="33" t="n">
        <v>12018575.20758719</v>
      </c>
      <c r="X23" s="30" t="n">
        <v>67.86171643666154</v>
      </c>
      <c r="Y23" s="30" t="n">
        <v>20.35851493099846</v>
      </c>
      <c r="Z23" s="30" t="n">
        <v>67.86171643666154</v>
      </c>
    </row>
    <row r="24">
      <c r="A24" s="25" t="n">
        <v>15</v>
      </c>
      <c r="B24" s="26" t="n">
        <v>220365.1564007899</v>
      </c>
      <c r="C24" s="26" t="n">
        <v>591359.7497302406</v>
      </c>
      <c r="D24" s="26" t="n">
        <v>134764.7101458847</v>
      </c>
      <c r="E24" s="27" t="n">
        <v>946489.6162769152</v>
      </c>
      <c r="F24" s="28" t="n">
        <v>-105881.2807398578</v>
      </c>
      <c r="G24" s="28" t="n">
        <v>-26470.32018496446</v>
      </c>
      <c r="H24" s="29" t="n">
        <v>814138.0153520929</v>
      </c>
      <c r="I24" s="30" t="n">
        <v>86.01658183579057</v>
      </c>
      <c r="J24" s="28" t="n">
        <v>-0</v>
      </c>
      <c r="K24" s="29" t="n">
        <v>814138.0153520929</v>
      </c>
      <c r="L24" s="28" t="n">
        <v>-0</v>
      </c>
      <c r="M24" s="29" t="n">
        <v>814138.0153520929</v>
      </c>
      <c r="N24" s="28" t="n">
        <v>-130262.0824563349</v>
      </c>
      <c r="O24" s="29" t="n">
        <v>683875.9328957581</v>
      </c>
      <c r="P24" s="28" t="n">
        <v>-0</v>
      </c>
      <c r="Q24" s="28" t="n">
        <v>0</v>
      </c>
      <c r="R24" s="31" t="n">
        <v>0</v>
      </c>
      <c r="S24" s="32" t="n">
        <v/>
      </c>
      <c r="T24" s="28" t="n">
        <v>0</v>
      </c>
      <c r="U24" s="33" t="n">
        <v>683875.9328957581</v>
      </c>
      <c r="V24" s="33" t="n">
        <v>683875.9328957581</v>
      </c>
      <c r="W24" s="33" t="n">
        <v>12702451.14048295</v>
      </c>
      <c r="X24" s="30" t="n">
        <v>65.13104122816743</v>
      </c>
      <c r="Y24" s="30" t="n">
        <v>19.53931236845023</v>
      </c>
      <c r="Z24" s="30" t="n">
        <v>65.13104122816743</v>
      </c>
    </row>
    <row r="26">
      <c r="A26" s="4" t="inlineStr">
        <is>
          <t>Scenario description</t>
        </is>
      </c>
    </row>
    <row r="27" ht="80" customHeight="1">
      <c r="A27" s="18" t="inlineStr">
        <is>
          <t>PICASSO already live at Y1 (alternate timeline if Hungary connects faster). Y1 base already incorporates -25% from current. Slower compression (~5%/yr) post-PICASSO since extreme tail already capped. Floor at 70% Y1.</t>
        </is>
      </c>
    </row>
  </sheetData>
  <mergeCells count="3">
    <mergeCell ref="A1:Z1"/>
    <mergeCell ref="A27:Z27"/>
    <mergeCell ref="A26:Z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1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1" customWidth="1" min="19" max="19"/>
    <col width="14" customWidth="1" min="20" max="20"/>
    <col width="14" customWidth="1" min="21" max="21"/>
    <col width="14" customWidth="1" min="22" max="22"/>
    <col width="14" customWidth="1" min="23" max="23"/>
    <col width="11" customWidth="1" min="24" max="24"/>
    <col width="11" customWidth="1" min="25" max="25"/>
    <col width="11" customWidth="1" min="26" max="26"/>
  </cols>
  <sheetData>
    <row r="1" ht="28" customHeight="1">
      <c r="A1" s="19" t="inlineStr">
        <is>
          <t>B. PICASSO go-live (Y1) (10% share)  ← REALISTIC (operator drag applied)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  <c r="O1" s="20" t="n"/>
      <c r="P1" s="20" t="n"/>
      <c r="Q1" s="20" t="n"/>
      <c r="R1" s="20" t="n"/>
      <c r="S1" s="20" t="n"/>
      <c r="T1" s="20" t="n"/>
      <c r="U1" s="20" t="n"/>
      <c r="V1" s="20" t="n"/>
      <c r="W1" s="20" t="n"/>
      <c r="X1" s="20" t="n"/>
      <c r="Y1" s="20" t="n"/>
      <c r="Z1" s="21" t="n"/>
    </row>
    <row r="2">
      <c r="A2" s="22" t="inlineStr">
        <is>
          <t>Y1 revenue</t>
        </is>
      </c>
      <c r="B2" s="23" t="inlineStr">
        <is>
          <t>€1.05M</t>
        </is>
      </c>
      <c r="C2" s="22" t="inlineStr">
        <is>
          <t>Y1 EBITDA</t>
        </is>
      </c>
      <c r="D2" s="23" t="inlineStr">
        <is>
          <t>€965k</t>
        </is>
      </c>
      <c r="E2" s="22" t="inlineStr">
        <is>
          <t>Y1 EBITDA margin</t>
        </is>
      </c>
      <c r="F2" s="23" t="inlineStr">
        <is>
          <t>91.69%</t>
        </is>
      </c>
      <c r="G2" s="22" t="inlineStr">
        <is>
          <t>Y1 Net income</t>
        </is>
      </c>
      <c r="H2" s="23" t="inlineStr">
        <is>
          <t>€320k</t>
        </is>
      </c>
    </row>
    <row r="3">
      <c r="A3" s="22" t="inlineStr">
        <is>
          <t>Y1 Equity FCF</t>
        </is>
      </c>
      <c r="B3" s="23" t="inlineStr">
        <is>
          <t>€571k</t>
        </is>
      </c>
      <c r="C3" s="22" t="inlineStr">
        <is>
          <t>Equity IRR</t>
        </is>
      </c>
      <c r="D3" s="23" t="inlineStr">
        <is>
          <t>39.89%</t>
        </is>
      </c>
      <c r="E3" s="22" t="inlineStr">
        <is>
          <t>Project IRR</t>
        </is>
      </c>
      <c r="F3" s="23" t="inlineStr">
        <is>
          <t>15.78%</t>
        </is>
      </c>
      <c r="G3" s="22" t="inlineStr">
        <is>
          <t>Equity MIRR</t>
        </is>
      </c>
      <c r="H3" s="23" t="inlineStr">
        <is>
          <t>13.88%</t>
        </is>
      </c>
    </row>
    <row r="4">
      <c r="A4" s="22" t="inlineStr">
        <is>
          <t>Equity payback</t>
        </is>
      </c>
      <c r="B4" s="23" t="inlineStr">
        <is>
          <t>1.9 yr</t>
        </is>
      </c>
      <c r="C4" s="22" t="inlineStr">
        <is>
          <t>Disc. payback @ 8%</t>
        </is>
      </c>
      <c r="D4" s="23" t="inlineStr">
        <is>
          <t>2.2 yr</t>
        </is>
      </c>
      <c r="E4" s="22" t="inlineStr">
        <is>
          <t>MOIC</t>
        </is>
      </c>
      <c r="F4" s="23" t="inlineStr">
        <is>
          <t>4.14x</t>
        </is>
      </c>
      <c r="G4" s="22" t="inlineStr">
        <is>
          <t>Avg ROE</t>
        </is>
      </c>
      <c r="H4" s="23" t="inlineStr">
        <is>
          <t>23.40%</t>
        </is>
      </c>
    </row>
    <row r="5">
      <c r="A5" s="22" t="inlineStr">
        <is>
          <t>Equity NPV @ 8%</t>
        </is>
      </c>
      <c r="B5" s="23" t="inlineStr">
        <is>
          <t>€1.51M</t>
        </is>
      </c>
      <c r="C5" s="22" t="inlineStr">
        <is>
          <t>Equity NPV @ 10%</t>
        </is>
      </c>
      <c r="D5" s="23" t="inlineStr">
        <is>
          <t>€1.29M</t>
        </is>
      </c>
      <c r="E5" s="22" t="inlineStr">
        <is>
          <t>Project NPV @ 8%</t>
        </is>
      </c>
      <c r="F5" s="23" t="inlineStr">
        <is>
          <t>€1.30M</t>
        </is>
      </c>
      <c r="G5" s="22" t="inlineStr">
        <is>
          <t>Project NPV @ 10%</t>
        </is>
      </c>
      <c r="H5" s="23" t="inlineStr">
        <is>
          <t>€889k</t>
        </is>
      </c>
    </row>
    <row r="6">
      <c r="A6" s="22" t="inlineStr">
        <is>
          <t>Min DSCR</t>
        </is>
      </c>
      <c r="B6" s="23" t="inlineStr">
        <is>
          <t>1.34x</t>
        </is>
      </c>
      <c r="C6" s="22" t="inlineStr">
        <is>
          <t>Avg DSCR</t>
        </is>
      </c>
      <c r="D6" s="23" t="inlineStr">
        <is>
          <t>nanx</t>
        </is>
      </c>
      <c r="E6" s="22" t="inlineStr">
        <is>
          <t>LLCR</t>
        </is>
      </c>
      <c r="F6" s="23" t="inlineStr">
        <is>
          <t>1.85x</t>
        </is>
      </c>
      <c r="G6" s="22" t="inlineStr">
        <is>
          <t>PLCR</t>
        </is>
      </c>
      <c r="H6" s="23" t="inlineStr">
        <is>
          <t>2.15x</t>
        </is>
      </c>
    </row>
    <row r="7"/>
    <row r="8"/>
    <row r="9" ht="42" customHeight="1">
      <c r="A9" s="24" t="inlineStr">
        <is>
          <t>Year</t>
        </is>
      </c>
      <c r="B9" s="24" t="inlineStr">
        <is>
          <t>aFRR capacity (€)</t>
        </is>
      </c>
      <c r="C9" s="24" t="inlineStr">
        <is>
          <t>aFRR activation (€)</t>
        </is>
      </c>
      <c r="D9" s="24" t="inlineStr">
        <is>
          <t>PZU arbitrage (€)</t>
        </is>
      </c>
      <c r="E9" s="24" t="inlineStr">
        <is>
          <t>Total revenue (€)</t>
        </is>
      </c>
      <c r="F9" s="24" t="inlineStr">
        <is>
          <t>OPEX (€)</t>
        </is>
      </c>
      <c r="G9" s="24" t="inlineStr">
        <is>
          <t>Insurance (€)</t>
        </is>
      </c>
      <c r="H9" s="24" t="inlineStr">
        <is>
          <t>EBITDA (€)</t>
        </is>
      </c>
      <c r="I9" s="24" t="inlineStr">
        <is>
          <t>EBITDA margin (%)</t>
        </is>
      </c>
      <c r="J9" s="24" t="inlineStr">
        <is>
          <t>Depreciation (€)</t>
        </is>
      </c>
      <c r="K9" s="24" t="inlineStr">
        <is>
          <t>EBIT (€)</t>
        </is>
      </c>
      <c r="L9" s="24" t="inlineStr">
        <is>
          <t>Interest expense (€)</t>
        </is>
      </c>
      <c r="M9" s="24" t="inlineStr">
        <is>
          <t>EBT (€)</t>
        </is>
      </c>
      <c r="N9" s="24" t="inlineStr">
        <is>
          <t>Tax (€)</t>
        </is>
      </c>
      <c r="O9" s="24" t="inlineStr">
        <is>
          <t>Net income (€)</t>
        </is>
      </c>
      <c r="P9" s="24" t="inlineStr">
        <is>
          <t>Principal payment (€)</t>
        </is>
      </c>
      <c r="Q9" s="24" t="inlineStr">
        <is>
          <t>Debt service total (€)</t>
        </is>
      </c>
      <c r="R9" s="24" t="inlineStr">
        <is>
          <t>Debt outstanding YE (€)</t>
        </is>
      </c>
      <c r="S9" s="24" t="inlineStr">
        <is>
          <t>DSCR</t>
        </is>
      </c>
      <c r="T9" s="24" t="inlineStr">
        <is>
          <t>Augmentation (€)</t>
        </is>
      </c>
      <c r="U9" s="24" t="inlineStr">
        <is>
          <t>Project FCF (€)</t>
        </is>
      </c>
      <c r="V9" s="24" t="inlineStr">
        <is>
          <t>Equity FCF (€)</t>
        </is>
      </c>
      <c r="W9" s="24" t="inlineStr">
        <is>
          <t>Cumulative equity FCF (€)</t>
        </is>
      </c>
      <c r="X9" s="24" t="inlineStr">
        <is>
          <t>ROE (%)</t>
        </is>
      </c>
      <c r="Y9" s="24" t="inlineStr">
        <is>
          <t>ROIC (%)</t>
        </is>
      </c>
      <c r="Z9" s="24" t="inlineStr">
        <is>
          <t>Cash-on-cash yield (%)</t>
        </is>
      </c>
    </row>
    <row r="10">
      <c r="A10" s="25" t="n">
        <v>1</v>
      </c>
      <c r="B10" s="26" t="n">
        <v>417314.25</v>
      </c>
      <c r="C10" s="26" t="n">
        <v>301043.4</v>
      </c>
      <c r="D10" s="26" t="n">
        <v>334074.8</v>
      </c>
      <c r="E10" s="27" t="n">
        <v>1052432.45</v>
      </c>
      <c r="F10" s="28" t="n">
        <v>-70000</v>
      </c>
      <c r="G10" s="28" t="n">
        <v>-17500</v>
      </c>
      <c r="H10" s="29" t="n">
        <v>964932.45</v>
      </c>
      <c r="I10" s="30" t="n">
        <v>91.68592720606439</v>
      </c>
      <c r="J10" s="28" t="n">
        <v>-437500</v>
      </c>
      <c r="K10" s="29" t="n">
        <v>527432.45</v>
      </c>
      <c r="L10" s="28" t="n">
        <v>-147000</v>
      </c>
      <c r="M10" s="29" t="n">
        <v>380432.45</v>
      </c>
      <c r="N10" s="28" t="n">
        <v>-60869.192</v>
      </c>
      <c r="O10" s="29" t="n">
        <v>319563.258</v>
      </c>
      <c r="P10" s="28" t="n">
        <v>-185876.4976399401</v>
      </c>
      <c r="Q10" s="28" t="n">
        <v>-332876.4976399401</v>
      </c>
      <c r="R10" s="31" t="n">
        <v>2264123.50236006</v>
      </c>
      <c r="S10" s="32" t="n">
        <v>2.898770134993822</v>
      </c>
      <c r="T10" s="28" t="n">
        <v>0</v>
      </c>
      <c r="U10" s="33" t="n">
        <v>904063.2579999999</v>
      </c>
      <c r="V10" s="33" t="n">
        <v>571186.7603600598</v>
      </c>
      <c r="W10" s="33" t="n">
        <v>571186.7603600598</v>
      </c>
      <c r="X10" s="30" t="n">
        <v>30.434596</v>
      </c>
      <c r="Y10" s="30" t="n">
        <v>12.6583788</v>
      </c>
      <c r="Z10" s="30" t="n">
        <v>54.39873908191045</v>
      </c>
    </row>
    <row r="11">
      <c r="A11" s="25" t="n">
        <v>2</v>
      </c>
      <c r="B11" s="26" t="n">
        <v>406881.39375</v>
      </c>
      <c r="C11" s="26" t="n">
        <v>293517.3149999999</v>
      </c>
      <c r="D11" s="26" t="n">
        <v>315951.2421</v>
      </c>
      <c r="E11" s="27" t="n">
        <v>1016349.95085</v>
      </c>
      <c r="F11" s="28" t="n">
        <v>-72100</v>
      </c>
      <c r="G11" s="28" t="n">
        <v>-18025</v>
      </c>
      <c r="H11" s="29" t="n">
        <v>926224.95085</v>
      </c>
      <c r="I11" s="30" t="n">
        <v>91.13248345959715</v>
      </c>
      <c r="J11" s="28" t="n">
        <v>-437500</v>
      </c>
      <c r="K11" s="29" t="n">
        <v>488724.95085</v>
      </c>
      <c r="L11" s="28" t="n">
        <v>-135847.4101416036</v>
      </c>
      <c r="M11" s="29" t="n">
        <v>352877.5407083965</v>
      </c>
      <c r="N11" s="28" t="n">
        <v>-56460.40651334343</v>
      </c>
      <c r="O11" s="29" t="n">
        <v>296417.134195053</v>
      </c>
      <c r="P11" s="28" t="n">
        <v>-197029.0874983365</v>
      </c>
      <c r="Q11" s="28" t="n">
        <v>-332876.4976399401</v>
      </c>
      <c r="R11" s="31" t="n">
        <v>2067094.414861723</v>
      </c>
      <c r="S11" s="32" t="n">
        <v>2.782488272427879</v>
      </c>
      <c r="T11" s="28" t="n">
        <v>0</v>
      </c>
      <c r="U11" s="33" t="n">
        <v>869764.5443366566</v>
      </c>
      <c r="V11" s="33" t="n">
        <v>536888.0466967165</v>
      </c>
      <c r="W11" s="33" t="n">
        <v>1108074.807056776</v>
      </c>
      <c r="X11" s="30" t="n">
        <v>28.23020325667171</v>
      </c>
      <c r="Y11" s="30" t="n">
        <v>11.7293988204</v>
      </c>
      <c r="Z11" s="30" t="n">
        <v>51.13219492349681</v>
      </c>
    </row>
    <row r="12">
      <c r="A12" s="25" t="n">
        <v>3</v>
      </c>
      <c r="B12" s="26" t="n">
        <v>376873.8909609375</v>
      </c>
      <c r="C12" s="26" t="n">
        <v>271870.41301875</v>
      </c>
      <c r="D12" s="26" t="n">
        <v>292173.46821</v>
      </c>
      <c r="E12" s="27" t="n">
        <v>940917.7721896875</v>
      </c>
      <c r="F12" s="28" t="n">
        <v>-74263</v>
      </c>
      <c r="G12" s="28" t="n">
        <v>-18565.75</v>
      </c>
      <c r="H12" s="29" t="n">
        <v>848089.0221896875</v>
      </c>
      <c r="I12" s="30" t="n">
        <v>90.13423353839192</v>
      </c>
      <c r="J12" s="28" t="n">
        <v>-437500</v>
      </c>
      <c r="K12" s="29" t="n">
        <v>410589.0221896875</v>
      </c>
      <c r="L12" s="28" t="n">
        <v>-124025.6648917034</v>
      </c>
      <c r="M12" s="29" t="n">
        <v>286563.3572979841</v>
      </c>
      <c r="N12" s="28" t="n">
        <v>-45850.13716767745</v>
      </c>
      <c r="O12" s="29" t="n">
        <v>240713.2201303066</v>
      </c>
      <c r="P12" s="28" t="n">
        <v>-208850.8327482367</v>
      </c>
      <c r="Q12" s="28" t="n">
        <v>-332876.4976399401</v>
      </c>
      <c r="R12" s="31" t="n">
        <v>1858243.582113487</v>
      </c>
      <c r="S12" s="32" t="n">
        <v>2.547758788026643</v>
      </c>
      <c r="T12" s="28" t="n">
        <v>0</v>
      </c>
      <c r="U12" s="33" t="n">
        <v>802238.8850220101</v>
      </c>
      <c r="V12" s="33" t="n">
        <v>469362.38738207</v>
      </c>
      <c r="W12" s="33" t="n">
        <v>1577437.194438846</v>
      </c>
      <c r="X12" s="30" t="n">
        <v>22.92506858383873</v>
      </c>
      <c r="Y12" s="30" t="n">
        <v>9.854136532552499</v>
      </c>
      <c r="Z12" s="30" t="n">
        <v>44.70117975067333</v>
      </c>
    </row>
    <row r="13">
      <c r="A13" s="25" t="n">
        <v>4</v>
      </c>
      <c r="B13" s="26" t="n">
        <v>348112.4624402344</v>
      </c>
      <c r="C13" s="26" t="n">
        <v>251122.4078146875</v>
      </c>
      <c r="D13" s="26" t="n">
        <v>269387.1134881875</v>
      </c>
      <c r="E13" s="27" t="n">
        <v>868621.9837431093</v>
      </c>
      <c r="F13" s="28" t="n">
        <v>-76490.89</v>
      </c>
      <c r="G13" s="28" t="n">
        <v>-19122.7225</v>
      </c>
      <c r="H13" s="29" t="n">
        <v>773008.3712431092</v>
      </c>
      <c r="I13" s="30" t="n">
        <v>88.99249451551098</v>
      </c>
      <c r="J13" s="28" t="n">
        <v>-437500</v>
      </c>
      <c r="K13" s="29" t="n">
        <v>335508.3712431092</v>
      </c>
      <c r="L13" s="28" t="n">
        <v>-111494.6149268092</v>
      </c>
      <c r="M13" s="29" t="n">
        <v>224013.7563163</v>
      </c>
      <c r="N13" s="28" t="n">
        <v>-35842.20101060801</v>
      </c>
      <c r="O13" s="29" t="n">
        <v>188171.555305692</v>
      </c>
      <c r="P13" s="28" t="n">
        <v>-221381.8827131309</v>
      </c>
      <c r="Q13" s="28" t="n">
        <v>-332876.4976399401</v>
      </c>
      <c r="R13" s="31" t="n">
        <v>1636861.699400356</v>
      </c>
      <c r="S13" s="32" t="n">
        <v>2.322207715845542</v>
      </c>
      <c r="T13" s="28" t="n">
        <v>0</v>
      </c>
      <c r="U13" s="33" t="n">
        <v>737166.1702325012</v>
      </c>
      <c r="V13" s="33" t="n">
        <v>404289.6725925611</v>
      </c>
      <c r="W13" s="33" t="n">
        <v>1981726.867031408</v>
      </c>
      <c r="X13" s="30" t="n">
        <v>17.921100505304</v>
      </c>
      <c r="Y13" s="30" t="n">
        <v>8.052200909834621</v>
      </c>
      <c r="Z13" s="30" t="n">
        <v>38.50377834214868</v>
      </c>
    </row>
    <row r="14">
      <c r="A14" s="25" t="n">
        <v>5</v>
      </c>
      <c r="B14" s="26" t="n">
        <v>324324.7775068184</v>
      </c>
      <c r="C14" s="26" t="n">
        <v>233962.3766140172</v>
      </c>
      <c r="D14" s="26" t="n">
        <v>247557.4680848343</v>
      </c>
      <c r="E14" s="27" t="n">
        <v>805844.6222056698</v>
      </c>
      <c r="F14" s="28" t="n">
        <v>-78785.61670000001</v>
      </c>
      <c r="G14" s="28" t="n">
        <v>-19696.404175</v>
      </c>
      <c r="H14" s="29" t="n">
        <v>707362.6013306697</v>
      </c>
      <c r="I14" s="30" t="n">
        <v>87.77903107357771</v>
      </c>
      <c r="J14" s="28" t="n">
        <v>-437500</v>
      </c>
      <c r="K14" s="29" t="n">
        <v>269862.6013306697</v>
      </c>
      <c r="L14" s="28" t="n">
        <v>-98211.70196402134</v>
      </c>
      <c r="M14" s="29" t="n">
        <v>171650.8993666484</v>
      </c>
      <c r="N14" s="28" t="n">
        <v>-27464.14389866374</v>
      </c>
      <c r="O14" s="29" t="n">
        <v>144186.7554679846</v>
      </c>
      <c r="P14" s="28" t="n">
        <v>-234664.7956759188</v>
      </c>
      <c r="Q14" s="28" t="n">
        <v>-332876.4976399401</v>
      </c>
      <c r="R14" s="31" t="n">
        <v>1402196.903724437</v>
      </c>
      <c r="S14" s="32" t="n">
        <v>2.125000131717911</v>
      </c>
      <c r="T14" s="28" t="n">
        <v>-350000</v>
      </c>
      <c r="U14" s="33" t="n">
        <v>329898.457432006</v>
      </c>
      <c r="V14" s="33" t="n">
        <v>-2978.0402079341</v>
      </c>
      <c r="W14" s="33" t="n">
        <v>1978748.826823473</v>
      </c>
      <c r="X14" s="30" t="n">
        <v>13.73207194933187</v>
      </c>
      <c r="Y14" s="30" t="n">
        <v>6.476702431936072</v>
      </c>
      <c r="Z14" s="30" t="n">
        <v>-0.2836228769461048</v>
      </c>
    </row>
    <row r="15">
      <c r="A15" s="25" t="n">
        <v>6</v>
      </c>
      <c r="B15" s="26" t="n">
        <v>301508.906531048</v>
      </c>
      <c r="C15" s="26" t="n">
        <v>217503.3954684962</v>
      </c>
      <c r="D15" s="26" t="n">
        <v>226650.9380057188</v>
      </c>
      <c r="E15" s="27" t="n">
        <v>745663.2400052629</v>
      </c>
      <c r="F15" s="28" t="n">
        <v>-81149.185201</v>
      </c>
      <c r="G15" s="28" t="n">
        <v>-20287.29630025</v>
      </c>
      <c r="H15" s="29" t="n">
        <v>644226.7585040129</v>
      </c>
      <c r="I15" s="30" t="n">
        <v>86.39647550541261</v>
      </c>
      <c r="J15" s="28" t="n">
        <v>-437500</v>
      </c>
      <c r="K15" s="29" t="n">
        <v>206726.7585040129</v>
      </c>
      <c r="L15" s="28" t="n">
        <v>-84131.81422346622</v>
      </c>
      <c r="M15" s="29" t="n">
        <v>122594.9442805467</v>
      </c>
      <c r="N15" s="28" t="n">
        <v>-19615.19108488748</v>
      </c>
      <c r="O15" s="29" t="n">
        <v>102979.7531956593</v>
      </c>
      <c r="P15" s="28" t="n">
        <v>-248744.6834164739</v>
      </c>
      <c r="Q15" s="28" t="n">
        <v>-332876.4976399401</v>
      </c>
      <c r="R15" s="31" t="n">
        <v>1153452.220307963</v>
      </c>
      <c r="S15" s="32" t="n">
        <v>1.935332662628674</v>
      </c>
      <c r="T15" s="28" t="n">
        <v>0</v>
      </c>
      <c r="U15" s="33" t="n">
        <v>624611.5674191255</v>
      </c>
      <c r="V15" s="33" t="n">
        <v>291735.0697791853</v>
      </c>
      <c r="W15" s="33" t="n">
        <v>2270483.896602659</v>
      </c>
      <c r="X15" s="30" t="n">
        <v>9.807595542443739</v>
      </c>
      <c r="Y15" s="30" t="n">
        <v>4.96144220409631</v>
      </c>
      <c r="Z15" s="30" t="n">
        <v>27.78429235992241</v>
      </c>
    </row>
    <row r="16">
      <c r="A16" s="25" t="n">
        <v>7</v>
      </c>
      <c r="B16" s="26" t="n">
        <v>279631.1261181244</v>
      </c>
      <c r="C16" s="26" t="n">
        <v>201721.1368948675</v>
      </c>
      <c r="D16" s="26" t="n">
        <v>206635.011013006</v>
      </c>
      <c r="E16" s="27" t="n">
        <v>687987.2740259978</v>
      </c>
      <c r="F16" s="28" t="n">
        <v>-83583.66075703001</v>
      </c>
      <c r="G16" s="28" t="n">
        <v>-20895.9151892575</v>
      </c>
      <c r="H16" s="29" t="n">
        <v>583507.6980797104</v>
      </c>
      <c r="I16" s="30" t="n">
        <v>84.81373422288921</v>
      </c>
      <c r="J16" s="28" t="n">
        <v>-437500</v>
      </c>
      <c r="K16" s="29" t="n">
        <v>146007.6980797104</v>
      </c>
      <c r="L16" s="28" t="n">
        <v>-69207.13321847779</v>
      </c>
      <c r="M16" s="29" t="n">
        <v>76800.56486123257</v>
      </c>
      <c r="N16" s="28" t="n">
        <v>-12288.09037779721</v>
      </c>
      <c r="O16" s="29" t="n">
        <v>64512.47448343536</v>
      </c>
      <c r="P16" s="28" t="n">
        <v>-263669.3644214623</v>
      </c>
      <c r="Q16" s="28" t="n">
        <v>-332876.4976399401</v>
      </c>
      <c r="R16" s="31" t="n">
        <v>889782.8558865008</v>
      </c>
      <c r="S16" s="32" t="n">
        <v>1.752925491035623</v>
      </c>
      <c r="T16" s="28" t="n">
        <v>0</v>
      </c>
      <c r="U16" s="33" t="n">
        <v>571219.6077019131</v>
      </c>
      <c r="V16" s="33" t="n">
        <v>238343.110061973</v>
      </c>
      <c r="W16" s="33" t="n">
        <v>2508827.006664631</v>
      </c>
      <c r="X16" s="30" t="n">
        <v>6.144045188898605</v>
      </c>
      <c r="Y16" s="30" t="n">
        <v>3.504184753913048</v>
      </c>
      <c r="Z16" s="30" t="n">
        <v>22.699343815426</v>
      </c>
    </row>
    <row r="17">
      <c r="A17" s="25" t="n">
        <v>8</v>
      </c>
      <c r="B17" s="26" t="n">
        <v>258658.7916592651</v>
      </c>
      <c r="C17" s="26" t="n">
        <v>186592.0516277524</v>
      </c>
      <c r="D17" s="26" t="n">
        <v>190276.4059744763</v>
      </c>
      <c r="E17" s="27" t="n">
        <v>635527.2492614939</v>
      </c>
      <c r="F17" s="28" t="n">
        <v>-86091.17057974091</v>
      </c>
      <c r="G17" s="28" t="n">
        <v>-21522.79264493523</v>
      </c>
      <c r="H17" s="29" t="n">
        <v>527913.2860368178</v>
      </c>
      <c r="I17" s="30" t="n">
        <v>83.06697889827265</v>
      </c>
      <c r="J17" s="28" t="n">
        <v>-437500</v>
      </c>
      <c r="K17" s="29" t="n">
        <v>90413.28603681782</v>
      </c>
      <c r="L17" s="28" t="n">
        <v>-53386.97135319005</v>
      </c>
      <c r="M17" s="29" t="n">
        <v>37026.31468362777</v>
      </c>
      <c r="N17" s="28" t="n">
        <v>-5924.210349380444</v>
      </c>
      <c r="O17" s="29" t="n">
        <v>31102.10433424733</v>
      </c>
      <c r="P17" s="28" t="n">
        <v>-279489.5262867501</v>
      </c>
      <c r="Q17" s="28" t="n">
        <v>-332876.4976399401</v>
      </c>
      <c r="R17" s="31" t="n">
        <v>610293.3295997507</v>
      </c>
      <c r="S17" s="32" t="n">
        <v>1.585913363603824</v>
      </c>
      <c r="T17" s="28" t="n">
        <v>0</v>
      </c>
      <c r="U17" s="33" t="n">
        <v>521989.0756874374</v>
      </c>
      <c r="V17" s="33" t="n">
        <v>189112.5780474973</v>
      </c>
      <c r="W17" s="33" t="n">
        <v>2697939.584712129</v>
      </c>
      <c r="X17" s="30" t="n">
        <v>2.962105174690222</v>
      </c>
      <c r="Y17" s="30" t="n">
        <v>2.169918864883627</v>
      </c>
      <c r="Z17" s="30" t="n">
        <v>18.01072171880926</v>
      </c>
    </row>
    <row r="18">
      <c r="A18" s="25" t="n">
        <v>9</v>
      </c>
      <c r="B18" s="26" t="n">
        <v>241968.3088190895</v>
      </c>
      <c r="C18" s="26" t="n">
        <v>174551.82126934</v>
      </c>
      <c r="D18" s="26" t="n">
        <v>174606.58430599</v>
      </c>
      <c r="E18" s="27" t="n">
        <v>591126.7143944196</v>
      </c>
      <c r="F18" s="28" t="n">
        <v>-88673.90569713314</v>
      </c>
      <c r="G18" s="28" t="n">
        <v>-22168.47642428329</v>
      </c>
      <c r="H18" s="29" t="n">
        <v>480284.3322730031</v>
      </c>
      <c r="I18" s="30" t="n">
        <v>81.24896415230209</v>
      </c>
      <c r="J18" s="28" t="n">
        <v>-0</v>
      </c>
      <c r="K18" s="29" t="n">
        <v>480284.3322730031</v>
      </c>
      <c r="L18" s="28" t="n">
        <v>-36617.59977598504</v>
      </c>
      <c r="M18" s="29" t="n">
        <v>443666.7324970181</v>
      </c>
      <c r="N18" s="28" t="n">
        <v>-70986.67719952289</v>
      </c>
      <c r="O18" s="29" t="n">
        <v>372680.0552974952</v>
      </c>
      <c r="P18" s="28" t="n">
        <v>-296258.8978639551</v>
      </c>
      <c r="Q18" s="28" t="n">
        <v>-332876.4976399401</v>
      </c>
      <c r="R18" s="31" t="n">
        <v>314034.4317357956</v>
      </c>
      <c r="S18" s="32" t="n">
        <v>1.442830406106076</v>
      </c>
      <c r="T18" s="28" t="n">
        <v>0</v>
      </c>
      <c r="U18" s="33" t="n">
        <v>409297.6550734802</v>
      </c>
      <c r="V18" s="33" t="n">
        <v>76421.15743354009</v>
      </c>
      <c r="W18" s="33" t="n">
        <v>2774360.742145669</v>
      </c>
      <c r="X18" s="30" t="n">
        <v>35.49333859976144</v>
      </c>
      <c r="Y18" s="30" t="n">
        <v>11.52682397455207</v>
      </c>
      <c r="Z18" s="30" t="n">
        <v>7.278205469860962</v>
      </c>
    </row>
    <row r="19">
      <c r="A19" s="25" t="n">
        <v>10</v>
      </c>
      <c r="B19" s="26" t="n">
        <v>232596.2968577867</v>
      </c>
      <c r="C19" s="26" t="n">
        <v>167791.011290598</v>
      </c>
      <c r="D19" s="26" t="n">
        <v>159601.330967194</v>
      </c>
      <c r="E19" s="27" t="n">
        <v>559988.6391155786</v>
      </c>
      <c r="F19" s="28" t="n">
        <v>-91334.12286804714</v>
      </c>
      <c r="G19" s="28" t="n">
        <v>-22833.53071701178</v>
      </c>
      <c r="H19" s="29" t="n">
        <v>445820.9855305197</v>
      </c>
      <c r="I19" s="30" t="n">
        <v>79.61250539557905</v>
      </c>
      <c r="J19" s="28" t="n">
        <v>-0</v>
      </c>
      <c r="K19" s="29" t="n">
        <v>445820.9855305197</v>
      </c>
      <c r="L19" s="28" t="n">
        <v>-18842.06590414774</v>
      </c>
      <c r="M19" s="29" t="n">
        <v>426978.9196263719</v>
      </c>
      <c r="N19" s="28" t="n">
        <v>-68316.62714021951</v>
      </c>
      <c r="O19" s="29" t="n">
        <v>358662.2924861524</v>
      </c>
      <c r="P19" s="28" t="n">
        <v>-314034.4317357924</v>
      </c>
      <c r="Q19" s="28" t="n">
        <v>-332876.4976399401</v>
      </c>
      <c r="R19" s="31" t="n">
        <v>3.259629011154175e-09</v>
      </c>
      <c r="S19" s="32" t="n">
        <v>1.339298474633518</v>
      </c>
      <c r="T19" s="28" t="n">
        <v>-350000</v>
      </c>
      <c r="U19" s="33" t="n">
        <v>27504.35839030019</v>
      </c>
      <c r="V19" s="33" t="n">
        <v>-305372.1392496399</v>
      </c>
      <c r="W19" s="33" t="n">
        <v>2468988.602896029</v>
      </c>
      <c r="X19" s="30" t="n">
        <v>34.15831357010975</v>
      </c>
      <c r="Y19" s="30" t="n">
        <v>10.69970365273247</v>
      </c>
      <c r="Z19" s="30" t="n">
        <v>-29.08306088091809</v>
      </c>
    </row>
    <row r="20">
      <c r="A20" s="25" t="n">
        <v>11</v>
      </c>
      <c r="B20" s="26" t="n">
        <v>226781.3894363421</v>
      </c>
      <c r="C20" s="26" t="n">
        <v>163596.236008333</v>
      </c>
      <c r="D20" s="26" t="n">
        <v>147830.7328083634</v>
      </c>
      <c r="E20" s="27" t="n">
        <v>538208.3582530385</v>
      </c>
      <c r="F20" s="28" t="n">
        <v>-94074.14655408855</v>
      </c>
      <c r="G20" s="28" t="n">
        <v>-23518.53663852214</v>
      </c>
      <c r="H20" s="29" t="n">
        <v>420615.6750604278</v>
      </c>
      <c r="I20" s="30" t="n">
        <v>78.15108565494917</v>
      </c>
      <c r="J20" s="28" t="n">
        <v>-0</v>
      </c>
      <c r="K20" s="29" t="n">
        <v>420615.6750604278</v>
      </c>
      <c r="L20" s="28" t="n">
        <v>-0</v>
      </c>
      <c r="M20" s="29" t="n">
        <v>420615.6750604278</v>
      </c>
      <c r="N20" s="28" t="n">
        <v>-67298.50800966845</v>
      </c>
      <c r="O20" s="29" t="n">
        <v>353317.1670507594</v>
      </c>
      <c r="P20" s="28" t="n">
        <v>-0</v>
      </c>
      <c r="Q20" s="28" t="n">
        <v>0</v>
      </c>
      <c r="R20" s="31" t="n">
        <v>0</v>
      </c>
      <c r="S20" s="32" t="n">
        <v/>
      </c>
      <c r="T20" s="28" t="n">
        <v>0</v>
      </c>
      <c r="U20" s="33" t="n">
        <v>353317.1670507594</v>
      </c>
      <c r="V20" s="33" t="n">
        <v>353317.1670507594</v>
      </c>
      <c r="W20" s="33" t="n">
        <v>2822305.769946788</v>
      </c>
      <c r="X20" s="30" t="n">
        <v>33.64925400483423</v>
      </c>
      <c r="Y20" s="30" t="n">
        <v>10.09477620145027</v>
      </c>
      <c r="Z20" s="30" t="n">
        <v>33.64925400483423</v>
      </c>
    </row>
    <row r="21">
      <c r="A21" s="25" t="n">
        <v>12</v>
      </c>
      <c r="B21" s="26" t="n">
        <v>221111.8547004335</v>
      </c>
      <c r="C21" s="26" t="n">
        <v>159506.3301081247</v>
      </c>
      <c r="D21" s="26" t="n">
        <v>136548.9137256199</v>
      </c>
      <c r="E21" s="27" t="n">
        <v>517167.098534178</v>
      </c>
      <c r="F21" s="28" t="n">
        <v>-96896.37095071122</v>
      </c>
      <c r="G21" s="28" t="n">
        <v>-24224.09273767781</v>
      </c>
      <c r="H21" s="29" t="n">
        <v>396046.634845789</v>
      </c>
      <c r="I21" s="30" t="n">
        <v>76.58001368770667</v>
      </c>
      <c r="J21" s="28" t="n">
        <v>-0</v>
      </c>
      <c r="K21" s="29" t="n">
        <v>396046.634845789</v>
      </c>
      <c r="L21" s="28" t="n">
        <v>-0</v>
      </c>
      <c r="M21" s="29" t="n">
        <v>396046.634845789</v>
      </c>
      <c r="N21" s="28" t="n">
        <v>-63367.46157532624</v>
      </c>
      <c r="O21" s="29" t="n">
        <v>332679.1732704628</v>
      </c>
      <c r="P21" s="28" t="n">
        <v>-0</v>
      </c>
      <c r="Q21" s="28" t="n">
        <v>0</v>
      </c>
      <c r="R21" s="31" t="n">
        <v>0</v>
      </c>
      <c r="S21" s="32" t="n">
        <v/>
      </c>
      <c r="T21" s="28" t="n">
        <v>0</v>
      </c>
      <c r="U21" s="33" t="n">
        <v>332679.1732704628</v>
      </c>
      <c r="V21" s="33" t="n">
        <v>332679.1732704628</v>
      </c>
      <c r="W21" s="33" t="n">
        <v>3154984.943217251</v>
      </c>
      <c r="X21" s="30" t="n">
        <v>31.68373078766312</v>
      </c>
      <c r="Y21" s="30" t="n">
        <v>9.505119236298935</v>
      </c>
      <c r="Z21" s="30" t="n">
        <v>31.68373078766312</v>
      </c>
    </row>
    <row r="22">
      <c r="A22" s="25" t="n">
        <v>13</v>
      </c>
      <c r="B22" s="26" t="n">
        <v>215584.0583329226</v>
      </c>
      <c r="C22" s="26" t="n">
        <v>155518.6718554216</v>
      </c>
      <c r="D22" s="26" t="n">
        <v>125738.7913890083</v>
      </c>
      <c r="E22" s="27" t="n">
        <v>496841.5215773525</v>
      </c>
      <c r="F22" s="28" t="n">
        <v>-99803.26207923255</v>
      </c>
      <c r="G22" s="28" t="n">
        <v>-24950.81551980814</v>
      </c>
      <c r="H22" s="29" t="n">
        <v>372087.4439783118</v>
      </c>
      <c r="I22" s="30" t="n">
        <v>74.89056928998679</v>
      </c>
      <c r="J22" s="28" t="n">
        <v>-0</v>
      </c>
      <c r="K22" s="29" t="n">
        <v>372087.4439783118</v>
      </c>
      <c r="L22" s="28" t="n">
        <v>-0</v>
      </c>
      <c r="M22" s="29" t="n">
        <v>372087.4439783118</v>
      </c>
      <c r="N22" s="28" t="n">
        <v>-59533.99103652989</v>
      </c>
      <c r="O22" s="29" t="n">
        <v>312553.452941782</v>
      </c>
      <c r="P22" s="28" t="n">
        <v>-0</v>
      </c>
      <c r="Q22" s="28" t="n">
        <v>0</v>
      </c>
      <c r="R22" s="31" t="n">
        <v>0</v>
      </c>
      <c r="S22" s="32" t="n">
        <v/>
      </c>
      <c r="T22" s="28" t="n">
        <v>0</v>
      </c>
      <c r="U22" s="33" t="n">
        <v>312553.452941782</v>
      </c>
      <c r="V22" s="33" t="n">
        <v>312553.452941782</v>
      </c>
      <c r="W22" s="33" t="n">
        <v>3467538.396159032</v>
      </c>
      <c r="X22" s="30" t="n">
        <v>29.76699551826495</v>
      </c>
      <c r="Y22" s="30" t="n">
        <v>8.930098655479485</v>
      </c>
      <c r="Z22" s="30" t="n">
        <v>29.76699551826495</v>
      </c>
    </row>
    <row r="23">
      <c r="A23" s="25" t="n">
        <v>14</v>
      </c>
      <c r="B23" s="26" t="n">
        <v>210194.4568745996</v>
      </c>
      <c r="C23" s="26" t="n">
        <v>151630.705059036</v>
      </c>
      <c r="D23" s="26" t="n">
        <v>115383.8320981488</v>
      </c>
      <c r="E23" s="27" t="n">
        <v>477208.9940317844</v>
      </c>
      <c r="F23" s="28" t="n">
        <v>-102797.3599416095</v>
      </c>
      <c r="G23" s="28" t="n">
        <v>-25699.33998540238</v>
      </c>
      <c r="H23" s="29" t="n">
        <v>348712.2941047725</v>
      </c>
      <c r="I23" s="30" t="n">
        <v>73.07328622593953</v>
      </c>
      <c r="J23" s="28" t="n">
        <v>-0</v>
      </c>
      <c r="K23" s="29" t="n">
        <v>348712.2941047725</v>
      </c>
      <c r="L23" s="28" t="n">
        <v>-0</v>
      </c>
      <c r="M23" s="29" t="n">
        <v>348712.2941047725</v>
      </c>
      <c r="N23" s="28" t="n">
        <v>-55793.9670567636</v>
      </c>
      <c r="O23" s="29" t="n">
        <v>292918.3270480089</v>
      </c>
      <c r="P23" s="28" t="n">
        <v>-0</v>
      </c>
      <c r="Q23" s="28" t="n">
        <v>0</v>
      </c>
      <c r="R23" s="31" t="n">
        <v>0</v>
      </c>
      <c r="S23" s="32" t="n">
        <v/>
      </c>
      <c r="T23" s="28" t="n">
        <v>0</v>
      </c>
      <c r="U23" s="33" t="n">
        <v>292918.3270480089</v>
      </c>
      <c r="V23" s="33" t="n">
        <v>292918.3270480089</v>
      </c>
      <c r="W23" s="33" t="n">
        <v>3760456.723207041</v>
      </c>
      <c r="X23" s="30" t="n">
        <v>27.8969835283818</v>
      </c>
      <c r="Y23" s="30" t="n">
        <v>8.36909505851454</v>
      </c>
      <c r="Z23" s="30" t="n">
        <v>27.8969835283818</v>
      </c>
    </row>
    <row r="24">
      <c r="A24" s="25" t="n">
        <v>15</v>
      </c>
      <c r="B24" s="26" t="n">
        <v>204939.5954527346</v>
      </c>
      <c r="C24" s="26" t="n">
        <v>147839.9374325601</v>
      </c>
      <c r="D24" s="26" t="n">
        <v>107811.7681167078</v>
      </c>
      <c r="E24" s="27" t="n">
        <v>460591.3010020026</v>
      </c>
      <c r="F24" s="28" t="n">
        <v>-105881.2807398578</v>
      </c>
      <c r="G24" s="28" t="n">
        <v>-26470.32018496446</v>
      </c>
      <c r="H24" s="29" t="n">
        <v>328239.7000771803</v>
      </c>
      <c r="I24" s="30" t="n">
        <v>71.26485006623111</v>
      </c>
      <c r="J24" s="28" t="n">
        <v>-0</v>
      </c>
      <c r="K24" s="29" t="n">
        <v>328239.7000771803</v>
      </c>
      <c r="L24" s="28" t="n">
        <v>-0</v>
      </c>
      <c r="M24" s="29" t="n">
        <v>328239.7000771803</v>
      </c>
      <c r="N24" s="28" t="n">
        <v>-52518.35201234885</v>
      </c>
      <c r="O24" s="29" t="n">
        <v>275721.3480648315</v>
      </c>
      <c r="P24" s="28" t="n">
        <v>-0</v>
      </c>
      <c r="Q24" s="28" t="n">
        <v>0</v>
      </c>
      <c r="R24" s="31" t="n">
        <v>0</v>
      </c>
      <c r="S24" s="32" t="n">
        <v/>
      </c>
      <c r="T24" s="28" t="n">
        <v>0</v>
      </c>
      <c r="U24" s="33" t="n">
        <v>275721.3480648315</v>
      </c>
      <c r="V24" s="33" t="n">
        <v>275721.3480648315</v>
      </c>
      <c r="W24" s="33" t="n">
        <v>4036178.071271873</v>
      </c>
      <c r="X24" s="30" t="n">
        <v>26.25917600617442</v>
      </c>
      <c r="Y24" s="30" t="n">
        <v>7.877752801852328</v>
      </c>
      <c r="Z24" s="30" t="n">
        <v>26.25917600617442</v>
      </c>
    </row>
    <row r="26">
      <c r="A26" s="4" t="inlineStr">
        <is>
          <t>Scenario description</t>
        </is>
      </c>
    </row>
    <row r="27" ht="80" customHeight="1">
      <c r="A27" s="18" t="inlineStr">
        <is>
          <t>Same scenario as the engineering-optimum sheet, but with realistic operator drag multipliers applied to each revenue leg:
  • aFRR capacity × 0.93  (REMIT/Tg/Td tariff erosion)
  • aFRR activation × 0.25  (10% market-share guess → realistic ~2.5% — the BIG haircut)
  • PZU arbitrage × 0.80  (forecast error vs perfect-foresight dispatch)
These are the numbers a lender would actually underwrite. The engineering-optimum sheet is what an EPC vendor's marketing would quote — useful for ceiling-of-the-band but not bankable.</t>
        </is>
      </c>
    </row>
  </sheetData>
  <mergeCells count="3">
    <mergeCell ref="A1:Z1"/>
    <mergeCell ref="A27:Z27"/>
    <mergeCell ref="A26:Z2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1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1" customWidth="1" min="19" max="19"/>
    <col width="14" customWidth="1" min="20" max="20"/>
    <col width="14" customWidth="1" min="21" max="21"/>
    <col width="14" customWidth="1" min="22" max="22"/>
    <col width="14" customWidth="1" min="23" max="23"/>
    <col width="11" customWidth="1" min="24" max="24"/>
    <col width="11" customWidth="1" min="25" max="25"/>
    <col width="11" customWidth="1" min="26" max="26"/>
  </cols>
  <sheetData>
    <row r="1" ht="28" customHeight="1">
      <c r="A1" s="19" t="inlineStr">
        <is>
          <t>C. Mature market (5% share, -40%)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  <c r="O1" s="20" t="n"/>
      <c r="P1" s="20" t="n"/>
      <c r="Q1" s="20" t="n"/>
      <c r="R1" s="20" t="n"/>
      <c r="S1" s="20" t="n"/>
      <c r="T1" s="20" t="n"/>
      <c r="U1" s="20" t="n"/>
      <c r="V1" s="20" t="n"/>
      <c r="W1" s="20" t="n"/>
      <c r="X1" s="20" t="n"/>
      <c r="Y1" s="20" t="n"/>
      <c r="Z1" s="21" t="n"/>
    </row>
    <row r="2">
      <c r="A2" s="22" t="inlineStr">
        <is>
          <t>Y1 revenue</t>
        </is>
      </c>
      <c r="B2" s="23" t="inlineStr">
        <is>
          <t>€1.78M</t>
        </is>
      </c>
      <c r="C2" s="22" t="inlineStr">
        <is>
          <t>Y1 EBITDA</t>
        </is>
      </c>
      <c r="D2" s="23" t="inlineStr">
        <is>
          <t>€1.69M</t>
        </is>
      </c>
      <c r="E2" s="22" t="inlineStr">
        <is>
          <t>Y1 EBITDA margin</t>
        </is>
      </c>
      <c r="F2" s="23" t="inlineStr">
        <is>
          <t>95.08%</t>
        </is>
      </c>
      <c r="G2" s="22" t="inlineStr">
        <is>
          <t>Y1 Net income</t>
        </is>
      </c>
      <c r="H2" s="23" t="inlineStr">
        <is>
          <t>€930k</t>
        </is>
      </c>
    </row>
    <row r="3">
      <c r="A3" s="22" t="inlineStr">
        <is>
          <t>Y1 Equity FCF</t>
        </is>
      </c>
      <c r="B3" s="23" t="inlineStr">
        <is>
          <t>€1.18M</t>
        </is>
      </c>
      <c r="C3" s="22" t="inlineStr">
        <is>
          <t>Equity IRR</t>
        </is>
      </c>
      <c r="D3" s="23" t="inlineStr">
        <is>
          <t>104.23%</t>
        </is>
      </c>
      <c r="E3" s="22" t="inlineStr">
        <is>
          <t>Project IRR</t>
        </is>
      </c>
      <c r="F3" s="23" t="inlineStr">
        <is>
          <t>36.49%</t>
        </is>
      </c>
      <c r="G3" s="22" t="inlineStr">
        <is>
          <t>Equity MIRR</t>
        </is>
      </c>
      <c r="H3" s="23" t="inlineStr">
        <is>
          <t>22.67%</t>
        </is>
      </c>
    </row>
    <row r="4">
      <c r="A4" s="22" t="inlineStr">
        <is>
          <t>Equity payback</t>
        </is>
      </c>
      <c r="B4" s="23" t="inlineStr">
        <is>
          <t>0.9 yr</t>
        </is>
      </c>
      <c r="C4" s="22" t="inlineStr">
        <is>
          <t>Disc. payback @ 8%</t>
        </is>
      </c>
      <c r="D4" s="23" t="inlineStr">
        <is>
          <t>1.0 yr</t>
        </is>
      </c>
      <c r="E4" s="22" t="inlineStr">
        <is>
          <t>MOIC</t>
        </is>
      </c>
      <c r="F4" s="23" t="inlineStr">
        <is>
          <t>11.24x</t>
        </is>
      </c>
      <c r="G4" s="22" t="inlineStr">
        <is>
          <t>Avg ROE</t>
        </is>
      </c>
      <c r="H4" s="23" t="inlineStr">
        <is>
          <t>72.72%</t>
        </is>
      </c>
    </row>
    <row r="5">
      <c r="A5" s="22" t="inlineStr">
        <is>
          <t>Equity NPV @ 8%</t>
        </is>
      </c>
      <c r="B5" s="23" t="inlineStr">
        <is>
          <t>€6.04M</t>
        </is>
      </c>
      <c r="C5" s="22" t="inlineStr">
        <is>
          <t>Equity NPV @ 10%</t>
        </is>
      </c>
      <c r="D5" s="23" t="inlineStr">
        <is>
          <t>€5.34M</t>
        </is>
      </c>
      <c r="E5" s="22" t="inlineStr">
        <is>
          <t>Project NPV @ 8%</t>
        </is>
      </c>
      <c r="F5" s="23" t="inlineStr">
        <is>
          <t>€5.83M</t>
        </is>
      </c>
      <c r="G5" s="22" t="inlineStr">
        <is>
          <t>Project NPV @ 10%</t>
        </is>
      </c>
      <c r="H5" s="23" t="inlineStr">
        <is>
          <t>€4.93M</t>
        </is>
      </c>
    </row>
    <row r="6">
      <c r="A6" s="22" t="inlineStr">
        <is>
          <t>Min DSCR</t>
        </is>
      </c>
      <c r="B6" s="23" t="inlineStr">
        <is>
          <t>3.19x</t>
        </is>
      </c>
      <c r="C6" s="22" t="inlineStr">
        <is>
          <t>Avg DSCR</t>
        </is>
      </c>
      <c r="D6" s="23" t="inlineStr">
        <is>
          <t>nanx</t>
        </is>
      </c>
      <c r="E6" s="22" t="inlineStr">
        <is>
          <t>LLCR</t>
        </is>
      </c>
      <c r="F6" s="23" t="inlineStr">
        <is>
          <t>3.47x</t>
        </is>
      </c>
      <c r="G6" s="22" t="inlineStr">
        <is>
          <t>PLCR</t>
        </is>
      </c>
      <c r="H6" s="23" t="inlineStr">
        <is>
          <t>4.24x</t>
        </is>
      </c>
    </row>
    <row r="7"/>
    <row r="8"/>
    <row r="9" ht="42" customHeight="1">
      <c r="A9" s="24" t="inlineStr">
        <is>
          <t>Year</t>
        </is>
      </c>
      <c r="B9" s="24" t="inlineStr">
        <is>
          <t>aFRR capacity (€)</t>
        </is>
      </c>
      <c r="C9" s="24" t="inlineStr">
        <is>
          <t>aFRR activation (€)</t>
        </is>
      </c>
      <c r="D9" s="24" t="inlineStr">
        <is>
          <t>PZU arbitrage (€)</t>
        </is>
      </c>
      <c r="E9" s="24" t="inlineStr">
        <is>
          <t>Total revenue (€)</t>
        </is>
      </c>
      <c r="F9" s="24" t="inlineStr">
        <is>
          <t>OPEX (€)</t>
        </is>
      </c>
      <c r="G9" s="24" t="inlineStr">
        <is>
          <t>Insurance (€)</t>
        </is>
      </c>
      <c r="H9" s="24" t="inlineStr">
        <is>
          <t>EBITDA (€)</t>
        </is>
      </c>
      <c r="I9" s="24" t="inlineStr">
        <is>
          <t>EBITDA margin (%)</t>
        </is>
      </c>
      <c r="J9" s="24" t="inlineStr">
        <is>
          <t>Depreciation (€)</t>
        </is>
      </c>
      <c r="K9" s="24" t="inlineStr">
        <is>
          <t>EBIT (€)</t>
        </is>
      </c>
      <c r="L9" s="24" t="inlineStr">
        <is>
          <t>Interest expense (€)</t>
        </is>
      </c>
      <c r="M9" s="24" t="inlineStr">
        <is>
          <t>EBT (€)</t>
        </is>
      </c>
      <c r="N9" s="24" t="inlineStr">
        <is>
          <t>Tax (€)</t>
        </is>
      </c>
      <c r="O9" s="24" t="inlineStr">
        <is>
          <t>Net income (€)</t>
        </is>
      </c>
      <c r="P9" s="24" t="inlineStr">
        <is>
          <t>Principal payment (€)</t>
        </is>
      </c>
      <c r="Q9" s="24" t="inlineStr">
        <is>
          <t>Debt service total (€)</t>
        </is>
      </c>
      <c r="R9" s="24" t="inlineStr">
        <is>
          <t>Debt outstanding YE (€)</t>
        </is>
      </c>
      <c r="S9" s="24" t="inlineStr">
        <is>
          <t>DSCR</t>
        </is>
      </c>
      <c r="T9" s="24" t="inlineStr">
        <is>
          <t>Augmentation (€)</t>
        </is>
      </c>
      <c r="U9" s="24" t="inlineStr">
        <is>
          <t>Project FCF (€)</t>
        </is>
      </c>
      <c r="V9" s="24" t="inlineStr">
        <is>
          <t>Equity FCF (€)</t>
        </is>
      </c>
      <c r="W9" s="24" t="inlineStr">
        <is>
          <t>Cumulative equity FCF (€)</t>
        </is>
      </c>
      <c r="X9" s="24" t="inlineStr">
        <is>
          <t>ROE (%)</t>
        </is>
      </c>
      <c r="Y9" s="24" t="inlineStr">
        <is>
          <t>ROIC (%)</t>
        </is>
      </c>
      <c r="Z9" s="24" t="inlineStr">
        <is>
          <t>Cash-on-cash yield (%)</t>
        </is>
      </c>
    </row>
    <row r="10">
      <c r="A10" s="25" t="n">
        <v>1</v>
      </c>
      <c r="B10" s="26" t="n">
        <v>363911</v>
      </c>
      <c r="C10" s="26" t="n">
        <v>1101636</v>
      </c>
      <c r="D10" s="26" t="n">
        <v>313195</v>
      </c>
      <c r="E10" s="27" t="n">
        <v>1778742</v>
      </c>
      <c r="F10" s="28" t="n">
        <v>-70000</v>
      </c>
      <c r="G10" s="28" t="n">
        <v>-17500</v>
      </c>
      <c r="H10" s="29" t="n">
        <v>1691242</v>
      </c>
      <c r="I10" s="30" t="n">
        <v>95.08079305486686</v>
      </c>
      <c r="J10" s="28" t="n">
        <v>-437500</v>
      </c>
      <c r="K10" s="29" t="n">
        <v>1253742</v>
      </c>
      <c r="L10" s="28" t="n">
        <v>-147000</v>
      </c>
      <c r="M10" s="29" t="n">
        <v>1106742</v>
      </c>
      <c r="N10" s="28" t="n">
        <v>-177078.72</v>
      </c>
      <c r="O10" s="29" t="n">
        <v>929663.28</v>
      </c>
      <c r="P10" s="28" t="n">
        <v>-185876.4976399401</v>
      </c>
      <c r="Q10" s="28" t="n">
        <v>-332876.4976399401</v>
      </c>
      <c r="R10" s="31" t="n">
        <v>2264123.50236006</v>
      </c>
      <c r="S10" s="32" t="n">
        <v>5.080689120411716</v>
      </c>
      <c r="T10" s="28" t="n">
        <v>0</v>
      </c>
      <c r="U10" s="33" t="n">
        <v>1514163.28</v>
      </c>
      <c r="V10" s="33" t="n">
        <v>1181286.78236006</v>
      </c>
      <c r="W10" s="33" t="n">
        <v>1181286.78236006</v>
      </c>
      <c r="X10" s="30" t="n">
        <v>88.53936</v>
      </c>
      <c r="Y10" s="30" t="n">
        <v>30.089808</v>
      </c>
      <c r="Z10" s="30" t="n">
        <v>112.5035030819105</v>
      </c>
    </row>
    <row r="11">
      <c r="A11" s="25" t="n">
        <v>2</v>
      </c>
      <c r="B11" s="26" t="n">
        <v>344168.82825</v>
      </c>
      <c r="C11" s="26" t="n">
        <v>1041872.247</v>
      </c>
      <c r="D11" s="26" t="n">
        <v>299257.8225</v>
      </c>
      <c r="E11" s="27" t="n">
        <v>1685298.89775</v>
      </c>
      <c r="F11" s="28" t="n">
        <v>-72100</v>
      </c>
      <c r="G11" s="28" t="n">
        <v>-18025</v>
      </c>
      <c r="H11" s="29" t="n">
        <v>1595173.89775</v>
      </c>
      <c r="I11" s="30" t="n">
        <v>94.65228392896218</v>
      </c>
      <c r="J11" s="28" t="n">
        <v>-437500</v>
      </c>
      <c r="K11" s="29" t="n">
        <v>1157673.89775</v>
      </c>
      <c r="L11" s="28" t="n">
        <v>-135847.4101416036</v>
      </c>
      <c r="M11" s="29" t="n">
        <v>1021826.487608396</v>
      </c>
      <c r="N11" s="28" t="n">
        <v>-163492.2380173434</v>
      </c>
      <c r="O11" s="29" t="n">
        <v>858334.2495910528</v>
      </c>
      <c r="P11" s="28" t="n">
        <v>-197029.0874983365</v>
      </c>
      <c r="Q11" s="28" t="n">
        <v>-332876.4976399401</v>
      </c>
      <c r="R11" s="31" t="n">
        <v>2067094.414861723</v>
      </c>
      <c r="S11" s="32" t="n">
        <v>4.792089285544692</v>
      </c>
      <c r="T11" s="28" t="n">
        <v>0</v>
      </c>
      <c r="U11" s="33" t="n">
        <v>1431681.659732656</v>
      </c>
      <c r="V11" s="33" t="n">
        <v>1098805.162092716</v>
      </c>
      <c r="W11" s="33" t="n">
        <v>2280091.944452776</v>
      </c>
      <c r="X11" s="30" t="n">
        <v>81.7461190086717</v>
      </c>
      <c r="Y11" s="30" t="n">
        <v>27.78417354599999</v>
      </c>
      <c r="Z11" s="30" t="n">
        <v>104.6481106754968</v>
      </c>
    </row>
    <row r="12">
      <c r="A12" s="25" t="n">
        <v>3</v>
      </c>
      <c r="B12" s="26" t="n">
        <v>325186.3207125</v>
      </c>
      <c r="C12" s="26" t="n">
        <v>984408.1591499997</v>
      </c>
      <c r="D12" s="26" t="n">
        <v>282844.44703125</v>
      </c>
      <c r="E12" s="27" t="n">
        <v>1592438.92689375</v>
      </c>
      <c r="F12" s="28" t="n">
        <v>-74263</v>
      </c>
      <c r="G12" s="28" t="n">
        <v>-18565.75</v>
      </c>
      <c r="H12" s="29" t="n">
        <v>1499610.17689375</v>
      </c>
      <c r="I12" s="30" t="n">
        <v>94.17065556284322</v>
      </c>
      <c r="J12" s="28" t="n">
        <v>-437500</v>
      </c>
      <c r="K12" s="29" t="n">
        <v>1062110.17689375</v>
      </c>
      <c r="L12" s="28" t="n">
        <v>-124025.6648917034</v>
      </c>
      <c r="M12" s="29" t="n">
        <v>938084.5120020463</v>
      </c>
      <c r="N12" s="28" t="n">
        <v>-150093.5219203274</v>
      </c>
      <c r="O12" s="29" t="n">
        <v>787990.9900817189</v>
      </c>
      <c r="P12" s="28" t="n">
        <v>-208850.8327482367</v>
      </c>
      <c r="Q12" s="28" t="n">
        <v>-332876.4976399401</v>
      </c>
      <c r="R12" s="31" t="n">
        <v>1858243.582113487</v>
      </c>
      <c r="S12" s="32" t="n">
        <v>4.505004671479755</v>
      </c>
      <c r="T12" s="28" t="n">
        <v>0</v>
      </c>
      <c r="U12" s="33" t="n">
        <v>1349516.654973422</v>
      </c>
      <c r="V12" s="33" t="n">
        <v>1016640.157333482</v>
      </c>
      <c r="W12" s="33" t="n">
        <v>3296732.101786259</v>
      </c>
      <c r="X12" s="30" t="n">
        <v>75.04676096016371</v>
      </c>
      <c r="Y12" s="30" t="n">
        <v>25.49064424545</v>
      </c>
      <c r="Z12" s="30" t="n">
        <v>96.82287212699832</v>
      </c>
    </row>
    <row r="13">
      <c r="A13" s="25" t="n">
        <v>4</v>
      </c>
      <c r="B13" s="26" t="n">
        <v>306937.8330342188</v>
      </c>
      <c r="C13" s="26" t="n">
        <v>929166.1055381249</v>
      </c>
      <c r="D13" s="26" t="n">
        <v>267064.704196875</v>
      </c>
      <c r="E13" s="27" t="n">
        <v>1503168.642769219</v>
      </c>
      <c r="F13" s="28" t="n">
        <v>-76490.89</v>
      </c>
      <c r="G13" s="28" t="n">
        <v>-19122.7225</v>
      </c>
      <c r="H13" s="29" t="n">
        <v>1407555.030269219</v>
      </c>
      <c r="I13" s="30" t="n">
        <v>93.63919591058956</v>
      </c>
      <c r="J13" s="28" t="n">
        <v>-437500</v>
      </c>
      <c r="K13" s="29" t="n">
        <v>970055.0302692188</v>
      </c>
      <c r="L13" s="28" t="n">
        <v>-111494.6149268092</v>
      </c>
      <c r="M13" s="29" t="n">
        <v>858560.4153424096</v>
      </c>
      <c r="N13" s="28" t="n">
        <v>-137369.6664547855</v>
      </c>
      <c r="O13" s="29" t="n">
        <v>721190.7488876241</v>
      </c>
      <c r="P13" s="28" t="n">
        <v>-221381.8827131309</v>
      </c>
      <c r="Q13" s="28" t="n">
        <v>-332876.4976399401</v>
      </c>
      <c r="R13" s="31" t="n">
        <v>1636861.699400356</v>
      </c>
      <c r="S13" s="32" t="n">
        <v>4.228460225484942</v>
      </c>
      <c r="T13" s="28" t="n">
        <v>0</v>
      </c>
      <c r="U13" s="33" t="n">
        <v>1270185.363814433</v>
      </c>
      <c r="V13" s="33" t="n">
        <v>937308.8661744932</v>
      </c>
      <c r="W13" s="33" t="n">
        <v>4234040.967960752</v>
      </c>
      <c r="X13" s="30" t="n">
        <v>68.68483322739277</v>
      </c>
      <c r="Y13" s="30" t="n">
        <v>23.28132072646125</v>
      </c>
      <c r="Z13" s="30" t="n">
        <v>89.26751106423745</v>
      </c>
    </row>
    <row r="14">
      <c r="A14" s="25" t="n">
        <v>5</v>
      </c>
      <c r="B14" s="26" t="n">
        <v>292687.1479290585</v>
      </c>
      <c r="C14" s="26" t="n">
        <v>886026.2506381406</v>
      </c>
      <c r="D14" s="26" t="n">
        <v>251897.1707248242</v>
      </c>
      <c r="E14" s="27" t="n">
        <v>1430610.569292023</v>
      </c>
      <c r="F14" s="28" t="n">
        <v>-78785.61670000001</v>
      </c>
      <c r="G14" s="28" t="n">
        <v>-19696.404175</v>
      </c>
      <c r="H14" s="29" t="n">
        <v>1332128.548417023</v>
      </c>
      <c r="I14" s="30" t="n">
        <v>93.11608462925471</v>
      </c>
      <c r="J14" s="28" t="n">
        <v>-437500</v>
      </c>
      <c r="K14" s="29" t="n">
        <v>894628.5484170232</v>
      </c>
      <c r="L14" s="28" t="n">
        <v>-98211.70196402134</v>
      </c>
      <c r="M14" s="29" t="n">
        <v>796416.8464530018</v>
      </c>
      <c r="N14" s="28" t="n">
        <v>-127426.6954324803</v>
      </c>
      <c r="O14" s="29" t="n">
        <v>668990.1510205215</v>
      </c>
      <c r="P14" s="28" t="n">
        <v>-234664.7956759188</v>
      </c>
      <c r="Q14" s="28" t="n">
        <v>-332876.4976399401</v>
      </c>
      <c r="R14" s="31" t="n">
        <v>1402196.903724437</v>
      </c>
      <c r="S14" s="32" t="n">
        <v>4.001870236744488</v>
      </c>
      <c r="T14" s="28" t="n">
        <v>-350000</v>
      </c>
      <c r="U14" s="33" t="n">
        <v>854701.852984543</v>
      </c>
      <c r="V14" s="33" t="n">
        <v>521825.3553446028</v>
      </c>
      <c r="W14" s="33" t="n">
        <v>4755866.323305354</v>
      </c>
      <c r="X14" s="30" t="n">
        <v>63.71334771624014</v>
      </c>
      <c r="Y14" s="30" t="n">
        <v>21.47108516200856</v>
      </c>
      <c r="Z14" s="30" t="n">
        <v>49.69765288996217</v>
      </c>
    </row>
    <row r="15">
      <c r="A15" s="25" t="n">
        <v>6</v>
      </c>
      <c r="B15" s="26" t="n">
        <v>278957.1609335101</v>
      </c>
      <c r="C15" s="26" t="n">
        <v>844462.659667194</v>
      </c>
      <c r="D15" s="26" t="n">
        <v>237321.0984862529</v>
      </c>
      <c r="E15" s="27" t="n">
        <v>1360740.919086957</v>
      </c>
      <c r="F15" s="28" t="n">
        <v>-81149.185201</v>
      </c>
      <c r="G15" s="28" t="n">
        <v>-20287.29630025</v>
      </c>
      <c r="H15" s="29" t="n">
        <v>1259304.437585707</v>
      </c>
      <c r="I15" s="30" t="n">
        <v>92.54549634846633</v>
      </c>
      <c r="J15" s="28" t="n">
        <v>-437500</v>
      </c>
      <c r="K15" s="29" t="n">
        <v>821804.4375857068</v>
      </c>
      <c r="L15" s="28" t="n">
        <v>-84131.81422346622</v>
      </c>
      <c r="M15" s="29" t="n">
        <v>737672.6233622406</v>
      </c>
      <c r="N15" s="28" t="n">
        <v>-118027.6197379585</v>
      </c>
      <c r="O15" s="29" t="n">
        <v>619645.0036242821</v>
      </c>
      <c r="P15" s="28" t="n">
        <v>-248744.6834164739</v>
      </c>
      <c r="Q15" s="28" t="n">
        <v>-332876.4976399401</v>
      </c>
      <c r="R15" s="31" t="n">
        <v>1153452.220307963</v>
      </c>
      <c r="S15" s="32" t="n">
        <v>3.783098075454545</v>
      </c>
      <c r="T15" s="28" t="n">
        <v>0</v>
      </c>
      <c r="U15" s="33" t="n">
        <v>1141276.817847748</v>
      </c>
      <c r="V15" s="33" t="n">
        <v>808400.3202078082</v>
      </c>
      <c r="W15" s="33" t="n">
        <v>5564266.643513163</v>
      </c>
      <c r="X15" s="30" t="n">
        <v>59.01380986897925</v>
      </c>
      <c r="Y15" s="30" t="n">
        <v>19.72330650205696</v>
      </c>
      <c r="Z15" s="30" t="n">
        <v>76.99050668645792</v>
      </c>
    </row>
    <row r="16">
      <c r="A16" s="25" t="n">
        <v>7</v>
      </c>
      <c r="B16" s="26" t="n">
        <v>265730.7438202833</v>
      </c>
      <c r="C16" s="26" t="n">
        <v>804423.4818381461</v>
      </c>
      <c r="D16" s="26" t="n">
        <v>223316.3941279071</v>
      </c>
      <c r="E16" s="27" t="n">
        <v>1293470.619786337</v>
      </c>
      <c r="F16" s="28" t="n">
        <v>-83583.66075703001</v>
      </c>
      <c r="G16" s="28" t="n">
        <v>-20895.9151892575</v>
      </c>
      <c r="H16" s="29" t="n">
        <v>1188991.043840049</v>
      </c>
      <c r="I16" s="30" t="n">
        <v>91.92253968910821</v>
      </c>
      <c r="J16" s="28" t="n">
        <v>-437500</v>
      </c>
      <c r="K16" s="29" t="n">
        <v>751491.0438400491</v>
      </c>
      <c r="L16" s="28" t="n">
        <v>-69207.13321847779</v>
      </c>
      <c r="M16" s="29" t="n">
        <v>682283.9106215712</v>
      </c>
      <c r="N16" s="28" t="n">
        <v>-109165.4256994514</v>
      </c>
      <c r="O16" s="29" t="n">
        <v>573118.4849221199</v>
      </c>
      <c r="P16" s="28" t="n">
        <v>-263669.3644214623</v>
      </c>
      <c r="Q16" s="28" t="n">
        <v>-332876.4976399401</v>
      </c>
      <c r="R16" s="31" t="n">
        <v>889782.8558865008</v>
      </c>
      <c r="S16" s="32" t="n">
        <v>3.571868402455182</v>
      </c>
      <c r="T16" s="28" t="n">
        <v>0</v>
      </c>
      <c r="U16" s="33" t="n">
        <v>1079825.618140598</v>
      </c>
      <c r="V16" s="33" t="n">
        <v>746949.1205006575</v>
      </c>
      <c r="W16" s="33" t="n">
        <v>6311215.76401382</v>
      </c>
      <c r="X16" s="30" t="n">
        <v>54.5827128497257</v>
      </c>
      <c r="Y16" s="30" t="n">
        <v>18.03578505216118</v>
      </c>
      <c r="Z16" s="30" t="n">
        <v>71.1380114762531</v>
      </c>
    </row>
    <row r="17">
      <c r="A17" s="25" t="n">
        <v>8</v>
      </c>
      <c r="B17" s="26" t="n">
        <v>259087.4752247762</v>
      </c>
      <c r="C17" s="26" t="n">
        <v>784312.8947921924</v>
      </c>
      <c r="D17" s="26" t="n">
        <v>209863.5993009248</v>
      </c>
      <c r="E17" s="27" t="n">
        <v>1253263.969317893</v>
      </c>
      <c r="F17" s="28" t="n">
        <v>-86091.17057974091</v>
      </c>
      <c r="G17" s="28" t="n">
        <v>-21522.79264493523</v>
      </c>
      <c r="H17" s="29" t="n">
        <v>1145650.006093217</v>
      </c>
      <c r="I17" s="30" t="n">
        <v>91.41330431104258</v>
      </c>
      <c r="J17" s="28" t="n">
        <v>-437500</v>
      </c>
      <c r="K17" s="29" t="n">
        <v>708150.0060932173</v>
      </c>
      <c r="L17" s="28" t="n">
        <v>-53386.97135319005</v>
      </c>
      <c r="M17" s="29" t="n">
        <v>654763.0347400273</v>
      </c>
      <c r="N17" s="28" t="n">
        <v>-104762.0855584044</v>
      </c>
      <c r="O17" s="29" t="n">
        <v>550000.9491816229</v>
      </c>
      <c r="P17" s="28" t="n">
        <v>-279489.5262867501</v>
      </c>
      <c r="Q17" s="28" t="n">
        <v>-332876.4976399401</v>
      </c>
      <c r="R17" s="31" t="n">
        <v>610293.3295997507</v>
      </c>
      <c r="S17" s="32" t="n">
        <v>3.441666847061169</v>
      </c>
      <c r="T17" s="28" t="n">
        <v>0</v>
      </c>
      <c r="U17" s="33" t="n">
        <v>1040887.920534813</v>
      </c>
      <c r="V17" s="33" t="n">
        <v>708011.4228948728</v>
      </c>
      <c r="W17" s="33" t="n">
        <v>7019227.186908693</v>
      </c>
      <c r="X17" s="30" t="n">
        <v>52.38104277920218</v>
      </c>
      <c r="Y17" s="30" t="n">
        <v>16.99560014623722</v>
      </c>
      <c r="Z17" s="30" t="n">
        <v>67.42965932332122</v>
      </c>
    </row>
    <row r="18">
      <c r="A18" s="25" t="n">
        <v>9</v>
      </c>
      <c r="B18" s="26" t="n">
        <v>252610.2883441568</v>
      </c>
      <c r="C18" s="26" t="n">
        <v>764705.0724223875</v>
      </c>
      <c r="D18" s="26" t="n">
        <v>196943.8714689616</v>
      </c>
      <c r="E18" s="27" t="n">
        <v>1214259.232235506</v>
      </c>
      <c r="F18" s="28" t="n">
        <v>-88673.90569713314</v>
      </c>
      <c r="G18" s="28" t="n">
        <v>-22168.47642428329</v>
      </c>
      <c r="H18" s="29" t="n">
        <v>1103416.850114089</v>
      </c>
      <c r="I18" s="30" t="n">
        <v>90.87160474643041</v>
      </c>
      <c r="J18" s="28" t="n">
        <v>-0</v>
      </c>
      <c r="K18" s="29" t="n">
        <v>1103416.850114089</v>
      </c>
      <c r="L18" s="28" t="n">
        <v>-36617.59977598504</v>
      </c>
      <c r="M18" s="29" t="n">
        <v>1066799.250338104</v>
      </c>
      <c r="N18" s="28" t="n">
        <v>-170687.8800540967</v>
      </c>
      <c r="O18" s="29" t="n">
        <v>896111.3702840076</v>
      </c>
      <c r="P18" s="28" t="n">
        <v>-296258.8978639551</v>
      </c>
      <c r="Q18" s="28" t="n">
        <v>-332876.4976399401</v>
      </c>
      <c r="R18" s="31" t="n">
        <v>314034.4317357956</v>
      </c>
      <c r="S18" s="32" t="n">
        <v>3.314793498301023</v>
      </c>
      <c r="T18" s="28" t="n">
        <v>0</v>
      </c>
      <c r="U18" s="33" t="n">
        <v>932728.9700599927</v>
      </c>
      <c r="V18" s="33" t="n">
        <v>599852.4724200526</v>
      </c>
      <c r="W18" s="33" t="n">
        <v>7619079.659328746</v>
      </c>
      <c r="X18" s="30" t="n">
        <v>85.34394002704835</v>
      </c>
      <c r="Y18" s="30" t="n">
        <v>26.48200440273814</v>
      </c>
      <c r="Z18" s="30" t="n">
        <v>57.12880689714787</v>
      </c>
    </row>
    <row r="19">
      <c r="A19" s="25" t="n">
        <v>10</v>
      </c>
      <c r="B19" s="26" t="n">
        <v>246295.0311355528</v>
      </c>
      <c r="C19" s="26" t="n">
        <v>745587.4456118278</v>
      </c>
      <c r="D19" s="26" t="n">
        <v>184538.9652790335</v>
      </c>
      <c r="E19" s="27" t="n">
        <v>1176421.442026414</v>
      </c>
      <c r="F19" s="28" t="n">
        <v>-91334.12286804714</v>
      </c>
      <c r="G19" s="28" t="n">
        <v>-22833.53071701178</v>
      </c>
      <c r="H19" s="29" t="n">
        <v>1062253.788441355</v>
      </c>
      <c r="I19" s="30" t="n">
        <v>90.29534404027842</v>
      </c>
      <c r="J19" s="28" t="n">
        <v>-0</v>
      </c>
      <c r="K19" s="29" t="n">
        <v>1062253.788441355</v>
      </c>
      <c r="L19" s="28" t="n">
        <v>-18842.06590414774</v>
      </c>
      <c r="M19" s="29" t="n">
        <v>1043411.722537207</v>
      </c>
      <c r="N19" s="28" t="n">
        <v>-166945.8756059532</v>
      </c>
      <c r="O19" s="29" t="n">
        <v>876465.8469312543</v>
      </c>
      <c r="P19" s="28" t="n">
        <v>-314034.4317357924</v>
      </c>
      <c r="Q19" s="28" t="n">
        <v>-332876.4976399401</v>
      </c>
      <c r="R19" s="31" t="n">
        <v>3.259629011154175e-09</v>
      </c>
      <c r="S19" s="32" t="n">
        <v>3.191134838213645</v>
      </c>
      <c r="T19" s="28" t="n">
        <v>-350000</v>
      </c>
      <c r="U19" s="33" t="n">
        <v>545307.9128354019</v>
      </c>
      <c r="V19" s="33" t="n">
        <v>212431.4151954618</v>
      </c>
      <c r="W19" s="33" t="n">
        <v>7831511.074524207</v>
      </c>
      <c r="X19" s="30" t="n">
        <v>83.4729378029766</v>
      </c>
      <c r="Y19" s="30" t="n">
        <v>25.49409092259252</v>
      </c>
      <c r="Z19" s="30" t="n">
        <v>20.23156335194874</v>
      </c>
    </row>
    <row r="20">
      <c r="A20" s="25" t="n">
        <v>11</v>
      </c>
      <c r="B20" s="26" t="n">
        <v>240137.655357164</v>
      </c>
      <c r="C20" s="26" t="n">
        <v>726947.7594715321</v>
      </c>
      <c r="D20" s="26" t="n">
        <v>172631.2144789337</v>
      </c>
      <c r="E20" s="27" t="n">
        <v>1139716.62930763</v>
      </c>
      <c r="F20" s="28" t="n">
        <v>-94074.14655408855</v>
      </c>
      <c r="G20" s="28" t="n">
        <v>-23518.53663852214</v>
      </c>
      <c r="H20" s="29" t="n">
        <v>1022123.946115019</v>
      </c>
      <c r="I20" s="30" t="n">
        <v>89.68228766969493</v>
      </c>
      <c r="J20" s="28" t="n">
        <v>-0</v>
      </c>
      <c r="K20" s="29" t="n">
        <v>1022123.946115019</v>
      </c>
      <c r="L20" s="28" t="n">
        <v>-0</v>
      </c>
      <c r="M20" s="29" t="n">
        <v>1022123.946115019</v>
      </c>
      <c r="N20" s="28" t="n">
        <v>-163539.8313784031</v>
      </c>
      <c r="O20" s="29" t="n">
        <v>858584.1147366159</v>
      </c>
      <c r="P20" s="28" t="n">
        <v>-0</v>
      </c>
      <c r="Q20" s="28" t="n">
        <v>0</v>
      </c>
      <c r="R20" s="31" t="n">
        <v>0</v>
      </c>
      <c r="S20" s="32" t="n">
        <v/>
      </c>
      <c r="T20" s="28" t="n">
        <v>0</v>
      </c>
      <c r="U20" s="33" t="n">
        <v>858584.1147366159</v>
      </c>
      <c r="V20" s="33" t="n">
        <v>858584.1147366159</v>
      </c>
      <c r="W20" s="33" t="n">
        <v>8690095.189260824</v>
      </c>
      <c r="X20" s="30" t="n">
        <v>81.76991568920151</v>
      </c>
      <c r="Y20" s="30" t="n">
        <v>24.53097470676046</v>
      </c>
      <c r="Z20" s="30" t="n">
        <v>81.76991568920151</v>
      </c>
    </row>
    <row r="21">
      <c r="A21" s="25" t="n">
        <v>12</v>
      </c>
      <c r="B21" s="26" t="n">
        <v>234134.2139732349</v>
      </c>
      <c r="C21" s="26" t="n">
        <v>708774.0654847438</v>
      </c>
      <c r="D21" s="26" t="n">
        <v>161203.5143655395</v>
      </c>
      <c r="E21" s="27" t="n">
        <v>1104111.793823518</v>
      </c>
      <c r="F21" s="28" t="n">
        <v>-96896.37095071122</v>
      </c>
      <c r="G21" s="28" t="n">
        <v>-24224.09273767781</v>
      </c>
      <c r="H21" s="29" t="n">
        <v>982991.330135129</v>
      </c>
      <c r="I21" s="30" t="n">
        <v>89.03005435084148</v>
      </c>
      <c r="J21" s="28" t="n">
        <v>-0</v>
      </c>
      <c r="K21" s="29" t="n">
        <v>982991.330135129</v>
      </c>
      <c r="L21" s="28" t="n">
        <v>-0</v>
      </c>
      <c r="M21" s="29" t="n">
        <v>982991.330135129</v>
      </c>
      <c r="N21" s="28" t="n">
        <v>-157278.6128216207</v>
      </c>
      <c r="O21" s="29" t="n">
        <v>825712.7173135084</v>
      </c>
      <c r="P21" s="28" t="n">
        <v>-0</v>
      </c>
      <c r="Q21" s="28" t="n">
        <v>0</v>
      </c>
      <c r="R21" s="31" t="n">
        <v>0</v>
      </c>
      <c r="S21" s="32" t="n">
        <v/>
      </c>
      <c r="T21" s="28" t="n">
        <v>0</v>
      </c>
      <c r="U21" s="33" t="n">
        <v>825712.7173135084</v>
      </c>
      <c r="V21" s="33" t="n">
        <v>825712.7173135084</v>
      </c>
      <c r="W21" s="33" t="n">
        <v>9515807.906574331</v>
      </c>
      <c r="X21" s="30" t="n">
        <v>78.63930641081033</v>
      </c>
      <c r="Y21" s="30" t="n">
        <v>23.5917919232431</v>
      </c>
      <c r="Z21" s="30" t="n">
        <v>78.63930641081033</v>
      </c>
    </row>
    <row r="22">
      <c r="A22" s="25" t="n">
        <v>13</v>
      </c>
      <c r="B22" s="26" t="n">
        <v>228280.858623904</v>
      </c>
      <c r="C22" s="26" t="n">
        <v>691054.7138476251</v>
      </c>
      <c r="D22" s="26" t="n">
        <v>150239.3047487657</v>
      </c>
      <c r="E22" s="27" t="n">
        <v>1069574.877220295</v>
      </c>
      <c r="F22" s="28" t="n">
        <v>-99803.26207923255</v>
      </c>
      <c r="G22" s="28" t="n">
        <v>-24950.81551980814</v>
      </c>
      <c r="H22" s="29" t="n">
        <v>944820.799621254</v>
      </c>
      <c r="I22" s="30" t="n">
        <v>88.33610621789634</v>
      </c>
      <c r="J22" s="28" t="n">
        <v>-0</v>
      </c>
      <c r="K22" s="29" t="n">
        <v>944820.799621254</v>
      </c>
      <c r="L22" s="28" t="n">
        <v>-0</v>
      </c>
      <c r="M22" s="29" t="n">
        <v>944820.799621254</v>
      </c>
      <c r="N22" s="28" t="n">
        <v>-151171.3279394007</v>
      </c>
      <c r="O22" s="29" t="n">
        <v>793649.4716818533</v>
      </c>
      <c r="P22" s="28" t="n">
        <v>-0</v>
      </c>
      <c r="Q22" s="28" t="n">
        <v>0</v>
      </c>
      <c r="R22" s="31" t="n">
        <v>0</v>
      </c>
      <c r="S22" s="32" t="n">
        <v/>
      </c>
      <c r="T22" s="28" t="n">
        <v>0</v>
      </c>
      <c r="U22" s="33" t="n">
        <v>793649.4716818533</v>
      </c>
      <c r="V22" s="33" t="n">
        <v>793649.4716818533</v>
      </c>
      <c r="W22" s="33" t="n">
        <v>10309457.37825618</v>
      </c>
      <c r="X22" s="30" t="n">
        <v>75.58566396970031</v>
      </c>
      <c r="Y22" s="30" t="n">
        <v>22.67569919091009</v>
      </c>
      <c r="Z22" s="30" t="n">
        <v>75.58566396970031</v>
      </c>
    </row>
    <row r="23">
      <c r="A23" s="25" t="n">
        <v>14</v>
      </c>
      <c r="B23" s="26" t="n">
        <v>222573.8371583064</v>
      </c>
      <c r="C23" s="26" t="n">
        <v>673778.3460014345</v>
      </c>
      <c r="D23" s="26" t="n">
        <v>139722.5534163521</v>
      </c>
      <c r="E23" s="27" t="n">
        <v>1036074.736576093</v>
      </c>
      <c r="F23" s="28" t="n">
        <v>-102797.3599416095</v>
      </c>
      <c r="G23" s="28" t="n">
        <v>-25699.33998540238</v>
      </c>
      <c r="H23" s="29" t="n">
        <v>907578.0366490809</v>
      </c>
      <c r="I23" s="30" t="n">
        <v>87.59773832999211</v>
      </c>
      <c r="J23" s="28" t="n">
        <v>-0</v>
      </c>
      <c r="K23" s="29" t="n">
        <v>907578.0366490809</v>
      </c>
      <c r="L23" s="28" t="n">
        <v>-0</v>
      </c>
      <c r="M23" s="29" t="n">
        <v>907578.0366490809</v>
      </c>
      <c r="N23" s="28" t="n">
        <v>-145212.485863853</v>
      </c>
      <c r="O23" s="29" t="n">
        <v>762365.5507852279</v>
      </c>
      <c r="P23" s="28" t="n">
        <v>-0</v>
      </c>
      <c r="Q23" s="28" t="n">
        <v>0</v>
      </c>
      <c r="R23" s="31" t="n">
        <v>0</v>
      </c>
      <c r="S23" s="32" t="n">
        <v/>
      </c>
      <c r="T23" s="28" t="n">
        <v>0</v>
      </c>
      <c r="U23" s="33" t="n">
        <v>762365.5507852279</v>
      </c>
      <c r="V23" s="33" t="n">
        <v>762365.5507852279</v>
      </c>
      <c r="W23" s="33" t="n">
        <v>11071822.92904141</v>
      </c>
      <c r="X23" s="30" t="n">
        <v>72.60624293192647</v>
      </c>
      <c r="Y23" s="30" t="n">
        <v>21.78187287957794</v>
      </c>
      <c r="Z23" s="30" t="n">
        <v>72.60624293192647</v>
      </c>
    </row>
    <row r="24">
      <c r="A24" s="25" t="n">
        <v>15</v>
      </c>
      <c r="B24" s="26" t="n">
        <v>217009.4912293488</v>
      </c>
      <c r="C24" s="26" t="n">
        <v>656933.8873513987</v>
      </c>
      <c r="D24" s="26" t="n">
        <v>129637.7400850912</v>
      </c>
      <c r="E24" s="27" t="n">
        <v>1003581.118665839</v>
      </c>
      <c r="F24" s="28" t="n">
        <v>-105881.2807398578</v>
      </c>
      <c r="G24" s="28" t="n">
        <v>-26470.32018496446</v>
      </c>
      <c r="H24" s="29" t="n">
        <v>871229.5177410163</v>
      </c>
      <c r="I24" s="30" t="n">
        <v>86.81206745890451</v>
      </c>
      <c r="J24" s="28" t="n">
        <v>-0</v>
      </c>
      <c r="K24" s="29" t="n">
        <v>871229.5177410163</v>
      </c>
      <c r="L24" s="28" t="n">
        <v>-0</v>
      </c>
      <c r="M24" s="29" t="n">
        <v>871229.5177410163</v>
      </c>
      <c r="N24" s="28" t="n">
        <v>-139396.7228385626</v>
      </c>
      <c r="O24" s="29" t="n">
        <v>731832.7949024537</v>
      </c>
      <c r="P24" s="28" t="n">
        <v>-0</v>
      </c>
      <c r="Q24" s="28" t="n">
        <v>0</v>
      </c>
      <c r="R24" s="31" t="n">
        <v>0</v>
      </c>
      <c r="S24" s="32" t="n">
        <v/>
      </c>
      <c r="T24" s="28" t="n">
        <v>0</v>
      </c>
      <c r="U24" s="33" t="n">
        <v>731832.7949024537</v>
      </c>
      <c r="V24" s="33" t="n">
        <v>731832.7949024537</v>
      </c>
      <c r="W24" s="33" t="n">
        <v>11803655.72394387</v>
      </c>
      <c r="X24" s="30" t="n">
        <v>69.6983614192813</v>
      </c>
      <c r="Y24" s="30" t="n">
        <v>20.90950842578439</v>
      </c>
      <c r="Z24" s="30" t="n">
        <v>69.6983614192813</v>
      </c>
    </row>
    <row r="26">
      <c r="A26" s="4" t="inlineStr">
        <is>
          <t>Scenario description</t>
        </is>
      </c>
    </row>
    <row r="27" ht="80" customHeight="1">
      <c r="A27" s="18" t="inlineStr">
        <is>
          <t>Realistic Y3-Y8 lender baseline. Romanian BESS pipeline (1+ GW announced) materializes 2027-2028. Market share compresses to 5%, capacity prices to Germany current level (~€5/MW/h). Mild ongoing compression to floor of 85% Y1.</t>
        </is>
      </c>
    </row>
  </sheetData>
  <mergeCells count="3">
    <mergeCell ref="A1:Z1"/>
    <mergeCell ref="A27:Z27"/>
    <mergeCell ref="A26:Z2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1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1" customWidth="1" min="19" max="19"/>
    <col width="14" customWidth="1" min="20" max="20"/>
    <col width="14" customWidth="1" min="21" max="21"/>
    <col width="14" customWidth="1" min="22" max="22"/>
    <col width="14" customWidth="1" min="23" max="23"/>
    <col width="11" customWidth="1" min="24" max="24"/>
    <col width="11" customWidth="1" min="25" max="25"/>
    <col width="11" customWidth="1" min="26" max="26"/>
  </cols>
  <sheetData>
    <row r="1" ht="28" customHeight="1">
      <c r="A1" s="19" t="inlineStr">
        <is>
          <t>C. Mature market (5% share, -40%)  ← REALISTIC (operator drag applied)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  <c r="O1" s="20" t="n"/>
      <c r="P1" s="20" t="n"/>
      <c r="Q1" s="20" t="n"/>
      <c r="R1" s="20" t="n"/>
      <c r="S1" s="20" t="n"/>
      <c r="T1" s="20" t="n"/>
      <c r="U1" s="20" t="n"/>
      <c r="V1" s="20" t="n"/>
      <c r="W1" s="20" t="n"/>
      <c r="X1" s="20" t="n"/>
      <c r="Y1" s="20" t="n"/>
      <c r="Z1" s="21" t="n"/>
    </row>
    <row r="2">
      <c r="A2" s="22" t="inlineStr">
        <is>
          <t>Y1 revenue</t>
        </is>
      </c>
      <c r="B2" s="23" t="inlineStr">
        <is>
          <t>€864k</t>
        </is>
      </c>
      <c r="C2" s="22" t="inlineStr">
        <is>
          <t>Y1 EBITDA</t>
        </is>
      </c>
      <c r="D2" s="23" t="inlineStr">
        <is>
          <t>€777k</t>
        </is>
      </c>
      <c r="E2" s="22" t="inlineStr">
        <is>
          <t>Y1 EBITDA margin</t>
        </is>
      </c>
      <c r="F2" s="23" t="inlineStr">
        <is>
          <t>89.88%</t>
        </is>
      </c>
      <c r="G2" s="22" t="inlineStr">
        <is>
          <t>Y1 Net income</t>
        </is>
      </c>
      <c r="H2" s="23" t="inlineStr">
        <is>
          <t>€162k</t>
        </is>
      </c>
    </row>
    <row r="3">
      <c r="A3" s="22" t="inlineStr">
        <is>
          <t>Y1 Equity FCF</t>
        </is>
      </c>
      <c r="B3" s="23" t="inlineStr">
        <is>
          <t>€413k</t>
        </is>
      </c>
      <c r="C3" s="22" t="inlineStr">
        <is>
          <t>Equity IRR</t>
        </is>
      </c>
      <c r="D3" s="23" t="inlineStr">
        <is>
          <t>23.95%</t>
        </is>
      </c>
      <c r="E3" s="22" t="inlineStr">
        <is>
          <t>Project IRR</t>
        </is>
      </c>
      <c r="F3" s="23" t="inlineStr">
        <is>
          <t>11.84%</t>
        </is>
      </c>
      <c r="G3" s="22" t="inlineStr">
        <is>
          <t>Equity MIRR</t>
        </is>
      </c>
      <c r="H3" s="23" t="inlineStr">
        <is>
          <t>11.72%</t>
        </is>
      </c>
    </row>
    <row r="4">
      <c r="A4" s="22" t="inlineStr">
        <is>
          <t>Equity payback</t>
        </is>
      </c>
      <c r="B4" s="23" t="inlineStr">
        <is>
          <t>2.8 yr</t>
        </is>
      </c>
      <c r="C4" s="22" t="inlineStr">
        <is>
          <t>Disc. payback @ 8%</t>
        </is>
      </c>
      <c r="D4" s="23" t="inlineStr">
        <is>
          <t>3.4 yr</t>
        </is>
      </c>
      <c r="E4" s="22" t="inlineStr">
        <is>
          <t>MOIC</t>
        </is>
      </c>
      <c r="F4" s="23" t="inlineStr">
        <is>
          <t>3.47x</t>
        </is>
      </c>
      <c r="G4" s="22" t="inlineStr">
        <is>
          <t>Avg ROE</t>
        </is>
      </c>
      <c r="H4" s="23" t="inlineStr">
        <is>
          <t>18.39%</t>
        </is>
      </c>
    </row>
    <row r="5">
      <c r="A5" s="22" t="inlineStr">
        <is>
          <t>Equity NPV @ 8%</t>
        </is>
      </c>
      <c r="B5" s="23" t="inlineStr">
        <is>
          <t>€889k</t>
        </is>
      </c>
      <c r="C5" s="22" t="inlineStr">
        <is>
          <t>Equity NPV @ 10%</t>
        </is>
      </c>
      <c r="D5" s="23" t="inlineStr">
        <is>
          <t>€701k</t>
        </is>
      </c>
      <c r="E5" s="22" t="inlineStr">
        <is>
          <t>Project NPV @ 8%</t>
        </is>
      </c>
      <c r="F5" s="23" t="inlineStr">
        <is>
          <t>€672k</t>
        </is>
      </c>
      <c r="G5" s="22" t="inlineStr">
        <is>
          <t>Project NPV @ 10%</t>
        </is>
      </c>
      <c r="H5" s="23" t="inlineStr">
        <is>
          <t>€296k</t>
        </is>
      </c>
    </row>
    <row r="6">
      <c r="A6" s="22" t="inlineStr">
        <is>
          <t>Min DSCR</t>
        </is>
      </c>
      <c r="B6" s="23" t="inlineStr">
        <is>
          <t>1.35x</t>
        </is>
      </c>
      <c r="C6" s="22" t="inlineStr">
        <is>
          <t>Avg DSCR</t>
        </is>
      </c>
      <c r="D6" s="23" t="inlineStr">
        <is>
          <t>nanx</t>
        </is>
      </c>
      <c r="E6" s="22" t="inlineStr">
        <is>
          <t>LLCR</t>
        </is>
      </c>
      <c r="F6" s="23" t="inlineStr">
        <is>
          <t>1.58x</t>
        </is>
      </c>
      <c r="G6" s="22" t="inlineStr">
        <is>
          <t>PLCR</t>
        </is>
      </c>
      <c r="H6" s="23" t="inlineStr">
        <is>
          <t>1.88x</t>
        </is>
      </c>
    </row>
    <row r="7"/>
    <row r="8"/>
    <row r="9" ht="42" customHeight="1">
      <c r="A9" s="24" t="inlineStr">
        <is>
          <t>Year</t>
        </is>
      </c>
      <c r="B9" s="24" t="inlineStr">
        <is>
          <t>aFRR capacity (€)</t>
        </is>
      </c>
      <c r="C9" s="24" t="inlineStr">
        <is>
          <t>aFRR activation (€)</t>
        </is>
      </c>
      <c r="D9" s="24" t="inlineStr">
        <is>
          <t>PZU arbitrage (€)</t>
        </is>
      </c>
      <c r="E9" s="24" t="inlineStr">
        <is>
          <t>Total revenue (€)</t>
        </is>
      </c>
      <c r="F9" s="24" t="inlineStr">
        <is>
          <t>OPEX (€)</t>
        </is>
      </c>
      <c r="G9" s="24" t="inlineStr">
        <is>
          <t>Insurance (€)</t>
        </is>
      </c>
      <c r="H9" s="24" t="inlineStr">
        <is>
          <t>EBITDA (€)</t>
        </is>
      </c>
      <c r="I9" s="24" t="inlineStr">
        <is>
          <t>EBITDA margin (%)</t>
        </is>
      </c>
      <c r="J9" s="24" t="inlineStr">
        <is>
          <t>Depreciation (€)</t>
        </is>
      </c>
      <c r="K9" s="24" t="inlineStr">
        <is>
          <t>EBIT (€)</t>
        </is>
      </c>
      <c r="L9" s="24" t="inlineStr">
        <is>
          <t>Interest expense (€)</t>
        </is>
      </c>
      <c r="M9" s="24" t="inlineStr">
        <is>
          <t>EBT (€)</t>
        </is>
      </c>
      <c r="N9" s="24" t="inlineStr">
        <is>
          <t>Tax (€)</t>
        </is>
      </c>
      <c r="O9" s="24" t="inlineStr">
        <is>
          <t>Net income (€)</t>
        </is>
      </c>
      <c r="P9" s="24" t="inlineStr">
        <is>
          <t>Principal payment (€)</t>
        </is>
      </c>
      <c r="Q9" s="24" t="inlineStr">
        <is>
          <t>Debt service total (€)</t>
        </is>
      </c>
      <c r="R9" s="24" t="inlineStr">
        <is>
          <t>Debt outstanding YE (€)</t>
        </is>
      </c>
      <c r="S9" s="24" t="inlineStr">
        <is>
          <t>DSCR</t>
        </is>
      </c>
      <c r="T9" s="24" t="inlineStr">
        <is>
          <t>Augmentation (€)</t>
        </is>
      </c>
      <c r="U9" s="24" t="inlineStr">
        <is>
          <t>Project FCF (€)</t>
        </is>
      </c>
      <c r="V9" s="24" t="inlineStr">
        <is>
          <t>Equity FCF (€)</t>
        </is>
      </c>
      <c r="W9" s="24" t="inlineStr">
        <is>
          <t>Cumulative equity FCF (€)</t>
        </is>
      </c>
      <c r="X9" s="24" t="inlineStr">
        <is>
          <t>ROE (%)</t>
        </is>
      </c>
      <c r="Y9" s="24" t="inlineStr">
        <is>
          <t>ROIC (%)</t>
        </is>
      </c>
      <c r="Z9" s="24" t="inlineStr">
        <is>
          <t>Cash-on-cash yield (%)</t>
        </is>
      </c>
    </row>
    <row r="10">
      <c r="A10" s="25" t="n">
        <v>1</v>
      </c>
      <c r="B10" s="26" t="n">
        <v>338437.23</v>
      </c>
      <c r="C10" s="26" t="n">
        <v>275409</v>
      </c>
      <c r="D10" s="26" t="n">
        <v>250556</v>
      </c>
      <c r="E10" s="27" t="n">
        <v>864402.23</v>
      </c>
      <c r="F10" s="28" t="n">
        <v>-70000</v>
      </c>
      <c r="G10" s="28" t="n">
        <v>-17500</v>
      </c>
      <c r="H10" s="29" t="n">
        <v>776902.23</v>
      </c>
      <c r="I10" s="30" t="n">
        <v>89.87739770176206</v>
      </c>
      <c r="J10" s="28" t="n">
        <v>-437500</v>
      </c>
      <c r="K10" s="29" t="n">
        <v>339402.23</v>
      </c>
      <c r="L10" s="28" t="n">
        <v>-147000</v>
      </c>
      <c r="M10" s="29" t="n">
        <v>192402.23</v>
      </c>
      <c r="N10" s="28" t="n">
        <v>-30784.3568</v>
      </c>
      <c r="O10" s="29" t="n">
        <v>161617.8732</v>
      </c>
      <c r="P10" s="28" t="n">
        <v>-185876.4976399401</v>
      </c>
      <c r="Q10" s="28" t="n">
        <v>-332876.4976399401</v>
      </c>
      <c r="R10" s="31" t="n">
        <v>2264123.50236006</v>
      </c>
      <c r="S10" s="32" t="n">
        <v>2.333905323770697</v>
      </c>
      <c r="T10" s="28" t="n">
        <v>0</v>
      </c>
      <c r="U10" s="33" t="n">
        <v>746117.8732</v>
      </c>
      <c r="V10" s="33" t="n">
        <v>413241.3755600599</v>
      </c>
      <c r="W10" s="33" t="n">
        <v>413241.3755600599</v>
      </c>
      <c r="X10" s="30" t="n">
        <v>15.3921784</v>
      </c>
      <c r="Y10" s="30" t="n">
        <v>8.145653519999998</v>
      </c>
      <c r="Z10" s="30" t="n">
        <v>39.35632148191047</v>
      </c>
    </row>
    <row r="11">
      <c r="A11" s="25" t="n">
        <v>2</v>
      </c>
      <c r="B11" s="26" t="n">
        <v>320077.0102725</v>
      </c>
      <c r="C11" s="26" t="n">
        <v>260468.06175</v>
      </c>
      <c r="D11" s="26" t="n">
        <v>239406.258</v>
      </c>
      <c r="E11" s="27" t="n">
        <v>819951.3300224999</v>
      </c>
      <c r="F11" s="28" t="n">
        <v>-72100</v>
      </c>
      <c r="G11" s="28" t="n">
        <v>-18025</v>
      </c>
      <c r="H11" s="29" t="n">
        <v>729826.3300224999</v>
      </c>
      <c r="I11" s="30" t="n">
        <v>89.00849395566846</v>
      </c>
      <c r="J11" s="28" t="n">
        <v>-437500</v>
      </c>
      <c r="K11" s="29" t="n">
        <v>292326.3300224999</v>
      </c>
      <c r="L11" s="28" t="n">
        <v>-135847.4101416036</v>
      </c>
      <c r="M11" s="29" t="n">
        <v>156478.9198808963</v>
      </c>
      <c r="N11" s="28" t="n">
        <v>-25036.62718094341</v>
      </c>
      <c r="O11" s="29" t="n">
        <v>131442.2926999529</v>
      </c>
      <c r="P11" s="28" t="n">
        <v>-197029.0874983365</v>
      </c>
      <c r="Q11" s="28" t="n">
        <v>-332876.4976399401</v>
      </c>
      <c r="R11" s="31" t="n">
        <v>2067094.414861723</v>
      </c>
      <c r="S11" s="32" t="n">
        <v>2.192483804644945</v>
      </c>
      <c r="T11" s="28" t="n">
        <v>0</v>
      </c>
      <c r="U11" s="33" t="n">
        <v>704789.7028415565</v>
      </c>
      <c r="V11" s="33" t="n">
        <v>371913.2052016164</v>
      </c>
      <c r="W11" s="33" t="n">
        <v>785154.5807616763</v>
      </c>
      <c r="X11" s="30" t="n">
        <v>12.5183135904717</v>
      </c>
      <c r="Y11" s="30" t="n">
        <v>7.015831920539997</v>
      </c>
      <c r="Z11" s="30" t="n">
        <v>35.4203052572968</v>
      </c>
    </row>
    <row r="12">
      <c r="A12" s="25" t="n">
        <v>3</v>
      </c>
      <c r="B12" s="26" t="n">
        <v>302423.278262625</v>
      </c>
      <c r="C12" s="26" t="n">
        <v>246102.0397874999</v>
      </c>
      <c r="D12" s="26" t="n">
        <v>226275.557625</v>
      </c>
      <c r="E12" s="27" t="n">
        <v>774800.8756751249</v>
      </c>
      <c r="F12" s="28" t="n">
        <v>-74263</v>
      </c>
      <c r="G12" s="28" t="n">
        <v>-18565.75</v>
      </c>
      <c r="H12" s="29" t="n">
        <v>681972.1256751249</v>
      </c>
      <c r="I12" s="30" t="n">
        <v>88.01901844533752</v>
      </c>
      <c r="J12" s="28" t="n">
        <v>-437500</v>
      </c>
      <c r="K12" s="29" t="n">
        <v>244472.1256751249</v>
      </c>
      <c r="L12" s="28" t="n">
        <v>-124025.6648917034</v>
      </c>
      <c r="M12" s="29" t="n">
        <v>120446.4607834215</v>
      </c>
      <c r="N12" s="28" t="n">
        <v>-19271.43372534745</v>
      </c>
      <c r="O12" s="29" t="n">
        <v>101175.0270580741</v>
      </c>
      <c r="P12" s="28" t="n">
        <v>-208850.8327482367</v>
      </c>
      <c r="Q12" s="28" t="n">
        <v>-332876.4976399401</v>
      </c>
      <c r="R12" s="31" t="n">
        <v>1858243.582113487</v>
      </c>
      <c r="S12" s="32" t="n">
        <v>2.048724168002958</v>
      </c>
      <c r="T12" s="28" t="n">
        <v>0</v>
      </c>
      <c r="U12" s="33" t="n">
        <v>662700.6919497775</v>
      </c>
      <c r="V12" s="33" t="n">
        <v>329824.1943098374</v>
      </c>
      <c r="W12" s="33" t="n">
        <v>1114978.775071514</v>
      </c>
      <c r="X12" s="30" t="n">
        <v>9.635716862673723</v>
      </c>
      <c r="Y12" s="30" t="n">
        <v>5.867331016202998</v>
      </c>
      <c r="Z12" s="30" t="n">
        <v>31.41182802950833</v>
      </c>
    </row>
    <row r="13">
      <c r="A13" s="25" t="n">
        <v>4</v>
      </c>
      <c r="B13" s="26" t="n">
        <v>285452.1847218234</v>
      </c>
      <c r="C13" s="26" t="n">
        <v>232291.5263845312</v>
      </c>
      <c r="D13" s="26" t="n">
        <v>213651.7633575</v>
      </c>
      <c r="E13" s="27" t="n">
        <v>731395.4744638547</v>
      </c>
      <c r="F13" s="28" t="n">
        <v>-76490.89</v>
      </c>
      <c r="G13" s="28" t="n">
        <v>-19122.7225</v>
      </c>
      <c r="H13" s="29" t="n">
        <v>635781.8619638546</v>
      </c>
      <c r="I13" s="30" t="n">
        <v>86.92723487657767</v>
      </c>
      <c r="J13" s="28" t="n">
        <v>-437500</v>
      </c>
      <c r="K13" s="29" t="n">
        <v>198281.8619638546</v>
      </c>
      <c r="L13" s="28" t="n">
        <v>-111494.6149268092</v>
      </c>
      <c r="M13" s="29" t="n">
        <v>86787.24703704544</v>
      </c>
      <c r="N13" s="28" t="n">
        <v>-13885.95952592727</v>
      </c>
      <c r="O13" s="29" t="n">
        <v>72901.28751111816</v>
      </c>
      <c r="P13" s="28" t="n">
        <v>-221381.8827131309</v>
      </c>
      <c r="Q13" s="28" t="n">
        <v>-332876.4976399401</v>
      </c>
      <c r="R13" s="31" t="n">
        <v>1636861.699400356</v>
      </c>
      <c r="S13" s="32" t="n">
        <v>1.909963203985509</v>
      </c>
      <c r="T13" s="28" t="n">
        <v>0</v>
      </c>
      <c r="U13" s="33" t="n">
        <v>621895.9024379273</v>
      </c>
      <c r="V13" s="33" t="n">
        <v>289019.4047979872</v>
      </c>
      <c r="W13" s="33" t="n">
        <v>1403998.179869501</v>
      </c>
      <c r="X13" s="30" t="n">
        <v>6.942979762963635</v>
      </c>
      <c r="Y13" s="30" t="n">
        <v>4.758764687132511</v>
      </c>
      <c r="Z13" s="30" t="n">
        <v>27.52565759980831</v>
      </c>
    </row>
    <row r="14">
      <c r="A14" s="25" t="n">
        <v>5</v>
      </c>
      <c r="B14" s="26" t="n">
        <v>272199.0475740245</v>
      </c>
      <c r="C14" s="26" t="n">
        <v>221506.5626595351</v>
      </c>
      <c r="D14" s="26" t="n">
        <v>201517.7365798594</v>
      </c>
      <c r="E14" s="27" t="n">
        <v>695223.346813419</v>
      </c>
      <c r="F14" s="28" t="n">
        <v>-78785.61670000001</v>
      </c>
      <c r="G14" s="28" t="n">
        <v>-19696.404175</v>
      </c>
      <c r="H14" s="29" t="n">
        <v>596741.325938419</v>
      </c>
      <c r="I14" s="30" t="n">
        <v>85.83447731921031</v>
      </c>
      <c r="J14" s="28" t="n">
        <v>-437500</v>
      </c>
      <c r="K14" s="29" t="n">
        <v>159241.325938419</v>
      </c>
      <c r="L14" s="28" t="n">
        <v>-98211.70196402134</v>
      </c>
      <c r="M14" s="29" t="n">
        <v>61029.62397439763</v>
      </c>
      <c r="N14" s="28" t="n">
        <v>-9764.739835903621</v>
      </c>
      <c r="O14" s="29" t="n">
        <v>51264.88413849401</v>
      </c>
      <c r="P14" s="28" t="n">
        <v>-234664.7956759188</v>
      </c>
      <c r="Q14" s="28" t="n">
        <v>-332876.4976399401</v>
      </c>
      <c r="R14" s="31" t="n">
        <v>1402196.903724437</v>
      </c>
      <c r="S14" s="32" t="n">
        <v>1.792680859625877</v>
      </c>
      <c r="T14" s="28" t="n">
        <v>-350000</v>
      </c>
      <c r="U14" s="33" t="n">
        <v>236976.5861025153</v>
      </c>
      <c r="V14" s="33" t="n">
        <v>-95899.91153742478</v>
      </c>
      <c r="W14" s="33" t="n">
        <v>1308098.268332076</v>
      </c>
      <c r="X14" s="30" t="n">
        <v>4.88236991795181</v>
      </c>
      <c r="Y14" s="30" t="n">
        <v>3.821791822522056</v>
      </c>
      <c r="Z14" s="30" t="n">
        <v>-9.13332490832617</v>
      </c>
    </row>
    <row r="15">
      <c r="A15" s="25" t="n">
        <v>6</v>
      </c>
      <c r="B15" s="26" t="n">
        <v>259430.1596681644</v>
      </c>
      <c r="C15" s="26" t="n">
        <v>211115.6649167985</v>
      </c>
      <c r="D15" s="26" t="n">
        <v>189856.8787890023</v>
      </c>
      <c r="E15" s="27" t="n">
        <v>660402.7033739652</v>
      </c>
      <c r="F15" s="28" t="n">
        <v>-81149.185201</v>
      </c>
      <c r="G15" s="28" t="n">
        <v>-20287.29630025</v>
      </c>
      <c r="H15" s="29" t="n">
        <v>558966.2218727153</v>
      </c>
      <c r="I15" s="30" t="n">
        <v>84.6402080150466</v>
      </c>
      <c r="J15" s="28" t="n">
        <v>-437500</v>
      </c>
      <c r="K15" s="29" t="n">
        <v>121466.2218727153</v>
      </c>
      <c r="L15" s="28" t="n">
        <v>-84131.81422346622</v>
      </c>
      <c r="M15" s="29" t="n">
        <v>37334.40764924906</v>
      </c>
      <c r="N15" s="28" t="n">
        <v>-5973.505223879849</v>
      </c>
      <c r="O15" s="29" t="n">
        <v>31360.90242536921</v>
      </c>
      <c r="P15" s="28" t="n">
        <v>-248744.6834164739</v>
      </c>
      <c r="Q15" s="28" t="n">
        <v>-332876.4976399401</v>
      </c>
      <c r="R15" s="31" t="n">
        <v>1153452.220307963</v>
      </c>
      <c r="S15" s="32" t="n">
        <v>1.679200021136151</v>
      </c>
      <c r="T15" s="28" t="n">
        <v>0</v>
      </c>
      <c r="U15" s="33" t="n">
        <v>552992.7166488355</v>
      </c>
      <c r="V15" s="33" t="n">
        <v>220116.2190088953</v>
      </c>
      <c r="W15" s="33" t="n">
        <v>1528214.487340972</v>
      </c>
      <c r="X15" s="30" t="n">
        <v>2.986752611939925</v>
      </c>
      <c r="Y15" s="30" t="n">
        <v>2.915189324945167</v>
      </c>
      <c r="Z15" s="30" t="n">
        <v>20.9634494294186</v>
      </c>
    </row>
    <row r="16">
      <c r="A16" s="25" t="n">
        <v>7</v>
      </c>
      <c r="B16" s="26" t="n">
        <v>247129.5917528635</v>
      </c>
      <c r="C16" s="26" t="n">
        <v>201105.8704595365</v>
      </c>
      <c r="D16" s="26" t="n">
        <v>178653.1153023257</v>
      </c>
      <c r="E16" s="27" t="n">
        <v>626888.5775147257</v>
      </c>
      <c r="F16" s="28" t="n">
        <v>-83583.66075703001</v>
      </c>
      <c r="G16" s="28" t="n">
        <v>-20895.9151892575</v>
      </c>
      <c r="H16" s="29" t="n">
        <v>522409.0015684383</v>
      </c>
      <c r="I16" s="30" t="n">
        <v>83.33362902216331</v>
      </c>
      <c r="J16" s="28" t="n">
        <v>-437500</v>
      </c>
      <c r="K16" s="29" t="n">
        <v>84909.00156843825</v>
      </c>
      <c r="L16" s="28" t="n">
        <v>-69207.13321847779</v>
      </c>
      <c r="M16" s="29" t="n">
        <v>15701.86834996047</v>
      </c>
      <c r="N16" s="28" t="n">
        <v>-2512.298935993675</v>
      </c>
      <c r="O16" s="29" t="n">
        <v>13189.56941396679</v>
      </c>
      <c r="P16" s="28" t="n">
        <v>-263669.3644214623</v>
      </c>
      <c r="Q16" s="28" t="n">
        <v>-332876.4976399401</v>
      </c>
      <c r="R16" s="31" t="n">
        <v>889782.8558865008</v>
      </c>
      <c r="S16" s="32" t="n">
        <v>1.569377848157692</v>
      </c>
      <c r="T16" s="28" t="n">
        <v>0</v>
      </c>
      <c r="U16" s="33" t="n">
        <v>519896.7026324446</v>
      </c>
      <c r="V16" s="33" t="n">
        <v>187020.2049925044</v>
      </c>
      <c r="W16" s="33" t="n">
        <v>1715234.692333476</v>
      </c>
      <c r="X16" s="30" t="n">
        <v>1.256149467996837</v>
      </c>
      <c r="Y16" s="30" t="n">
        <v>2.037816037642518</v>
      </c>
      <c r="Z16" s="30" t="n">
        <v>17.81144809452423</v>
      </c>
    </row>
    <row r="17">
      <c r="A17" s="25" t="n">
        <v>8</v>
      </c>
      <c r="B17" s="26" t="n">
        <v>240951.3519590418</v>
      </c>
      <c r="C17" s="26" t="n">
        <v>196078.2236980481</v>
      </c>
      <c r="D17" s="26" t="n">
        <v>167890.8794407399</v>
      </c>
      <c r="E17" s="27" t="n">
        <v>604920.4550978298</v>
      </c>
      <c r="F17" s="28" t="n">
        <v>-86091.17057974091</v>
      </c>
      <c r="G17" s="28" t="n">
        <v>-21522.79264493523</v>
      </c>
      <c r="H17" s="29" t="n">
        <v>497306.4918731537</v>
      </c>
      <c r="I17" s="30" t="n">
        <v>82.2102290775946</v>
      </c>
      <c r="J17" s="28" t="n">
        <v>-437500</v>
      </c>
      <c r="K17" s="29" t="n">
        <v>59806.49187315366</v>
      </c>
      <c r="L17" s="28" t="n">
        <v>-53386.97135319005</v>
      </c>
      <c r="M17" s="29" t="n">
        <v>6419.520519963611</v>
      </c>
      <c r="N17" s="28" t="n">
        <v>-1027.123283194178</v>
      </c>
      <c r="O17" s="29" t="n">
        <v>5392.397236769433</v>
      </c>
      <c r="P17" s="28" t="n">
        <v>-279489.5262867501</v>
      </c>
      <c r="Q17" s="28" t="n">
        <v>-332876.4976399401</v>
      </c>
      <c r="R17" s="31" t="n">
        <v>610293.3295997507</v>
      </c>
      <c r="S17" s="32" t="n">
        <v>1.493966967926559</v>
      </c>
      <c r="T17" s="28" t="n">
        <v>0</v>
      </c>
      <c r="U17" s="33" t="n">
        <v>496279.3685899595</v>
      </c>
      <c r="V17" s="33" t="n">
        <v>163402.8709500193</v>
      </c>
      <c r="W17" s="33" t="n">
        <v>1878637.563283496</v>
      </c>
      <c r="X17" s="30" t="n">
        <v>0.5135616415970888</v>
      </c>
      <c r="Y17" s="30" t="n">
        <v>1.435355804955688</v>
      </c>
      <c r="Z17" s="30" t="n">
        <v>15.56217818571613</v>
      </c>
    </row>
    <row r="18">
      <c r="A18" s="25" t="n">
        <v>9</v>
      </c>
      <c r="B18" s="26" t="n">
        <v>234927.5681600658</v>
      </c>
      <c r="C18" s="26" t="n">
        <v>191176.2681055969</v>
      </c>
      <c r="D18" s="26" t="n">
        <v>157555.0971751693</v>
      </c>
      <c r="E18" s="27" t="n">
        <v>583658.933440832</v>
      </c>
      <c r="F18" s="28" t="n">
        <v>-88673.90569713314</v>
      </c>
      <c r="G18" s="28" t="n">
        <v>-22168.47642428329</v>
      </c>
      <c r="H18" s="29" t="n">
        <v>472816.5513194155</v>
      </c>
      <c r="I18" s="30" t="n">
        <v>81.00904898894125</v>
      </c>
      <c r="J18" s="28" t="n">
        <v>-0</v>
      </c>
      <c r="K18" s="29" t="n">
        <v>472816.5513194155</v>
      </c>
      <c r="L18" s="28" t="n">
        <v>-36617.59977598504</v>
      </c>
      <c r="M18" s="29" t="n">
        <v>436198.9515434304</v>
      </c>
      <c r="N18" s="28" t="n">
        <v>-69791.83224694888</v>
      </c>
      <c r="O18" s="29" t="n">
        <v>366407.1192964816</v>
      </c>
      <c r="P18" s="28" t="n">
        <v>-296258.8978639551</v>
      </c>
      <c r="Q18" s="28" t="n">
        <v>-332876.4976399401</v>
      </c>
      <c r="R18" s="31" t="n">
        <v>314034.4317357956</v>
      </c>
      <c r="S18" s="32" t="n">
        <v>1.420396317167586</v>
      </c>
      <c r="T18" s="28" t="n">
        <v>0</v>
      </c>
      <c r="U18" s="33" t="n">
        <v>403024.7190724666</v>
      </c>
      <c r="V18" s="33" t="n">
        <v>70148.22143252648</v>
      </c>
      <c r="W18" s="33" t="n">
        <v>1948785.784716022</v>
      </c>
      <c r="X18" s="30" t="n">
        <v>34.89591612347444</v>
      </c>
      <c r="Y18" s="30" t="n">
        <v>11.34759723166597</v>
      </c>
      <c r="Z18" s="30" t="n">
        <v>6.68078299357395</v>
      </c>
    </row>
    <row r="19">
      <c r="A19" s="25" t="n">
        <v>10</v>
      </c>
      <c r="B19" s="26" t="n">
        <v>229054.3789560641</v>
      </c>
      <c r="C19" s="26" t="n">
        <v>186396.8614029569</v>
      </c>
      <c r="D19" s="26" t="n">
        <v>147631.1722232268</v>
      </c>
      <c r="E19" s="27" t="n">
        <v>563082.4125822479</v>
      </c>
      <c r="F19" s="28" t="n">
        <v>-91334.12286804714</v>
      </c>
      <c r="G19" s="28" t="n">
        <v>-22833.53071701178</v>
      </c>
      <c r="H19" s="29" t="n">
        <v>448914.7589971889</v>
      </c>
      <c r="I19" s="30" t="n">
        <v>79.7245214849642</v>
      </c>
      <c r="J19" s="28" t="n">
        <v>-0</v>
      </c>
      <c r="K19" s="29" t="n">
        <v>448914.7589971889</v>
      </c>
      <c r="L19" s="28" t="n">
        <v>-18842.06590414774</v>
      </c>
      <c r="M19" s="29" t="n">
        <v>430072.6930930412</v>
      </c>
      <c r="N19" s="28" t="n">
        <v>-68811.63089488659</v>
      </c>
      <c r="O19" s="29" t="n">
        <v>361261.0621981546</v>
      </c>
      <c r="P19" s="28" t="n">
        <v>-314034.4317357924</v>
      </c>
      <c r="Q19" s="28" t="n">
        <v>-332876.4976399401</v>
      </c>
      <c r="R19" s="31" t="n">
        <v>3.259629011154175e-09</v>
      </c>
      <c r="S19" s="32" t="n">
        <v>1.34859253260578</v>
      </c>
      <c r="T19" s="28" t="n">
        <v>-350000</v>
      </c>
      <c r="U19" s="33" t="n">
        <v>30103.12810230232</v>
      </c>
      <c r="V19" s="33" t="n">
        <v>-302773.3695376378</v>
      </c>
      <c r="W19" s="33" t="n">
        <v>1646012.415178384</v>
      </c>
      <c r="X19" s="30" t="n">
        <v>34.4058154474433</v>
      </c>
      <c r="Y19" s="30" t="n">
        <v>10.77395421593253</v>
      </c>
      <c r="Z19" s="30" t="n">
        <v>-28.83555900358455</v>
      </c>
    </row>
    <row r="20">
      <c r="A20" s="25" t="n">
        <v>11</v>
      </c>
      <c r="B20" s="26" t="n">
        <v>223328.0194821625</v>
      </c>
      <c r="C20" s="26" t="n">
        <v>181736.939867883</v>
      </c>
      <c r="D20" s="26" t="n">
        <v>138104.971583147</v>
      </c>
      <c r="E20" s="27" t="n">
        <v>543169.9309331925</v>
      </c>
      <c r="F20" s="28" t="n">
        <v>-94074.14655408855</v>
      </c>
      <c r="G20" s="28" t="n">
        <v>-23518.53663852214</v>
      </c>
      <c r="H20" s="29" t="n">
        <v>425577.2477405818</v>
      </c>
      <c r="I20" s="30" t="n">
        <v>78.350664037941</v>
      </c>
      <c r="J20" s="28" t="n">
        <v>-0</v>
      </c>
      <c r="K20" s="29" t="n">
        <v>425577.2477405818</v>
      </c>
      <c r="L20" s="28" t="n">
        <v>-0</v>
      </c>
      <c r="M20" s="29" t="n">
        <v>425577.2477405818</v>
      </c>
      <c r="N20" s="28" t="n">
        <v>-68092.35963849309</v>
      </c>
      <c r="O20" s="29" t="n">
        <v>357484.8881020887</v>
      </c>
      <c r="P20" s="28" t="n">
        <v>-0</v>
      </c>
      <c r="Q20" s="28" t="n">
        <v>0</v>
      </c>
      <c r="R20" s="31" t="n">
        <v>0</v>
      </c>
      <c r="S20" s="32" t="n">
        <v/>
      </c>
      <c r="T20" s="28" t="n">
        <v>0</v>
      </c>
      <c r="U20" s="33" t="n">
        <v>357484.8881020887</v>
      </c>
      <c r="V20" s="33" t="n">
        <v>357484.8881020887</v>
      </c>
      <c r="W20" s="33" t="n">
        <v>2003497.303280473</v>
      </c>
      <c r="X20" s="30" t="n">
        <v>34.04617981924654</v>
      </c>
      <c r="Y20" s="30" t="n">
        <v>10.21385394577396</v>
      </c>
      <c r="Z20" s="30" t="n">
        <v>34.04617981924654</v>
      </c>
    </row>
    <row r="21">
      <c r="A21" s="25" t="n">
        <v>12</v>
      </c>
      <c r="B21" s="26" t="n">
        <v>217744.8189951084</v>
      </c>
      <c r="C21" s="26" t="n">
        <v>177193.5163711859</v>
      </c>
      <c r="D21" s="26" t="n">
        <v>128962.8114924316</v>
      </c>
      <c r="E21" s="27" t="n">
        <v>523901.146858726</v>
      </c>
      <c r="F21" s="28" t="n">
        <v>-96896.37095071122</v>
      </c>
      <c r="G21" s="28" t="n">
        <v>-24224.09273767781</v>
      </c>
      <c r="H21" s="29" t="n">
        <v>402780.6831703369</v>
      </c>
      <c r="I21" s="30" t="n">
        <v>76.88104627855489</v>
      </c>
      <c r="J21" s="28" t="n">
        <v>-0</v>
      </c>
      <c r="K21" s="29" t="n">
        <v>402780.6831703369</v>
      </c>
      <c r="L21" s="28" t="n">
        <v>-0</v>
      </c>
      <c r="M21" s="29" t="n">
        <v>402780.6831703369</v>
      </c>
      <c r="N21" s="28" t="n">
        <v>-64444.90930725391</v>
      </c>
      <c r="O21" s="29" t="n">
        <v>338335.773863083</v>
      </c>
      <c r="P21" s="28" t="n">
        <v>-0</v>
      </c>
      <c r="Q21" s="28" t="n">
        <v>0</v>
      </c>
      <c r="R21" s="31" t="n">
        <v>0</v>
      </c>
      <c r="S21" s="32" t="n">
        <v/>
      </c>
      <c r="T21" s="28" t="n">
        <v>0</v>
      </c>
      <c r="U21" s="33" t="n">
        <v>338335.773863083</v>
      </c>
      <c r="V21" s="33" t="n">
        <v>338335.773863083</v>
      </c>
      <c r="W21" s="33" t="n">
        <v>2341833.077143556</v>
      </c>
      <c r="X21" s="30" t="n">
        <v>32.22245465362696</v>
      </c>
      <c r="Y21" s="30" t="n">
        <v>9.666736396088087</v>
      </c>
      <c r="Z21" s="30" t="n">
        <v>32.22245465362696</v>
      </c>
    </row>
    <row r="22">
      <c r="A22" s="25" t="n">
        <v>13</v>
      </c>
      <c r="B22" s="26" t="n">
        <v>212301.1985202307</v>
      </c>
      <c r="C22" s="26" t="n">
        <v>172763.6784619063</v>
      </c>
      <c r="D22" s="26" t="n">
        <v>120191.4437990125</v>
      </c>
      <c r="E22" s="27" t="n">
        <v>505256.3207811495</v>
      </c>
      <c r="F22" s="28" t="n">
        <v>-99803.26207923255</v>
      </c>
      <c r="G22" s="28" t="n">
        <v>-24950.81551980814</v>
      </c>
      <c r="H22" s="29" t="n">
        <v>380502.2431821088</v>
      </c>
      <c r="I22" s="30" t="n">
        <v>75.3087546918433</v>
      </c>
      <c r="J22" s="28" t="n">
        <v>-0</v>
      </c>
      <c r="K22" s="29" t="n">
        <v>380502.2431821088</v>
      </c>
      <c r="L22" s="28" t="n">
        <v>-0</v>
      </c>
      <c r="M22" s="29" t="n">
        <v>380502.2431821088</v>
      </c>
      <c r="N22" s="28" t="n">
        <v>-60880.35890913741</v>
      </c>
      <c r="O22" s="29" t="n">
        <v>319621.8842729714</v>
      </c>
      <c r="P22" s="28" t="n">
        <v>-0</v>
      </c>
      <c r="Q22" s="28" t="n">
        <v>0</v>
      </c>
      <c r="R22" s="31" t="n">
        <v>0</v>
      </c>
      <c r="S22" s="32" t="n">
        <v/>
      </c>
      <c r="T22" s="28" t="n">
        <v>0</v>
      </c>
      <c r="U22" s="33" t="n">
        <v>319621.8842729714</v>
      </c>
      <c r="V22" s="33" t="n">
        <v>319621.8842729714</v>
      </c>
      <c r="W22" s="33" t="n">
        <v>2661454.961416528</v>
      </c>
      <c r="X22" s="30" t="n">
        <v>30.4401794545687</v>
      </c>
      <c r="Y22" s="30" t="n">
        <v>9.132053836370609</v>
      </c>
      <c r="Z22" s="30" t="n">
        <v>30.4401794545687</v>
      </c>
    </row>
    <row r="23">
      <c r="A23" s="25" t="n">
        <v>14</v>
      </c>
      <c r="B23" s="26" t="n">
        <v>206993.668557225</v>
      </c>
      <c r="C23" s="26" t="n">
        <v>168444.5865003586</v>
      </c>
      <c r="D23" s="26" t="n">
        <v>111778.0427330817</v>
      </c>
      <c r="E23" s="27" t="n">
        <v>487216.2977906652</v>
      </c>
      <c r="F23" s="28" t="n">
        <v>-102797.3599416095</v>
      </c>
      <c r="G23" s="28" t="n">
        <v>-25699.33998540238</v>
      </c>
      <c r="H23" s="29" t="n">
        <v>358719.5978636533</v>
      </c>
      <c r="I23" s="30" t="n">
        <v>73.62635435027644</v>
      </c>
      <c r="J23" s="28" t="n">
        <v>-0</v>
      </c>
      <c r="K23" s="29" t="n">
        <v>358719.5978636533</v>
      </c>
      <c r="L23" s="28" t="n">
        <v>-0</v>
      </c>
      <c r="M23" s="29" t="n">
        <v>358719.5978636533</v>
      </c>
      <c r="N23" s="28" t="n">
        <v>-57395.13565818453</v>
      </c>
      <c r="O23" s="29" t="n">
        <v>301324.4622054688</v>
      </c>
      <c r="P23" s="28" t="n">
        <v>-0</v>
      </c>
      <c r="Q23" s="28" t="n">
        <v>0</v>
      </c>
      <c r="R23" s="31" t="n">
        <v>0</v>
      </c>
      <c r="S23" s="32" t="n">
        <v/>
      </c>
      <c r="T23" s="28" t="n">
        <v>0</v>
      </c>
      <c r="U23" s="33" t="n">
        <v>301324.4622054688</v>
      </c>
      <c r="V23" s="33" t="n">
        <v>301324.4622054688</v>
      </c>
      <c r="W23" s="33" t="n">
        <v>2962779.423621996</v>
      </c>
      <c r="X23" s="30" t="n">
        <v>28.69756782909227</v>
      </c>
      <c r="Y23" s="30" t="n">
        <v>8.60927034872768</v>
      </c>
      <c r="Z23" s="30" t="n">
        <v>28.69756782909227</v>
      </c>
    </row>
    <row r="24">
      <c r="A24" s="25" t="n">
        <v>15</v>
      </c>
      <c r="B24" s="26" t="n">
        <v>201818.8268432943</v>
      </c>
      <c r="C24" s="26" t="n">
        <v>164233.4718378497</v>
      </c>
      <c r="D24" s="26" t="n">
        <v>103710.1920680729</v>
      </c>
      <c r="E24" s="27" t="n">
        <v>469762.490749217</v>
      </c>
      <c r="F24" s="28" t="n">
        <v>-105881.2807398578</v>
      </c>
      <c r="G24" s="28" t="n">
        <v>-26470.32018496446</v>
      </c>
      <c r="H24" s="29" t="n">
        <v>337410.8898243947</v>
      </c>
      <c r="I24" s="30" t="n">
        <v>71.82584741626845</v>
      </c>
      <c r="J24" s="28" t="n">
        <v>-0</v>
      </c>
      <c r="K24" s="29" t="n">
        <v>337410.8898243947</v>
      </c>
      <c r="L24" s="28" t="n">
        <v>-0</v>
      </c>
      <c r="M24" s="29" t="n">
        <v>337410.8898243947</v>
      </c>
      <c r="N24" s="28" t="n">
        <v>-53985.74237190316</v>
      </c>
      <c r="O24" s="29" t="n">
        <v>283425.1474524916</v>
      </c>
      <c r="P24" s="28" t="n">
        <v>-0</v>
      </c>
      <c r="Q24" s="28" t="n">
        <v>0</v>
      </c>
      <c r="R24" s="31" t="n">
        <v>0</v>
      </c>
      <c r="S24" s="32" t="n">
        <v/>
      </c>
      <c r="T24" s="28" t="n">
        <v>0</v>
      </c>
      <c r="U24" s="33" t="n">
        <v>283425.1474524916</v>
      </c>
      <c r="V24" s="33" t="n">
        <v>283425.1474524916</v>
      </c>
      <c r="W24" s="33" t="n">
        <v>3246204.571074488</v>
      </c>
      <c r="X24" s="30" t="n">
        <v>26.99287118595158</v>
      </c>
      <c r="Y24" s="30" t="n">
        <v>8.097861355785474</v>
      </c>
      <c r="Z24" s="30" t="n">
        <v>26.99287118595158</v>
      </c>
    </row>
    <row r="26">
      <c r="A26" s="4" t="inlineStr">
        <is>
          <t>Scenario description</t>
        </is>
      </c>
    </row>
    <row r="27" ht="80" customHeight="1">
      <c r="A27" s="18" t="inlineStr">
        <is>
          <t>Same scenario as the engineering-optimum sheet, but with realistic operator drag multipliers applied to each revenue leg:
  • aFRR capacity × 0.93  (REMIT/Tg/Td tariff erosion)
  • aFRR activation × 0.25  (10% market-share guess → realistic ~2.5% — the BIG haircut)
  • PZU arbitrage × 0.80  (forecast error vs perfect-foresight dispatch)
These are the numbers a lender would actually underwrite. The engineering-optimum sheet is what an EPC vendor's marketing would quote — useful for ceiling-of-the-band but not bankable.</t>
        </is>
      </c>
    </row>
  </sheetData>
  <mergeCells count="3">
    <mergeCell ref="A1:Z1"/>
    <mergeCell ref="A27:Z27"/>
    <mergeCell ref="A26:Z2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1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1" customWidth="1" min="19" max="19"/>
    <col width="14" customWidth="1" min="20" max="20"/>
    <col width="14" customWidth="1" min="21" max="21"/>
    <col width="14" customWidth="1" min="22" max="22"/>
    <col width="14" customWidth="1" min="23" max="23"/>
    <col width="11" customWidth="1" min="24" max="24"/>
    <col width="11" customWidth="1" min="25" max="25"/>
    <col width="11" customWidth="1" min="26" max="26"/>
  </cols>
  <sheetData>
    <row r="1" ht="28" customHeight="1">
      <c r="A1" s="19" t="inlineStr">
        <is>
          <t>D. Bear case (2% share, full saturation)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  <c r="O1" s="20" t="n"/>
      <c r="P1" s="20" t="n"/>
      <c r="Q1" s="20" t="n"/>
      <c r="R1" s="20" t="n"/>
      <c r="S1" s="20" t="n"/>
      <c r="T1" s="20" t="n"/>
      <c r="U1" s="20" t="n"/>
      <c r="V1" s="20" t="n"/>
      <c r="W1" s="20" t="n"/>
      <c r="X1" s="20" t="n"/>
      <c r="Y1" s="20" t="n"/>
      <c r="Z1" s="21" t="n"/>
    </row>
    <row r="2">
      <c r="A2" s="22" t="inlineStr">
        <is>
          <t>Y1 revenue</t>
        </is>
      </c>
      <c r="B2" s="23" t="inlineStr">
        <is>
          <t>€1.18M</t>
        </is>
      </c>
      <c r="C2" s="22" t="inlineStr">
        <is>
          <t>Y1 EBITDA</t>
        </is>
      </c>
      <c r="D2" s="23" t="inlineStr">
        <is>
          <t>€1.09M</t>
        </is>
      </c>
      <c r="E2" s="22" t="inlineStr">
        <is>
          <t>Y1 EBITDA margin</t>
        </is>
      </c>
      <c r="F2" s="23" t="inlineStr">
        <is>
          <t>92.59%</t>
        </is>
      </c>
      <c r="G2" s="22" t="inlineStr">
        <is>
          <t>Y1 Net income</t>
        </is>
      </c>
      <c r="H2" s="23" t="inlineStr">
        <is>
          <t>€428k</t>
        </is>
      </c>
    </row>
    <row r="3">
      <c r="A3" s="22" t="inlineStr">
        <is>
          <t>Y1 Equity FCF</t>
        </is>
      </c>
      <c r="B3" s="23" t="inlineStr">
        <is>
          <t>€680k</t>
        </is>
      </c>
      <c r="C3" s="22" t="inlineStr">
        <is>
          <t>Equity IRR</t>
        </is>
      </c>
      <c r="D3" s="23" t="inlineStr">
        <is>
          <t>57.21%</t>
        </is>
      </c>
      <c r="E3" s="22" t="inlineStr">
        <is>
          <t>Project IRR</t>
        </is>
      </c>
      <c r="F3" s="23" t="inlineStr">
        <is>
          <t>23.11%</t>
        </is>
      </c>
      <c r="G3" s="22" t="inlineStr">
        <is>
          <t>Equity MIRR</t>
        </is>
      </c>
      <c r="H3" s="23" t="inlineStr">
        <is>
          <t>18.68%</t>
        </is>
      </c>
    </row>
    <row r="4">
      <c r="A4" s="22" t="inlineStr">
        <is>
          <t>Equity payback</t>
        </is>
      </c>
      <c r="B4" s="23" t="inlineStr">
        <is>
          <t>1.6 yr</t>
        </is>
      </c>
      <c r="C4" s="22" t="inlineStr">
        <is>
          <t>Disc. payback @ 8%</t>
        </is>
      </c>
      <c r="D4" s="23" t="inlineStr">
        <is>
          <t>1.8 yr</t>
        </is>
      </c>
      <c r="E4" s="22" t="inlineStr">
        <is>
          <t>MOIC</t>
        </is>
      </c>
      <c r="F4" s="23" t="inlineStr">
        <is>
          <t>7.13x</t>
        </is>
      </c>
      <c r="G4" s="22" t="inlineStr">
        <is>
          <t>Avg ROE</t>
        </is>
      </c>
      <c r="H4" s="23" t="inlineStr">
        <is>
          <t>45.16%</t>
        </is>
      </c>
    </row>
    <row r="5">
      <c r="A5" s="22" t="inlineStr">
        <is>
          <t>Equity NPV @ 8%</t>
        </is>
      </c>
      <c r="B5" s="23" t="inlineStr">
        <is>
          <t>€3.30M</t>
        </is>
      </c>
      <c r="C5" s="22" t="inlineStr">
        <is>
          <t>Equity NPV @ 10%</t>
        </is>
      </c>
      <c r="D5" s="23" t="inlineStr">
        <is>
          <t>€2.85M</t>
        </is>
      </c>
      <c r="E5" s="22" t="inlineStr">
        <is>
          <t>Project NPV @ 8%</t>
        </is>
      </c>
      <c r="F5" s="23" t="inlineStr">
        <is>
          <t>€3.09M</t>
        </is>
      </c>
      <c r="G5" s="22" t="inlineStr">
        <is>
          <t>Project NPV @ 10%</t>
        </is>
      </c>
      <c r="H5" s="23" t="inlineStr">
        <is>
          <t>€2.44M</t>
        </is>
      </c>
    </row>
    <row r="6">
      <c r="A6" s="22" t="inlineStr">
        <is>
          <t>Min DSCR</t>
        </is>
      </c>
      <c r="B6" s="23" t="inlineStr">
        <is>
          <t>2.36x</t>
        </is>
      </c>
      <c r="C6" s="22" t="inlineStr">
        <is>
          <t>Avg DSCR</t>
        </is>
      </c>
      <c r="D6" s="23" t="inlineStr">
        <is>
          <t>nanx</t>
        </is>
      </c>
      <c r="E6" s="22" t="inlineStr">
        <is>
          <t>LLCR</t>
        </is>
      </c>
      <c r="F6" s="23" t="inlineStr">
        <is>
          <t>2.43x</t>
        </is>
      </c>
      <c r="G6" s="22" t="inlineStr">
        <is>
          <t>PLCR</t>
        </is>
      </c>
      <c r="H6" s="23" t="inlineStr">
        <is>
          <t>3.00x</t>
        </is>
      </c>
    </row>
    <row r="7"/>
    <row r="8"/>
    <row r="9" ht="42" customHeight="1">
      <c r="A9" s="24" t="inlineStr">
        <is>
          <t>Year</t>
        </is>
      </c>
      <c r="B9" s="24" t="inlineStr">
        <is>
          <t>aFRR capacity (€)</t>
        </is>
      </c>
      <c r="C9" s="24" t="inlineStr">
        <is>
          <t>aFRR activation (€)</t>
        </is>
      </c>
      <c r="D9" s="24" t="inlineStr">
        <is>
          <t>PZU arbitrage (€)</t>
        </is>
      </c>
      <c r="E9" s="24" t="inlineStr">
        <is>
          <t>Total revenue (€)</t>
        </is>
      </c>
      <c r="F9" s="24" t="inlineStr">
        <is>
          <t>OPEX (€)</t>
        </is>
      </c>
      <c r="G9" s="24" t="inlineStr">
        <is>
          <t>Insurance (€)</t>
        </is>
      </c>
      <c r="H9" s="24" t="inlineStr">
        <is>
          <t>EBITDA (€)</t>
        </is>
      </c>
      <c r="I9" s="24" t="inlineStr">
        <is>
          <t>EBITDA margin (%)</t>
        </is>
      </c>
      <c r="J9" s="24" t="inlineStr">
        <is>
          <t>Depreciation (€)</t>
        </is>
      </c>
      <c r="K9" s="24" t="inlineStr">
        <is>
          <t>EBIT (€)</t>
        </is>
      </c>
      <c r="L9" s="24" t="inlineStr">
        <is>
          <t>Interest expense (€)</t>
        </is>
      </c>
      <c r="M9" s="24" t="inlineStr">
        <is>
          <t>EBT (€)</t>
        </is>
      </c>
      <c r="N9" s="24" t="inlineStr">
        <is>
          <t>Tax (€)</t>
        </is>
      </c>
      <c r="O9" s="24" t="inlineStr">
        <is>
          <t>Net income (€)</t>
        </is>
      </c>
      <c r="P9" s="24" t="inlineStr">
        <is>
          <t>Principal payment (€)</t>
        </is>
      </c>
      <c r="Q9" s="24" t="inlineStr">
        <is>
          <t>Debt service total (€)</t>
        </is>
      </c>
      <c r="R9" s="24" t="inlineStr">
        <is>
          <t>Debt outstanding YE (€)</t>
        </is>
      </c>
      <c r="S9" s="24" t="inlineStr">
        <is>
          <t>DSCR</t>
        </is>
      </c>
      <c r="T9" s="24" t="inlineStr">
        <is>
          <t>Augmentation (€)</t>
        </is>
      </c>
      <c r="U9" s="24" t="inlineStr">
        <is>
          <t>Project FCF (€)</t>
        </is>
      </c>
      <c r="V9" s="24" t="inlineStr">
        <is>
          <t>Equity FCF (€)</t>
        </is>
      </c>
      <c r="W9" s="24" t="inlineStr">
        <is>
          <t>Cumulative equity FCF (€)</t>
        </is>
      </c>
      <c r="X9" s="24" t="inlineStr">
        <is>
          <t>ROE (%)</t>
        </is>
      </c>
      <c r="Y9" s="24" t="inlineStr">
        <is>
          <t>ROIC (%)</t>
        </is>
      </c>
      <c r="Z9" s="24" t="inlineStr">
        <is>
          <t>Cash-on-cash yield (%)</t>
        </is>
      </c>
    </row>
    <row r="10">
      <c r="A10" s="25" t="n">
        <v>1</v>
      </c>
      <c r="B10" s="26" t="n">
        <v>351360</v>
      </c>
      <c r="C10" s="26" t="n">
        <v>621463.7999999999</v>
      </c>
      <c r="D10" s="26" t="n">
        <v>208797</v>
      </c>
      <c r="E10" s="27" t="n">
        <v>1181620.8</v>
      </c>
      <c r="F10" s="28" t="n">
        <v>-70000</v>
      </c>
      <c r="G10" s="28" t="n">
        <v>-17500</v>
      </c>
      <c r="H10" s="29" t="n">
        <v>1094120.8</v>
      </c>
      <c r="I10" s="30" t="n">
        <v>92.59491708338243</v>
      </c>
      <c r="J10" s="28" t="n">
        <v>-437500</v>
      </c>
      <c r="K10" s="29" t="n">
        <v>656620.7999999998</v>
      </c>
      <c r="L10" s="28" t="n">
        <v>-147000</v>
      </c>
      <c r="M10" s="29" t="n">
        <v>509620.7999999998</v>
      </c>
      <c r="N10" s="28" t="n">
        <v>-81539.32799999996</v>
      </c>
      <c r="O10" s="29" t="n">
        <v>428081.4719999998</v>
      </c>
      <c r="P10" s="28" t="n">
        <v>-185876.4976399401</v>
      </c>
      <c r="Q10" s="28" t="n">
        <v>-332876.4976399401</v>
      </c>
      <c r="R10" s="31" t="n">
        <v>2264123.50236006</v>
      </c>
      <c r="S10" s="32" t="n">
        <v>3.286867074597344</v>
      </c>
      <c r="T10" s="28" t="n">
        <v>0</v>
      </c>
      <c r="U10" s="33" t="n">
        <v>1012581.472</v>
      </c>
      <c r="V10" s="33" t="n">
        <v>679704.9743600597</v>
      </c>
      <c r="W10" s="33" t="n">
        <v>679704.9743600597</v>
      </c>
      <c r="X10" s="30" t="n">
        <v>40.76966399999998</v>
      </c>
      <c r="Y10" s="30" t="n">
        <v>15.75889919999999</v>
      </c>
      <c r="Z10" s="30" t="n">
        <v>64.73380708191044</v>
      </c>
    </row>
    <row r="11">
      <c r="A11" s="25" t="n">
        <v>2</v>
      </c>
      <c r="B11" s="26" t="n">
        <v>342576</v>
      </c>
      <c r="C11" s="26" t="n">
        <v>605927.205</v>
      </c>
      <c r="D11" s="26" t="n">
        <v>197469.76275</v>
      </c>
      <c r="E11" s="27" t="n">
        <v>1145972.96775</v>
      </c>
      <c r="F11" s="28" t="n">
        <v>-72100</v>
      </c>
      <c r="G11" s="28" t="n">
        <v>-18025</v>
      </c>
      <c r="H11" s="29" t="n">
        <v>1055847.96775</v>
      </c>
      <c r="I11" s="30" t="n">
        <v>92.13550384378166</v>
      </c>
      <c r="J11" s="28" t="n">
        <v>-437500</v>
      </c>
      <c r="K11" s="29" t="n">
        <v>618347.9677499998</v>
      </c>
      <c r="L11" s="28" t="n">
        <v>-135847.4101416036</v>
      </c>
      <c r="M11" s="29" t="n">
        <v>482500.5576083963</v>
      </c>
      <c r="N11" s="28" t="n">
        <v>-77200.08921734341</v>
      </c>
      <c r="O11" s="29" t="n">
        <v>405300.4683910529</v>
      </c>
      <c r="P11" s="28" t="n">
        <v>-197029.0874983365</v>
      </c>
      <c r="Q11" s="28" t="n">
        <v>-332876.4976399401</v>
      </c>
      <c r="R11" s="31" t="n">
        <v>2067094.414861723</v>
      </c>
      <c r="S11" s="32" t="n">
        <v>3.171891002326246</v>
      </c>
      <c r="T11" s="28" t="n">
        <v>0</v>
      </c>
      <c r="U11" s="33" t="n">
        <v>978647.8785326565</v>
      </c>
      <c r="V11" s="33" t="n">
        <v>645771.3808927163</v>
      </c>
      <c r="W11" s="33" t="n">
        <v>1325476.355252776</v>
      </c>
      <c r="X11" s="30" t="n">
        <v>38.6000446086717</v>
      </c>
      <c r="Y11" s="30" t="n">
        <v>14.840351226</v>
      </c>
      <c r="Z11" s="30" t="n">
        <v>61.5020362754968</v>
      </c>
    </row>
    <row r="12">
      <c r="A12" s="25" t="n">
        <v>3</v>
      </c>
      <c r="B12" s="26" t="n">
        <v>334011.6</v>
      </c>
      <c r="C12" s="26" t="n">
        <v>590779.0248749999</v>
      </c>
      <c r="D12" s="26" t="n">
        <v>186578.3892375</v>
      </c>
      <c r="E12" s="27" t="n">
        <v>1111369.0141125</v>
      </c>
      <c r="F12" s="28" t="n">
        <v>-74263</v>
      </c>
      <c r="G12" s="28" t="n">
        <v>-18565.75</v>
      </c>
      <c r="H12" s="29" t="n">
        <v>1018540.2641125</v>
      </c>
      <c r="I12" s="30" t="n">
        <v>91.6473512558626</v>
      </c>
      <c r="J12" s="28" t="n">
        <v>-437500</v>
      </c>
      <c r="K12" s="29" t="n">
        <v>581040.2641124998</v>
      </c>
      <c r="L12" s="28" t="n">
        <v>-124025.6648917034</v>
      </c>
      <c r="M12" s="29" t="n">
        <v>457014.5992207964</v>
      </c>
      <c r="N12" s="28" t="n">
        <v>-73122.33587532742</v>
      </c>
      <c r="O12" s="29" t="n">
        <v>383892.263345469</v>
      </c>
      <c r="P12" s="28" t="n">
        <v>-208850.8327482367</v>
      </c>
      <c r="Q12" s="28" t="n">
        <v>-332876.4976399401</v>
      </c>
      <c r="R12" s="31" t="n">
        <v>1858243.582113487</v>
      </c>
      <c r="S12" s="32" t="n">
        <v>3.059814289485274</v>
      </c>
      <c r="T12" s="28" t="n">
        <v>0</v>
      </c>
      <c r="U12" s="33" t="n">
        <v>945417.9282371723</v>
      </c>
      <c r="V12" s="33" t="n">
        <v>612541.4305972322</v>
      </c>
      <c r="W12" s="33" t="n">
        <v>1938017.785850008</v>
      </c>
      <c r="X12" s="30" t="n">
        <v>36.56116793766371</v>
      </c>
      <c r="Y12" s="30" t="n">
        <v>13.94496633869999</v>
      </c>
      <c r="Z12" s="30" t="n">
        <v>58.33727910449831</v>
      </c>
    </row>
    <row r="13">
      <c r="A13" s="25" t="n">
        <v>4</v>
      </c>
      <c r="B13" s="26" t="n">
        <v>325661.31</v>
      </c>
      <c r="C13" s="26" t="n">
        <v>576009.549253125</v>
      </c>
      <c r="D13" s="26" t="n">
        <v>176108.1657989063</v>
      </c>
      <c r="E13" s="27" t="n">
        <v>1077779.025052031</v>
      </c>
      <c r="F13" s="28" t="n">
        <v>-76490.89</v>
      </c>
      <c r="G13" s="28" t="n">
        <v>-19122.7225</v>
      </c>
      <c r="H13" s="29" t="n">
        <v>982165.4125520312</v>
      </c>
      <c r="I13" s="30" t="n">
        <v>91.12864415826016</v>
      </c>
      <c r="J13" s="28" t="n">
        <v>-437500</v>
      </c>
      <c r="K13" s="29" t="n">
        <v>544665.4125520312</v>
      </c>
      <c r="L13" s="28" t="n">
        <v>-111494.6149268092</v>
      </c>
      <c r="M13" s="29" t="n">
        <v>433170.797625222</v>
      </c>
      <c r="N13" s="28" t="n">
        <v>-69307.32762003552</v>
      </c>
      <c r="O13" s="29" t="n">
        <v>363863.4700051865</v>
      </c>
      <c r="P13" s="28" t="n">
        <v>-221381.8827131309</v>
      </c>
      <c r="Q13" s="28" t="n">
        <v>-332876.4976399401</v>
      </c>
      <c r="R13" s="31" t="n">
        <v>1636861.699400356</v>
      </c>
      <c r="S13" s="32" t="n">
        <v>2.950539973580238</v>
      </c>
      <c r="T13" s="28" t="n">
        <v>0</v>
      </c>
      <c r="U13" s="33" t="n">
        <v>912858.0849319957</v>
      </c>
      <c r="V13" s="33" t="n">
        <v>579981.5872920556</v>
      </c>
      <c r="W13" s="33" t="n">
        <v>2517999.373142064</v>
      </c>
      <c r="X13" s="30" t="n">
        <v>34.65366381001777</v>
      </c>
      <c r="Y13" s="30" t="n">
        <v>13.07196990124875</v>
      </c>
      <c r="Z13" s="30" t="n">
        <v>55.23634164686244</v>
      </c>
    </row>
    <row r="14">
      <c r="A14" s="25" t="n">
        <v>5</v>
      </c>
      <c r="B14" s="26" t="n">
        <v>317519.77725</v>
      </c>
      <c r="C14" s="26" t="n">
        <v>561609.3105217967</v>
      </c>
      <c r="D14" s="26" t="n">
        <v>166044.8420389688</v>
      </c>
      <c r="E14" s="27" t="n">
        <v>1045173.929810765</v>
      </c>
      <c r="F14" s="28" t="n">
        <v>-78785.61670000001</v>
      </c>
      <c r="G14" s="28" t="n">
        <v>-19696.404175</v>
      </c>
      <c r="H14" s="29" t="n">
        <v>946691.9089357654</v>
      </c>
      <c r="I14" s="30" t="n">
        <v>90.5774514589327</v>
      </c>
      <c r="J14" s="28" t="n">
        <v>-437500</v>
      </c>
      <c r="K14" s="29" t="n">
        <v>509191.9089357654</v>
      </c>
      <c r="L14" s="28" t="n">
        <v>-98211.70196402134</v>
      </c>
      <c r="M14" s="29" t="n">
        <v>410980.2069717441</v>
      </c>
      <c r="N14" s="28" t="n">
        <v>-65756.83311547905</v>
      </c>
      <c r="O14" s="29" t="n">
        <v>345223.373856265</v>
      </c>
      <c r="P14" s="28" t="n">
        <v>-234664.7956759188</v>
      </c>
      <c r="Q14" s="28" t="n">
        <v>-332876.4976399401</v>
      </c>
      <c r="R14" s="31" t="n">
        <v>1402196.903724437</v>
      </c>
      <c r="S14" s="32" t="n">
        <v>2.843973412504977</v>
      </c>
      <c r="T14" s="28" t="n">
        <v>-350000</v>
      </c>
      <c r="U14" s="33" t="n">
        <v>530935.0758202863</v>
      </c>
      <c r="V14" s="33" t="n">
        <v>198058.5781803462</v>
      </c>
      <c r="W14" s="33" t="n">
        <v>2716057.95132241</v>
      </c>
      <c r="X14" s="30" t="n">
        <v>32.87841655773953</v>
      </c>
      <c r="Y14" s="30" t="n">
        <v>12.22060581445837</v>
      </c>
      <c r="Z14" s="30" t="n">
        <v>18.86272173146154</v>
      </c>
    </row>
    <row r="15">
      <c r="A15" s="25" t="n">
        <v>6</v>
      </c>
      <c r="B15" s="26" t="n">
        <v>309581.78281875</v>
      </c>
      <c r="C15" s="26" t="n">
        <v>547569.0777587518</v>
      </c>
      <c r="D15" s="26" t="n">
        <v>156374.6168634038</v>
      </c>
      <c r="E15" s="27" t="n">
        <v>1013525.477440906</v>
      </c>
      <c r="F15" s="28" t="n">
        <v>-81149.185201</v>
      </c>
      <c r="G15" s="28" t="n">
        <v>-20287.29630025</v>
      </c>
      <c r="H15" s="29" t="n">
        <v>912088.9959396556</v>
      </c>
      <c r="I15" s="30" t="n">
        <v>89.9917186337169</v>
      </c>
      <c r="J15" s="28" t="n">
        <v>-437500</v>
      </c>
      <c r="K15" s="29" t="n">
        <v>474588.9959396556</v>
      </c>
      <c r="L15" s="28" t="n">
        <v>-84131.81422346622</v>
      </c>
      <c r="M15" s="29" t="n">
        <v>390457.1817161894</v>
      </c>
      <c r="N15" s="28" t="n">
        <v>-62473.1490745903</v>
      </c>
      <c r="O15" s="29" t="n">
        <v>327984.0326415991</v>
      </c>
      <c r="P15" s="28" t="n">
        <v>-248744.6834164739</v>
      </c>
      <c r="Q15" s="28" t="n">
        <v>-332876.4976399401</v>
      </c>
      <c r="R15" s="31" t="n">
        <v>1153452.220307963</v>
      </c>
      <c r="S15" s="32" t="n">
        <v>2.740022207654407</v>
      </c>
      <c r="T15" s="28" t="n">
        <v>0</v>
      </c>
      <c r="U15" s="33" t="n">
        <v>849615.8468650653</v>
      </c>
      <c r="V15" s="33" t="n">
        <v>516739.3492251252</v>
      </c>
      <c r="W15" s="33" t="n">
        <v>3232797.300547535</v>
      </c>
      <c r="X15" s="30" t="n">
        <v>31.23657453729515</v>
      </c>
      <c r="Y15" s="30" t="n">
        <v>11.39013590255173</v>
      </c>
      <c r="Z15" s="30" t="n">
        <v>49.21327135477382</v>
      </c>
    </row>
    <row r="16">
      <c r="A16" s="25" t="n">
        <v>7</v>
      </c>
      <c r="B16" s="26" t="n">
        <v>301842.2382482812</v>
      </c>
      <c r="C16" s="26" t="n">
        <v>533879.850814783</v>
      </c>
      <c r="D16" s="26" t="n">
        <v>147084.1249203427</v>
      </c>
      <c r="E16" s="27" t="n">
        <v>982806.2139834069</v>
      </c>
      <c r="F16" s="28" t="n">
        <v>-83583.66075703001</v>
      </c>
      <c r="G16" s="28" t="n">
        <v>-20895.9151892575</v>
      </c>
      <c r="H16" s="29" t="n">
        <v>878326.6380371194</v>
      </c>
      <c r="I16" s="30" t="n">
        <v>89.36925973200537</v>
      </c>
      <c r="J16" s="28" t="n">
        <v>-437500</v>
      </c>
      <c r="K16" s="29" t="n">
        <v>440826.6380371194</v>
      </c>
      <c r="L16" s="28" t="n">
        <v>-69207.13321847779</v>
      </c>
      <c r="M16" s="29" t="n">
        <v>371619.5048186416</v>
      </c>
      <c r="N16" s="28" t="n">
        <v>-59459.12077098266</v>
      </c>
      <c r="O16" s="29" t="n">
        <v>312160.384047659</v>
      </c>
      <c r="P16" s="28" t="n">
        <v>-263669.3644214623</v>
      </c>
      <c r="Q16" s="28" t="n">
        <v>-332876.4976399401</v>
      </c>
      <c r="R16" s="31" t="n">
        <v>889782.8558865008</v>
      </c>
      <c r="S16" s="32" t="n">
        <v>2.638596128787596</v>
      </c>
      <c r="T16" s="28" t="n">
        <v>0</v>
      </c>
      <c r="U16" s="33" t="n">
        <v>818867.5172661367</v>
      </c>
      <c r="V16" s="33" t="n">
        <v>485991.0196261966</v>
      </c>
      <c r="W16" s="33" t="n">
        <v>3718788.320173732</v>
      </c>
      <c r="X16" s="30" t="n">
        <v>29.72956038549133</v>
      </c>
      <c r="Y16" s="30" t="n">
        <v>10.57983931289086</v>
      </c>
      <c r="Z16" s="30" t="n">
        <v>46.28485901201873</v>
      </c>
    </row>
    <row r="17">
      <c r="A17" s="25" t="n">
        <v>8</v>
      </c>
      <c r="B17" s="26" t="n">
        <v>294296.1822920742</v>
      </c>
      <c r="C17" s="26" t="n">
        <v>520532.8545444135</v>
      </c>
      <c r="D17" s="26" t="n">
        <v>139909.2895583748</v>
      </c>
      <c r="E17" s="27" t="n">
        <v>954738.3263948625</v>
      </c>
      <c r="F17" s="28" t="n">
        <v>-86091.17057974091</v>
      </c>
      <c r="G17" s="28" t="n">
        <v>-21522.79264493523</v>
      </c>
      <c r="H17" s="29" t="n">
        <v>847124.3631701864</v>
      </c>
      <c r="I17" s="30" t="n">
        <v>88.72843372371658</v>
      </c>
      <c r="J17" s="28" t="n">
        <v>-437500</v>
      </c>
      <c r="K17" s="29" t="n">
        <v>409624.3631701864</v>
      </c>
      <c r="L17" s="28" t="n">
        <v>-53386.97135319005</v>
      </c>
      <c r="M17" s="29" t="n">
        <v>356237.3918169964</v>
      </c>
      <c r="N17" s="28" t="n">
        <v>-56997.98269071942</v>
      </c>
      <c r="O17" s="29" t="n">
        <v>299239.409126277</v>
      </c>
      <c r="P17" s="28" t="n">
        <v>-279489.5262867501</v>
      </c>
      <c r="Q17" s="28" t="n">
        <v>-332876.4976399401</v>
      </c>
      <c r="R17" s="31" t="n">
        <v>610293.3295997507</v>
      </c>
      <c r="S17" s="32" t="n">
        <v>2.544860839308904</v>
      </c>
      <c r="T17" s="28" t="n">
        <v>0</v>
      </c>
      <c r="U17" s="33" t="n">
        <v>790126.380479467</v>
      </c>
      <c r="V17" s="33" t="n">
        <v>457249.8828395269</v>
      </c>
      <c r="W17" s="33" t="n">
        <v>4176038.203013259</v>
      </c>
      <c r="X17" s="30" t="n">
        <v>28.49899134535971</v>
      </c>
      <c r="Y17" s="30" t="n">
        <v>9.830984716084473</v>
      </c>
      <c r="Z17" s="30" t="n">
        <v>43.54760788947875</v>
      </c>
    </row>
    <row r="18">
      <c r="A18" s="25" t="n">
        <v>9</v>
      </c>
      <c r="B18" s="26" t="n">
        <v>286938.7777347723</v>
      </c>
      <c r="C18" s="26" t="n">
        <v>507519.5331808031</v>
      </c>
      <c r="D18" s="26" t="n">
        <v>133001.26838643</v>
      </c>
      <c r="E18" s="27" t="n">
        <v>927459.5793020055</v>
      </c>
      <c r="F18" s="28" t="n">
        <v>-88673.90569713314</v>
      </c>
      <c r="G18" s="28" t="n">
        <v>-22168.47642428329</v>
      </c>
      <c r="H18" s="29" t="n">
        <v>816617.1971805891</v>
      </c>
      <c r="I18" s="30" t="n">
        <v>88.04881801912758</v>
      </c>
      <c r="J18" s="28" t="n">
        <v>-0</v>
      </c>
      <c r="K18" s="29" t="n">
        <v>816617.1971805891</v>
      </c>
      <c r="L18" s="28" t="n">
        <v>-36617.59977598504</v>
      </c>
      <c r="M18" s="29" t="n">
        <v>779999.5974046041</v>
      </c>
      <c r="N18" s="28" t="n">
        <v>-124799.9355847367</v>
      </c>
      <c r="O18" s="29" t="n">
        <v>655199.6618198674</v>
      </c>
      <c r="P18" s="28" t="n">
        <v>-296258.8978639551</v>
      </c>
      <c r="Q18" s="28" t="n">
        <v>-332876.4976399401</v>
      </c>
      <c r="R18" s="31" t="n">
        <v>314034.4317357956</v>
      </c>
      <c r="S18" s="32" t="n">
        <v>2.453213738339355</v>
      </c>
      <c r="T18" s="28" t="n">
        <v>0</v>
      </c>
      <c r="U18" s="33" t="n">
        <v>691817.2615958524</v>
      </c>
      <c r="V18" s="33" t="n">
        <v>358940.7639559123</v>
      </c>
      <c r="W18" s="33" t="n">
        <v>4534978.966969171</v>
      </c>
      <c r="X18" s="30" t="n">
        <v>62.39996779236833</v>
      </c>
      <c r="Y18" s="30" t="n">
        <v>19.59881273233414</v>
      </c>
      <c r="Z18" s="30" t="n">
        <v>34.18483466246784</v>
      </c>
    </row>
    <row r="19">
      <c r="A19" s="25" t="n">
        <v>10</v>
      </c>
      <c r="B19" s="26" t="n">
        <v>279765.308291403</v>
      </c>
      <c r="C19" s="26" t="n">
        <v>494831.544851283</v>
      </c>
      <c r="D19" s="26" t="n">
        <v>126351.2049671085</v>
      </c>
      <c r="E19" s="27" t="n">
        <v>900948.0581097945</v>
      </c>
      <c r="F19" s="28" t="n">
        <v>-91334.12286804714</v>
      </c>
      <c r="G19" s="28" t="n">
        <v>-22833.53071701178</v>
      </c>
      <c r="H19" s="29" t="n">
        <v>786780.4045247356</v>
      </c>
      <c r="I19" s="30" t="n">
        <v>87.3280537587722</v>
      </c>
      <c r="J19" s="28" t="n">
        <v>-0</v>
      </c>
      <c r="K19" s="29" t="n">
        <v>786780.4045247356</v>
      </c>
      <c r="L19" s="28" t="n">
        <v>-18842.06590414774</v>
      </c>
      <c r="M19" s="29" t="n">
        <v>767938.338620588</v>
      </c>
      <c r="N19" s="28" t="n">
        <v>-122870.1341792941</v>
      </c>
      <c r="O19" s="29" t="n">
        <v>645068.2044412938</v>
      </c>
      <c r="P19" s="28" t="n">
        <v>-314034.4317357924</v>
      </c>
      <c r="Q19" s="28" t="n">
        <v>-332876.4976399401</v>
      </c>
      <c r="R19" s="31" t="n">
        <v>3.259629011154175e-09</v>
      </c>
      <c r="S19" s="32" t="n">
        <v>2.363580517407889</v>
      </c>
      <c r="T19" s="28" t="n">
        <v>-350000</v>
      </c>
      <c r="U19" s="33" t="n">
        <v>313910.2703454415</v>
      </c>
      <c r="V19" s="33" t="n">
        <v>-18966.22729449859</v>
      </c>
      <c r="W19" s="33" t="n">
        <v>4516012.739674672</v>
      </c>
      <c r="X19" s="30" t="n">
        <v>61.43506708964703</v>
      </c>
      <c r="Y19" s="30" t="n">
        <v>18.88272970859365</v>
      </c>
      <c r="Z19" s="30" t="n">
        <v>-1.806307361380818</v>
      </c>
    </row>
    <row r="20">
      <c r="A20" s="25" t="n">
        <v>11</v>
      </c>
      <c r="B20" s="26" t="n">
        <v>272771.1755841179</v>
      </c>
      <c r="C20" s="26" t="n">
        <v>482460.7562300009</v>
      </c>
      <c r="D20" s="26" t="n">
        <v>119950.5189260116</v>
      </c>
      <c r="E20" s="27" t="n">
        <v>875182.4507401305</v>
      </c>
      <c r="F20" s="28" t="n">
        <v>-94074.14655408855</v>
      </c>
      <c r="G20" s="28" t="n">
        <v>-23518.53663852214</v>
      </c>
      <c r="H20" s="29" t="n">
        <v>757589.7675475198</v>
      </c>
      <c r="I20" s="30" t="n">
        <v>86.56363789137178</v>
      </c>
      <c r="J20" s="28" t="n">
        <v>-0</v>
      </c>
      <c r="K20" s="29" t="n">
        <v>757589.7675475198</v>
      </c>
      <c r="L20" s="28" t="n">
        <v>-0</v>
      </c>
      <c r="M20" s="29" t="n">
        <v>757589.7675475198</v>
      </c>
      <c r="N20" s="28" t="n">
        <v>-121214.3628076032</v>
      </c>
      <c r="O20" s="29" t="n">
        <v>636375.4047399166</v>
      </c>
      <c r="P20" s="28" t="n">
        <v>-0</v>
      </c>
      <c r="Q20" s="28" t="n">
        <v>0</v>
      </c>
      <c r="R20" s="31" t="n">
        <v>0</v>
      </c>
      <c r="S20" s="32" t="n">
        <v/>
      </c>
      <c r="T20" s="28" t="n">
        <v>0</v>
      </c>
      <c r="U20" s="33" t="n">
        <v>636375.4047399166</v>
      </c>
      <c r="V20" s="33" t="n">
        <v>636375.4047399166</v>
      </c>
      <c r="W20" s="33" t="n">
        <v>5152388.144414589</v>
      </c>
      <c r="X20" s="30" t="n">
        <v>60.60718140380158</v>
      </c>
      <c r="Y20" s="30" t="n">
        <v>18.18215442114047</v>
      </c>
      <c r="Z20" s="30" t="n">
        <v>60.60718140380158</v>
      </c>
    </row>
    <row r="21">
      <c r="A21" s="25" t="n">
        <v>12</v>
      </c>
      <c r="B21" s="26" t="n">
        <v>265951.8961945149</v>
      </c>
      <c r="C21" s="26" t="n">
        <v>470399.2373242509</v>
      </c>
      <c r="D21" s="26" t="n">
        <v>113790.897683865</v>
      </c>
      <c r="E21" s="27" t="n">
        <v>850142.031202631</v>
      </c>
      <c r="F21" s="28" t="n">
        <v>-96896.37095071122</v>
      </c>
      <c r="G21" s="28" t="n">
        <v>-24224.09273767781</v>
      </c>
      <c r="H21" s="29" t="n">
        <v>729021.5675142419</v>
      </c>
      <c r="I21" s="30" t="n">
        <v>85.7529143080893</v>
      </c>
      <c r="J21" s="28" t="n">
        <v>-0</v>
      </c>
      <c r="K21" s="29" t="n">
        <v>729021.5675142419</v>
      </c>
      <c r="L21" s="28" t="n">
        <v>-0</v>
      </c>
      <c r="M21" s="29" t="n">
        <v>729021.5675142419</v>
      </c>
      <c r="N21" s="28" t="n">
        <v>-116643.4508022787</v>
      </c>
      <c r="O21" s="29" t="n">
        <v>612378.1167119632</v>
      </c>
      <c r="P21" s="28" t="n">
        <v>-0</v>
      </c>
      <c r="Q21" s="28" t="n">
        <v>0</v>
      </c>
      <c r="R21" s="31" t="n">
        <v>0</v>
      </c>
      <c r="S21" s="32" t="n">
        <v/>
      </c>
      <c r="T21" s="28" t="n">
        <v>0</v>
      </c>
      <c r="U21" s="33" t="n">
        <v>612378.1167119632</v>
      </c>
      <c r="V21" s="33" t="n">
        <v>612378.1167119632</v>
      </c>
      <c r="W21" s="33" t="n">
        <v>5764766.261126552</v>
      </c>
      <c r="X21" s="30" t="n">
        <v>58.32172540113936</v>
      </c>
      <c r="Y21" s="30" t="n">
        <v>17.49651762034181</v>
      </c>
      <c r="Z21" s="30" t="n">
        <v>58.32172540113936</v>
      </c>
    </row>
    <row r="22">
      <c r="A22" s="25" t="n">
        <v>13</v>
      </c>
      <c r="B22" s="26" t="n">
        <v>259303.0987896521</v>
      </c>
      <c r="C22" s="26" t="n">
        <v>458639.2563911446</v>
      </c>
      <c r="D22" s="26" t="n">
        <v>107864.2884294971</v>
      </c>
      <c r="E22" s="27" t="n">
        <v>825806.6436102937</v>
      </c>
      <c r="F22" s="28" t="n">
        <v>-99803.26207923255</v>
      </c>
      <c r="G22" s="28" t="n">
        <v>-24950.81551980814</v>
      </c>
      <c r="H22" s="29" t="n">
        <v>701052.566011253</v>
      </c>
      <c r="I22" s="30" t="n">
        <v>84.89306442805595</v>
      </c>
      <c r="J22" s="28" t="n">
        <v>-0</v>
      </c>
      <c r="K22" s="29" t="n">
        <v>701052.566011253</v>
      </c>
      <c r="L22" s="28" t="n">
        <v>-0</v>
      </c>
      <c r="M22" s="29" t="n">
        <v>701052.566011253</v>
      </c>
      <c r="N22" s="28" t="n">
        <v>-112168.4105618005</v>
      </c>
      <c r="O22" s="29" t="n">
        <v>588884.1554494526</v>
      </c>
      <c r="P22" s="28" t="n">
        <v>-0</v>
      </c>
      <c r="Q22" s="28" t="n">
        <v>0</v>
      </c>
      <c r="R22" s="31" t="n">
        <v>0</v>
      </c>
      <c r="S22" s="32" t="n">
        <v/>
      </c>
      <c r="T22" s="28" t="n">
        <v>0</v>
      </c>
      <c r="U22" s="33" t="n">
        <v>588884.1554494526</v>
      </c>
      <c r="V22" s="33" t="n">
        <v>588884.1554494526</v>
      </c>
      <c r="W22" s="33" t="n">
        <v>6353650.416576005</v>
      </c>
      <c r="X22" s="30" t="n">
        <v>56.08420528090024</v>
      </c>
      <c r="Y22" s="30" t="n">
        <v>16.82526158427007</v>
      </c>
      <c r="Z22" s="30" t="n">
        <v>56.08420528090024</v>
      </c>
    </row>
    <row r="23">
      <c r="A23" s="25" t="n">
        <v>14</v>
      </c>
      <c r="B23" s="26" t="n">
        <v>252820.5213199108</v>
      </c>
      <c r="C23" s="26" t="n">
        <v>447173.274981366</v>
      </c>
      <c r="D23" s="26" t="n">
        <v>102162.8903267951</v>
      </c>
      <c r="E23" s="27" t="n">
        <v>802156.6866280718</v>
      </c>
      <c r="F23" s="28" t="n">
        <v>-102797.3599416095</v>
      </c>
      <c r="G23" s="28" t="n">
        <v>-25699.33998540238</v>
      </c>
      <c r="H23" s="29" t="n">
        <v>673659.9867010599</v>
      </c>
      <c r="I23" s="30" t="n">
        <v>83.98109720095236</v>
      </c>
      <c r="J23" s="28" t="n">
        <v>-0</v>
      </c>
      <c r="K23" s="29" t="n">
        <v>673659.9867010599</v>
      </c>
      <c r="L23" s="28" t="n">
        <v>-0</v>
      </c>
      <c r="M23" s="29" t="n">
        <v>673659.9867010599</v>
      </c>
      <c r="N23" s="28" t="n">
        <v>-107785.5978721696</v>
      </c>
      <c r="O23" s="29" t="n">
        <v>565874.3888288903</v>
      </c>
      <c r="P23" s="28" t="n">
        <v>-0</v>
      </c>
      <c r="Q23" s="28" t="n">
        <v>0</v>
      </c>
      <c r="R23" s="31" t="n">
        <v>0</v>
      </c>
      <c r="S23" s="32" t="n">
        <v/>
      </c>
      <c r="T23" s="28" t="n">
        <v>0</v>
      </c>
      <c r="U23" s="33" t="n">
        <v>565874.3888288903</v>
      </c>
      <c r="V23" s="33" t="n">
        <v>565874.3888288903</v>
      </c>
      <c r="W23" s="33" t="n">
        <v>6919524.805404895</v>
      </c>
      <c r="X23" s="30" t="n">
        <v>53.89279893608479</v>
      </c>
      <c r="Y23" s="30" t="n">
        <v>16.16783968082543</v>
      </c>
      <c r="Z23" s="30" t="n">
        <v>53.89279893608479</v>
      </c>
    </row>
    <row r="24">
      <c r="A24" s="25" t="n">
        <v>15</v>
      </c>
      <c r="B24" s="26" t="n">
        <v>246500.008286913</v>
      </c>
      <c r="C24" s="26" t="n">
        <v>435993.9431068319</v>
      </c>
      <c r="D24" s="26" t="n">
        <v>96679.14694895977</v>
      </c>
      <c r="E24" s="27" t="n">
        <v>779173.0983427047</v>
      </c>
      <c r="F24" s="28" t="n">
        <v>-105881.2807398578</v>
      </c>
      <c r="G24" s="28" t="n">
        <v>-26470.32018496446</v>
      </c>
      <c r="H24" s="29" t="n">
        <v>646821.4974178824</v>
      </c>
      <c r="I24" s="30" t="n">
        <v>83.01383849027474</v>
      </c>
      <c r="J24" s="28" t="n">
        <v>-0</v>
      </c>
      <c r="K24" s="29" t="n">
        <v>646821.4974178824</v>
      </c>
      <c r="L24" s="28" t="n">
        <v>-0</v>
      </c>
      <c r="M24" s="29" t="n">
        <v>646821.4974178824</v>
      </c>
      <c r="N24" s="28" t="n">
        <v>-103491.4395868612</v>
      </c>
      <c r="O24" s="29" t="n">
        <v>543330.0578310213</v>
      </c>
      <c r="P24" s="28" t="n">
        <v>-0</v>
      </c>
      <c r="Q24" s="28" t="n">
        <v>0</v>
      </c>
      <c r="R24" s="31" t="n">
        <v>0</v>
      </c>
      <c r="S24" s="32" t="n">
        <v/>
      </c>
      <c r="T24" s="28" t="n">
        <v>0</v>
      </c>
      <c r="U24" s="33" t="n">
        <v>543330.0578310213</v>
      </c>
      <c r="V24" s="33" t="n">
        <v>543330.0578310213</v>
      </c>
      <c r="W24" s="33" t="n">
        <v>7462854.863235916</v>
      </c>
      <c r="X24" s="30" t="n">
        <v>51.7457197934306</v>
      </c>
      <c r="Y24" s="30" t="n">
        <v>15.52371593802918</v>
      </c>
      <c r="Z24" s="30" t="n">
        <v>51.7457197934306</v>
      </c>
    </row>
    <row r="26">
      <c r="A26" s="4" t="inlineStr">
        <is>
          <t>Scenario description</t>
        </is>
      </c>
    </row>
    <row r="27" ht="80" customHeight="1">
      <c r="A27" s="18" t="inlineStr">
        <is>
          <t>Long-term steady state stress case (2030+). 2-3 GW BESS deployed Romania. Already at floor — no further compression. Used by lenders for late-life (Y8-Y15) DSCR projection.</t>
        </is>
      </c>
    </row>
  </sheetData>
  <mergeCells count="3">
    <mergeCell ref="A1:Z1"/>
    <mergeCell ref="A27:Z27"/>
    <mergeCell ref="A26:Z2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1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1" customWidth="1" min="19" max="19"/>
    <col width="14" customWidth="1" min="20" max="20"/>
    <col width="14" customWidth="1" min="21" max="21"/>
    <col width="14" customWidth="1" min="22" max="22"/>
    <col width="14" customWidth="1" min="23" max="23"/>
    <col width="11" customWidth="1" min="24" max="24"/>
    <col width="11" customWidth="1" min="25" max="25"/>
    <col width="11" customWidth="1" min="26" max="26"/>
  </cols>
  <sheetData>
    <row r="1" ht="28" customHeight="1">
      <c r="A1" s="19" t="inlineStr">
        <is>
          <t>D. Bear case (2% share, full saturation)  ← REALISTIC (operator drag applied)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  <c r="O1" s="20" t="n"/>
      <c r="P1" s="20" t="n"/>
      <c r="Q1" s="20" t="n"/>
      <c r="R1" s="20" t="n"/>
      <c r="S1" s="20" t="n"/>
      <c r="T1" s="20" t="n"/>
      <c r="U1" s="20" t="n"/>
      <c r="V1" s="20" t="n"/>
      <c r="W1" s="20" t="n"/>
      <c r="X1" s="20" t="n"/>
      <c r="Y1" s="20" t="n"/>
      <c r="Z1" s="21" t="n"/>
    </row>
    <row r="2">
      <c r="A2" s="22" t="inlineStr">
        <is>
          <t>Y1 revenue</t>
        </is>
      </c>
      <c r="B2" s="23" t="inlineStr">
        <is>
          <t>€649k</t>
        </is>
      </c>
      <c r="C2" s="22" t="inlineStr">
        <is>
          <t>Y1 EBITDA</t>
        </is>
      </c>
      <c r="D2" s="23" t="inlineStr">
        <is>
          <t>€562k</t>
        </is>
      </c>
      <c r="E2" s="22" t="inlineStr">
        <is>
          <t>Y1 EBITDA margin</t>
        </is>
      </c>
      <c r="F2" s="23" t="inlineStr">
        <is>
          <t>86.52%</t>
        </is>
      </c>
      <c r="G2" s="22" t="inlineStr">
        <is>
          <t>Y1 Net income</t>
        </is>
      </c>
      <c r="H2" s="23" t="inlineStr">
        <is>
          <t>€-23k</t>
        </is>
      </c>
    </row>
    <row r="3">
      <c r="A3" s="22" t="inlineStr">
        <is>
          <t>Y1 Equity FCF</t>
        </is>
      </c>
      <c r="B3" s="23" t="inlineStr">
        <is>
          <t>€229k</t>
        </is>
      </c>
      <c r="C3" s="22" t="inlineStr">
        <is>
          <t>Equity IRR</t>
        </is>
      </c>
      <c r="D3" s="23" t="inlineStr">
        <is>
          <t>7.21%</t>
        </is>
      </c>
      <c r="E3" s="22" t="inlineStr">
        <is>
          <t>Project IRR</t>
        </is>
      </c>
      <c r="F3" s="23" t="inlineStr">
        <is>
          <t>6.45%</t>
        </is>
      </c>
      <c r="G3" s="22" t="inlineStr">
        <is>
          <t>Equity MIRR</t>
        </is>
      </c>
      <c r="H3" s="23" t="inlineStr">
        <is>
          <t>7.48%</t>
        </is>
      </c>
    </row>
    <row r="4">
      <c r="A4" s="22" t="inlineStr">
        <is>
          <t>Equity payback</t>
        </is>
      </c>
      <c r="B4" s="23" t="inlineStr">
        <is>
          <t>12.0 yr</t>
        </is>
      </c>
      <c r="C4" s="22" t="inlineStr">
        <is>
          <t>Disc. payback @ 8%</t>
        </is>
      </c>
      <c r="D4" s="23" t="inlineStr">
        <is>
          <t>never</t>
        </is>
      </c>
      <c r="E4" s="22" t="inlineStr">
        <is>
          <t>MOIC</t>
        </is>
      </c>
      <c r="F4" s="23" t="inlineStr">
        <is>
          <t>2.28x</t>
        </is>
      </c>
      <c r="G4" s="22" t="inlineStr">
        <is>
          <t>Avg ROE</t>
        </is>
      </c>
      <c r="H4" s="23" t="inlineStr">
        <is>
          <t>9.29%</t>
        </is>
      </c>
    </row>
    <row r="5">
      <c r="A5" s="22" t="inlineStr">
        <is>
          <t>Equity NPV @ 8%</t>
        </is>
      </c>
      <c r="B5" s="23" t="inlineStr">
        <is>
          <t>€-50k</t>
        </is>
      </c>
      <c r="C5" s="22" t="inlineStr">
        <is>
          <t>Equity NPV @ 10%</t>
        </is>
      </c>
      <c r="D5" s="23" t="inlineStr">
        <is>
          <t>€-158k</t>
        </is>
      </c>
      <c r="E5" s="22" t="inlineStr">
        <is>
          <t>Project NPV @ 8%</t>
        </is>
      </c>
      <c r="F5" s="23" t="inlineStr">
        <is>
          <t>€-267k</t>
        </is>
      </c>
      <c r="G5" s="22" t="inlineStr">
        <is>
          <t>Project NPV @ 10%</t>
        </is>
      </c>
      <c r="H5" s="23" t="inlineStr">
        <is>
          <t>€-563k</t>
        </is>
      </c>
    </row>
    <row r="6">
      <c r="A6" s="22" t="inlineStr">
        <is>
          <t>Min DSCR</t>
        </is>
      </c>
      <c r="B6" s="23" t="inlineStr">
        <is>
          <t>1.11x</t>
        </is>
      </c>
      <c r="C6" s="22" t="inlineStr">
        <is>
          <t>Avg DSCR</t>
        </is>
      </c>
      <c r="D6" s="23" t="inlineStr">
        <is>
          <t>nanx</t>
        </is>
      </c>
      <c r="E6" s="22" t="inlineStr">
        <is>
          <t>LLCR</t>
        </is>
      </c>
      <c r="F6" s="23" t="inlineStr">
        <is>
          <t>1.21x</t>
        </is>
      </c>
      <c r="G6" s="22" t="inlineStr">
        <is>
          <t>PLCR</t>
        </is>
      </c>
      <c r="H6" s="23" t="inlineStr">
        <is>
          <t>1.46x</t>
        </is>
      </c>
    </row>
    <row r="7"/>
    <row r="8"/>
    <row r="9" ht="42" customHeight="1">
      <c r="A9" s="24" t="inlineStr">
        <is>
          <t>Year</t>
        </is>
      </c>
      <c r="B9" s="24" t="inlineStr">
        <is>
          <t>aFRR capacity (€)</t>
        </is>
      </c>
      <c r="C9" s="24" t="inlineStr">
        <is>
          <t>aFRR activation (€)</t>
        </is>
      </c>
      <c r="D9" s="24" t="inlineStr">
        <is>
          <t>PZU arbitrage (€)</t>
        </is>
      </c>
      <c r="E9" s="24" t="inlineStr">
        <is>
          <t>Total revenue (€)</t>
        </is>
      </c>
      <c r="F9" s="24" t="inlineStr">
        <is>
          <t>OPEX (€)</t>
        </is>
      </c>
      <c r="G9" s="24" t="inlineStr">
        <is>
          <t>Insurance (€)</t>
        </is>
      </c>
      <c r="H9" s="24" t="inlineStr">
        <is>
          <t>EBITDA (€)</t>
        </is>
      </c>
      <c r="I9" s="24" t="inlineStr">
        <is>
          <t>EBITDA margin (%)</t>
        </is>
      </c>
      <c r="J9" s="24" t="inlineStr">
        <is>
          <t>Depreciation (€)</t>
        </is>
      </c>
      <c r="K9" s="24" t="inlineStr">
        <is>
          <t>EBIT (€)</t>
        </is>
      </c>
      <c r="L9" s="24" t="inlineStr">
        <is>
          <t>Interest expense (€)</t>
        </is>
      </c>
      <c r="M9" s="24" t="inlineStr">
        <is>
          <t>EBT (€)</t>
        </is>
      </c>
      <c r="N9" s="24" t="inlineStr">
        <is>
          <t>Tax (€)</t>
        </is>
      </c>
      <c r="O9" s="24" t="inlineStr">
        <is>
          <t>Net income (€)</t>
        </is>
      </c>
      <c r="P9" s="24" t="inlineStr">
        <is>
          <t>Principal payment (€)</t>
        </is>
      </c>
      <c r="Q9" s="24" t="inlineStr">
        <is>
          <t>Debt service total (€)</t>
        </is>
      </c>
      <c r="R9" s="24" t="inlineStr">
        <is>
          <t>Debt outstanding YE (€)</t>
        </is>
      </c>
      <c r="S9" s="24" t="inlineStr">
        <is>
          <t>DSCR</t>
        </is>
      </c>
      <c r="T9" s="24" t="inlineStr">
        <is>
          <t>Augmentation (€)</t>
        </is>
      </c>
      <c r="U9" s="24" t="inlineStr">
        <is>
          <t>Project FCF (€)</t>
        </is>
      </c>
      <c r="V9" s="24" t="inlineStr">
        <is>
          <t>Equity FCF (€)</t>
        </is>
      </c>
      <c r="W9" s="24" t="inlineStr">
        <is>
          <t>Cumulative equity FCF (€)</t>
        </is>
      </c>
      <c r="X9" s="24" t="inlineStr">
        <is>
          <t>ROE (%)</t>
        </is>
      </c>
      <c r="Y9" s="24" t="inlineStr">
        <is>
          <t>ROIC (%)</t>
        </is>
      </c>
      <c r="Z9" s="24" t="inlineStr">
        <is>
          <t>Cash-on-cash yield (%)</t>
        </is>
      </c>
    </row>
    <row r="10">
      <c r="A10" s="25" t="n">
        <v>1</v>
      </c>
      <c r="B10" s="26" t="n">
        <v>326764.8</v>
      </c>
      <c r="C10" s="26" t="n">
        <v>155365.95</v>
      </c>
      <c r="D10" s="26" t="n">
        <v>167037.6</v>
      </c>
      <c r="E10" s="27" t="n">
        <v>649168.35</v>
      </c>
      <c r="F10" s="28" t="n">
        <v>-70000</v>
      </c>
      <c r="G10" s="28" t="n">
        <v>-17500</v>
      </c>
      <c r="H10" s="29" t="n">
        <v>561668.35</v>
      </c>
      <c r="I10" s="30" t="n">
        <v>86.52121595268777</v>
      </c>
      <c r="J10" s="28" t="n">
        <v>-437500</v>
      </c>
      <c r="K10" s="29" t="n">
        <v>124168.35</v>
      </c>
      <c r="L10" s="28" t="n">
        <v>-147000</v>
      </c>
      <c r="M10" s="29" t="n">
        <v>-22831.65000000002</v>
      </c>
      <c r="N10" s="28" t="n">
        <v>-0</v>
      </c>
      <c r="O10" s="29" t="n">
        <v>-22831.65000000002</v>
      </c>
      <c r="P10" s="28" t="n">
        <v>-185876.4976399401</v>
      </c>
      <c r="Q10" s="28" t="n">
        <v>-332876.4976399401</v>
      </c>
      <c r="R10" s="31" t="n">
        <v>2264123.50236006</v>
      </c>
      <c r="S10" s="32" t="n">
        <v>1.687317530622229</v>
      </c>
      <c r="T10" s="28" t="n">
        <v>0</v>
      </c>
      <c r="U10" s="33" t="n">
        <v>561668.35</v>
      </c>
      <c r="V10" s="33" t="n">
        <v>228791.8523600599</v>
      </c>
      <c r="W10" s="33" t="n">
        <v>228791.8523600599</v>
      </c>
      <c r="X10" s="30" t="n">
        <v>-2.174442857142859</v>
      </c>
      <c r="Y10" s="30" t="n">
        <v>2.980040399999999</v>
      </c>
      <c r="Z10" s="30" t="n">
        <v>21.78970022476761</v>
      </c>
    </row>
    <row r="11">
      <c r="A11" s="25" t="n">
        <v>2</v>
      </c>
      <c r="B11" s="26" t="n">
        <v>318595.68</v>
      </c>
      <c r="C11" s="26" t="n">
        <v>151481.80125</v>
      </c>
      <c r="D11" s="26" t="n">
        <v>157975.8102</v>
      </c>
      <c r="E11" s="27" t="n">
        <v>628053.2914499999</v>
      </c>
      <c r="F11" s="28" t="n">
        <v>-72100</v>
      </c>
      <c r="G11" s="28" t="n">
        <v>-18025</v>
      </c>
      <c r="H11" s="29" t="n">
        <v>537928.2914499999</v>
      </c>
      <c r="I11" s="30" t="n">
        <v>85.65010306817651</v>
      </c>
      <c r="J11" s="28" t="n">
        <v>-437500</v>
      </c>
      <c r="K11" s="29" t="n">
        <v>100428.2914499999</v>
      </c>
      <c r="L11" s="28" t="n">
        <v>-135847.4101416036</v>
      </c>
      <c r="M11" s="29" t="n">
        <v>-35419.11869160368</v>
      </c>
      <c r="N11" s="28" t="n">
        <v>-0</v>
      </c>
      <c r="O11" s="29" t="n">
        <v>-35419.11869160368</v>
      </c>
      <c r="P11" s="28" t="n">
        <v>-197029.0874983365</v>
      </c>
      <c r="Q11" s="28" t="n">
        <v>-332876.4976399401</v>
      </c>
      <c r="R11" s="31" t="n">
        <v>2067094.414861723</v>
      </c>
      <c r="S11" s="32" t="n">
        <v>1.615999613261542</v>
      </c>
      <c r="T11" s="28" t="n">
        <v>0</v>
      </c>
      <c r="U11" s="33" t="n">
        <v>537928.2914499999</v>
      </c>
      <c r="V11" s="33" t="n">
        <v>205051.7938100598</v>
      </c>
      <c r="W11" s="33" t="n">
        <v>433843.6461701196</v>
      </c>
      <c r="X11" s="30" t="n">
        <v>-3.373249399200351</v>
      </c>
      <c r="Y11" s="30" t="n">
        <v>2.410278994799997</v>
      </c>
      <c r="Z11" s="30" t="n">
        <v>19.52874226762474</v>
      </c>
    </row>
    <row r="12">
      <c r="A12" s="25" t="n">
        <v>3</v>
      </c>
      <c r="B12" s="26" t="n">
        <v>310630.788</v>
      </c>
      <c r="C12" s="26" t="n">
        <v>147694.75621875</v>
      </c>
      <c r="D12" s="26" t="n">
        <v>149262.71139</v>
      </c>
      <c r="E12" s="27" t="n">
        <v>607588.2556087499</v>
      </c>
      <c r="F12" s="28" t="n">
        <v>-74263</v>
      </c>
      <c r="G12" s="28" t="n">
        <v>-18565.75</v>
      </c>
      <c r="H12" s="29" t="n">
        <v>514759.5056087499</v>
      </c>
      <c r="I12" s="30" t="n">
        <v>84.72176689672946</v>
      </c>
      <c r="J12" s="28" t="n">
        <v>-437500</v>
      </c>
      <c r="K12" s="29" t="n">
        <v>77259.50560874993</v>
      </c>
      <c r="L12" s="28" t="n">
        <v>-124025.6648917034</v>
      </c>
      <c r="M12" s="29" t="n">
        <v>-46766.15928295346</v>
      </c>
      <c r="N12" s="28" t="n">
        <v>-0</v>
      </c>
      <c r="O12" s="29" t="n">
        <v>-46766.15928295346</v>
      </c>
      <c r="P12" s="28" t="n">
        <v>-208850.8327482367</v>
      </c>
      <c r="Q12" s="28" t="n">
        <v>-332876.4976399401</v>
      </c>
      <c r="R12" s="31" t="n">
        <v>1858243.582113487</v>
      </c>
      <c r="S12" s="32" t="n">
        <v>1.546397866050446</v>
      </c>
      <c r="T12" s="28" t="n">
        <v>0</v>
      </c>
      <c r="U12" s="33" t="n">
        <v>514759.5056087499</v>
      </c>
      <c r="V12" s="33" t="n">
        <v>181883.0079688098</v>
      </c>
      <c r="W12" s="33" t="n">
        <v>615726.6541389294</v>
      </c>
      <c r="X12" s="30" t="n">
        <v>-4.453919931709853</v>
      </c>
      <c r="Y12" s="30" t="n">
        <v>1.854228134609998</v>
      </c>
      <c r="Z12" s="30" t="n">
        <v>17.32219123512474</v>
      </c>
    </row>
    <row r="13">
      <c r="A13" s="25" t="n">
        <v>4</v>
      </c>
      <c r="B13" s="26" t="n">
        <v>302865.0183</v>
      </c>
      <c r="C13" s="26" t="n">
        <v>144002.3873132812</v>
      </c>
      <c r="D13" s="26" t="n">
        <v>140886.532639125</v>
      </c>
      <c r="E13" s="27" t="n">
        <v>587753.9382524062</v>
      </c>
      <c r="F13" s="28" t="n">
        <v>-76490.89</v>
      </c>
      <c r="G13" s="28" t="n">
        <v>-19122.7225</v>
      </c>
      <c r="H13" s="29" t="n">
        <v>492140.3257524062</v>
      </c>
      <c r="I13" s="30" t="n">
        <v>83.73237399577584</v>
      </c>
      <c r="J13" s="28" t="n">
        <v>-437500</v>
      </c>
      <c r="K13" s="29" t="n">
        <v>54640.32575240621</v>
      </c>
      <c r="L13" s="28" t="n">
        <v>-111494.6149268092</v>
      </c>
      <c r="M13" s="29" t="n">
        <v>-56854.28917440299</v>
      </c>
      <c r="N13" s="28" t="n">
        <v>-0</v>
      </c>
      <c r="O13" s="29" t="n">
        <v>-56854.28917440299</v>
      </c>
      <c r="P13" s="28" t="n">
        <v>-221381.8827131309</v>
      </c>
      <c r="Q13" s="28" t="n">
        <v>-332876.4976399401</v>
      </c>
      <c r="R13" s="31" t="n">
        <v>1636861.699400356</v>
      </c>
      <c r="S13" s="32" t="n">
        <v>1.478447199611959</v>
      </c>
      <c r="T13" s="28" t="n">
        <v>0</v>
      </c>
      <c r="U13" s="33" t="n">
        <v>492140.3257524062</v>
      </c>
      <c r="V13" s="33" t="n">
        <v>159263.8281124661</v>
      </c>
      <c r="W13" s="33" t="n">
        <v>774990.4822513955</v>
      </c>
      <c r="X13" s="30" t="n">
        <v>-5.414694207086</v>
      </c>
      <c r="Y13" s="30" t="n">
        <v>1.311367818057749</v>
      </c>
      <c r="Z13" s="30" t="n">
        <v>15.16798362975867</v>
      </c>
    </row>
    <row r="14">
      <c r="A14" s="25" t="n">
        <v>5</v>
      </c>
      <c r="B14" s="26" t="n">
        <v>295293.3928425</v>
      </c>
      <c r="C14" s="26" t="n">
        <v>140402.3276304492</v>
      </c>
      <c r="D14" s="26" t="n">
        <v>132835.873631175</v>
      </c>
      <c r="E14" s="27" t="n">
        <v>568531.5941041242</v>
      </c>
      <c r="F14" s="28" t="n">
        <v>-78785.61670000001</v>
      </c>
      <c r="G14" s="28" t="n">
        <v>-19696.404175</v>
      </c>
      <c r="H14" s="29" t="n">
        <v>470049.5732291242</v>
      </c>
      <c r="I14" s="30" t="n">
        <v>82.67782795251948</v>
      </c>
      <c r="J14" s="28" t="n">
        <v>-437500</v>
      </c>
      <c r="K14" s="29" t="n">
        <v>32549.57322912419</v>
      </c>
      <c r="L14" s="28" t="n">
        <v>-98211.70196402134</v>
      </c>
      <c r="M14" s="29" t="n">
        <v>-65662.12873489715</v>
      </c>
      <c r="N14" s="28" t="n">
        <v>-0</v>
      </c>
      <c r="O14" s="29" t="n">
        <v>-65662.12873489715</v>
      </c>
      <c r="P14" s="28" t="n">
        <v>-234664.7956759188</v>
      </c>
      <c r="Q14" s="28" t="n">
        <v>-332876.4976399401</v>
      </c>
      <c r="R14" s="31" t="n">
        <v>1402196.903724437</v>
      </c>
      <c r="S14" s="32" t="n">
        <v>1.412083990794565</v>
      </c>
      <c r="T14" s="28" t="n">
        <v>-350000</v>
      </c>
      <c r="U14" s="33" t="n">
        <v>120049.5732291242</v>
      </c>
      <c r="V14" s="33" t="n">
        <v>-212826.9244108159</v>
      </c>
      <c r="W14" s="33" t="n">
        <v>562163.5578405795</v>
      </c>
      <c r="X14" s="30" t="n">
        <v>-6.253536069990205</v>
      </c>
      <c r="Y14" s="30" t="n">
        <v>0.7811897574989805</v>
      </c>
      <c r="Z14" s="30" t="n">
        <v>-20.26923089626818</v>
      </c>
    </row>
    <row r="15">
      <c r="A15" s="25" t="n">
        <v>6</v>
      </c>
      <c r="B15" s="26" t="n">
        <v>287911.0580214375</v>
      </c>
      <c r="C15" s="26" t="n">
        <v>136892.269439688</v>
      </c>
      <c r="D15" s="26" t="n">
        <v>125099.693490723</v>
      </c>
      <c r="E15" s="27" t="n">
        <v>549903.0209518485</v>
      </c>
      <c r="F15" s="28" t="n">
        <v>-81149.185201</v>
      </c>
      <c r="G15" s="28" t="n">
        <v>-20287.29630025</v>
      </c>
      <c r="H15" s="29" t="n">
        <v>448466.5394505985</v>
      </c>
      <c r="I15" s="30" t="n">
        <v>81.55375081852257</v>
      </c>
      <c r="J15" s="28" t="n">
        <v>-437500</v>
      </c>
      <c r="K15" s="29" t="n">
        <v>10966.53945059847</v>
      </c>
      <c r="L15" s="28" t="n">
        <v>-84131.81422346622</v>
      </c>
      <c r="M15" s="29" t="n">
        <v>-73165.27477286775</v>
      </c>
      <c r="N15" s="28" t="n">
        <v>-0</v>
      </c>
      <c r="O15" s="29" t="n">
        <v>-73165.27477286775</v>
      </c>
      <c r="P15" s="28" t="n">
        <v>-248744.6834164739</v>
      </c>
      <c r="Q15" s="28" t="n">
        <v>-332876.4976399401</v>
      </c>
      <c r="R15" s="31" t="n">
        <v>1153452.220307963</v>
      </c>
      <c r="S15" s="32" t="n">
        <v>1.347246028572698</v>
      </c>
      <c r="T15" s="28" t="n">
        <v>0</v>
      </c>
      <c r="U15" s="33" t="n">
        <v>448466.5394505985</v>
      </c>
      <c r="V15" s="33" t="n">
        <v>115590.0418106584</v>
      </c>
      <c r="W15" s="33" t="n">
        <v>677753.5996512379</v>
      </c>
      <c r="X15" s="30" t="n">
        <v>-6.968121406939785</v>
      </c>
      <c r="Y15" s="30" t="n">
        <v>0.2631969468143633</v>
      </c>
      <c r="Z15" s="30" t="n">
        <v>11.00857541053889</v>
      </c>
    </row>
    <row r="16">
      <c r="A16" s="25" t="n">
        <v>7</v>
      </c>
      <c r="B16" s="26" t="n">
        <v>280713.2815709016</v>
      </c>
      <c r="C16" s="26" t="n">
        <v>133469.9627036958</v>
      </c>
      <c r="D16" s="26" t="n">
        <v>117667.2999362742</v>
      </c>
      <c r="E16" s="27" t="n">
        <v>531850.5442108714</v>
      </c>
      <c r="F16" s="28" t="n">
        <v>-83583.66075703001</v>
      </c>
      <c r="G16" s="28" t="n">
        <v>-20895.9151892575</v>
      </c>
      <c r="H16" s="29" t="n">
        <v>427370.968264584</v>
      </c>
      <c r="I16" s="30" t="n">
        <v>80.35546318725534</v>
      </c>
      <c r="J16" s="28" t="n">
        <v>-437500</v>
      </c>
      <c r="K16" s="29" t="n">
        <v>-10129.03173541604</v>
      </c>
      <c r="L16" s="28" t="n">
        <v>-69207.13321847779</v>
      </c>
      <c r="M16" s="29" t="n">
        <v>-79336.16495389382</v>
      </c>
      <c r="N16" s="28" t="n">
        <v>-0</v>
      </c>
      <c r="O16" s="29" t="n">
        <v>-79336.16495389382</v>
      </c>
      <c r="P16" s="28" t="n">
        <v>-263669.3644214623</v>
      </c>
      <c r="Q16" s="28" t="n">
        <v>-332876.4976399401</v>
      </c>
      <c r="R16" s="31" t="n">
        <v>889782.8558865008</v>
      </c>
      <c r="S16" s="32" t="n">
        <v>1.283872461091726</v>
      </c>
      <c r="T16" s="28" t="n">
        <v>0</v>
      </c>
      <c r="U16" s="33" t="n">
        <v>427370.968264584</v>
      </c>
      <c r="V16" s="33" t="n">
        <v>94494.47062464384</v>
      </c>
      <c r="W16" s="33" t="n">
        <v>772248.0702758818</v>
      </c>
      <c r="X16" s="30" t="n">
        <v>-7.555825233704174</v>
      </c>
      <c r="Y16" s="30" t="n">
        <v>-0.2430967616499849</v>
      </c>
      <c r="Z16" s="30" t="n">
        <v>8.999473392823223</v>
      </c>
    </row>
    <row r="17">
      <c r="A17" s="25" t="n">
        <v>8</v>
      </c>
      <c r="B17" s="26" t="n">
        <v>273695.449531629</v>
      </c>
      <c r="C17" s="26" t="n">
        <v>130133.2136361034</v>
      </c>
      <c r="D17" s="26" t="n">
        <v>111927.4316466999</v>
      </c>
      <c r="E17" s="27" t="n">
        <v>515756.0948144323</v>
      </c>
      <c r="F17" s="28" t="n">
        <v>-86091.17057974091</v>
      </c>
      <c r="G17" s="28" t="n">
        <v>-21522.79264493523</v>
      </c>
      <c r="H17" s="29" t="n">
        <v>408142.1315897561</v>
      </c>
      <c r="I17" s="30" t="n">
        <v>79.13471807572233</v>
      </c>
      <c r="J17" s="28" t="n">
        <v>-437500</v>
      </c>
      <c r="K17" s="29" t="n">
        <v>-29357.86841024389</v>
      </c>
      <c r="L17" s="28" t="n">
        <v>-53386.97135319005</v>
      </c>
      <c r="M17" s="29" t="n">
        <v>-82744.83976343393</v>
      </c>
      <c r="N17" s="28" t="n">
        <v>-0</v>
      </c>
      <c r="O17" s="29" t="n">
        <v>-82744.83976343393</v>
      </c>
      <c r="P17" s="28" t="n">
        <v>-279489.5262867501</v>
      </c>
      <c r="Q17" s="28" t="n">
        <v>-332876.4976399401</v>
      </c>
      <c r="R17" s="31" t="n">
        <v>610293.3295997507</v>
      </c>
      <c r="S17" s="32" t="n">
        <v>1.226106782796147</v>
      </c>
      <c r="T17" s="28" t="n">
        <v>0</v>
      </c>
      <c r="U17" s="33" t="n">
        <v>408142.1315897561</v>
      </c>
      <c r="V17" s="33" t="n">
        <v>75265.63394981599</v>
      </c>
      <c r="W17" s="33" t="n">
        <v>847513.7042256978</v>
      </c>
      <c r="X17" s="30" t="n">
        <v>-7.880460929850851</v>
      </c>
      <c r="Y17" s="30" t="n">
        <v>-0.7045888418458532</v>
      </c>
      <c r="Z17" s="30" t="n">
        <v>7.168155614268191</v>
      </c>
    </row>
    <row r="18">
      <c r="A18" s="25" t="n">
        <v>9</v>
      </c>
      <c r="B18" s="26" t="n">
        <v>266853.0632933382</v>
      </c>
      <c r="C18" s="26" t="n">
        <v>126879.8832952008</v>
      </c>
      <c r="D18" s="26" t="n">
        <v>106401.014709144</v>
      </c>
      <c r="E18" s="27" t="n">
        <v>500133.9612976831</v>
      </c>
      <c r="F18" s="28" t="n">
        <v>-88673.90569713314</v>
      </c>
      <c r="G18" s="28" t="n">
        <v>-22168.47642428329</v>
      </c>
      <c r="H18" s="29" t="n">
        <v>389291.5791762666</v>
      </c>
      <c r="I18" s="30" t="n">
        <v>77.83746142057282</v>
      </c>
      <c r="J18" s="28" t="n">
        <v>-0</v>
      </c>
      <c r="K18" s="29" t="n">
        <v>389291.5791762666</v>
      </c>
      <c r="L18" s="28" t="n">
        <v>-36617.59977598504</v>
      </c>
      <c r="M18" s="29" t="n">
        <v>352673.9794002816</v>
      </c>
      <c r="N18" s="28" t="n">
        <v>-56427.83670404505</v>
      </c>
      <c r="O18" s="29" t="n">
        <v>296246.1426962365</v>
      </c>
      <c r="P18" s="28" t="n">
        <v>-296258.8978639551</v>
      </c>
      <c r="Q18" s="28" t="n">
        <v>-332876.4976399401</v>
      </c>
      <c r="R18" s="31" t="n">
        <v>314034.4317357956</v>
      </c>
      <c r="S18" s="34" t="n">
        <v>1.169477514742866</v>
      </c>
      <c r="T18" s="28" t="n">
        <v>0</v>
      </c>
      <c r="U18" s="33" t="n">
        <v>332863.7424722216</v>
      </c>
      <c r="V18" s="33" t="n">
        <v>-12.75516771856928</v>
      </c>
      <c r="W18" s="33" t="n">
        <v>847500.9490579793</v>
      </c>
      <c r="X18" s="30" t="n">
        <v>28.21391835202252</v>
      </c>
      <c r="Y18" s="30" t="n">
        <v>9.342997900230399</v>
      </c>
      <c r="Z18" s="30" t="n">
        <v>-0.001214777877958979</v>
      </c>
    </row>
    <row r="19">
      <c r="A19" s="25" t="n">
        <v>10</v>
      </c>
      <c r="B19" s="26" t="n">
        <v>260181.7367110048</v>
      </c>
      <c r="C19" s="26" t="n">
        <v>123707.8862128208</v>
      </c>
      <c r="D19" s="26" t="n">
        <v>101080.9639736868</v>
      </c>
      <c r="E19" s="27" t="n">
        <v>484970.5868975124</v>
      </c>
      <c r="F19" s="28" t="n">
        <v>-91334.12286804714</v>
      </c>
      <c r="G19" s="28" t="n">
        <v>-22833.53071701178</v>
      </c>
      <c r="H19" s="29" t="n">
        <v>370802.9333124535</v>
      </c>
      <c r="I19" s="30" t="n">
        <v>76.45884994481415</v>
      </c>
      <c r="J19" s="28" t="n">
        <v>-0</v>
      </c>
      <c r="K19" s="29" t="n">
        <v>370802.9333124535</v>
      </c>
      <c r="L19" s="28" t="n">
        <v>-18842.06590414774</v>
      </c>
      <c r="M19" s="29" t="n">
        <v>351960.8674083058</v>
      </c>
      <c r="N19" s="28" t="n">
        <v>-56313.73878532893</v>
      </c>
      <c r="O19" s="29" t="n">
        <v>295647.1286229768</v>
      </c>
      <c r="P19" s="28" t="n">
        <v>-314034.4317357924</v>
      </c>
      <c r="Q19" s="28" t="n">
        <v>-332876.4976399401</v>
      </c>
      <c r="R19" s="31" t="n">
        <v>3.259629011154175e-09</v>
      </c>
      <c r="S19" s="34" t="n">
        <v>1.113935456367175</v>
      </c>
      <c r="T19" s="28" t="n">
        <v>-350000</v>
      </c>
      <c r="U19" s="33" t="n">
        <v>-35510.80547287542</v>
      </c>
      <c r="V19" s="33" t="n">
        <v>-368387.3031128155</v>
      </c>
      <c r="W19" s="33" t="n">
        <v>479113.6459451637</v>
      </c>
      <c r="X19" s="30" t="n">
        <v>28.15686939266446</v>
      </c>
      <c r="Y19" s="30" t="n">
        <v>8.899270399498883</v>
      </c>
      <c r="Z19" s="30" t="n">
        <v>-35.08450505836338</v>
      </c>
    </row>
    <row r="20">
      <c r="A20" s="25" t="n">
        <v>11</v>
      </c>
      <c r="B20" s="26" t="n">
        <v>253677.1932932297</v>
      </c>
      <c r="C20" s="26" t="n">
        <v>120615.1890575002</v>
      </c>
      <c r="D20" s="26" t="n">
        <v>95960.41514080927</v>
      </c>
      <c r="E20" s="27" t="n">
        <v>470252.7974915392</v>
      </c>
      <c r="F20" s="28" t="n">
        <v>-94074.14655408855</v>
      </c>
      <c r="G20" s="28" t="n">
        <v>-23518.53663852214</v>
      </c>
      <c r="H20" s="29" t="n">
        <v>352660.1142989285</v>
      </c>
      <c r="I20" s="30" t="n">
        <v>74.99373021917506</v>
      </c>
      <c r="J20" s="28" t="n">
        <v>-0</v>
      </c>
      <c r="K20" s="29" t="n">
        <v>352660.1142989285</v>
      </c>
      <c r="L20" s="28" t="n">
        <v>-0</v>
      </c>
      <c r="M20" s="29" t="n">
        <v>352660.1142989285</v>
      </c>
      <c r="N20" s="28" t="n">
        <v>-56425.61828782857</v>
      </c>
      <c r="O20" s="29" t="n">
        <v>296234.4960111</v>
      </c>
      <c r="P20" s="28" t="n">
        <v>-0</v>
      </c>
      <c r="Q20" s="28" t="n">
        <v>0</v>
      </c>
      <c r="R20" s="31" t="n">
        <v>0</v>
      </c>
      <c r="S20" s="32" t="n">
        <v/>
      </c>
      <c r="T20" s="28" t="n">
        <v>0</v>
      </c>
      <c r="U20" s="33" t="n">
        <v>296234.4960111</v>
      </c>
      <c r="V20" s="33" t="n">
        <v>296234.4960111</v>
      </c>
      <c r="W20" s="33" t="n">
        <v>775348.1419562637</v>
      </c>
      <c r="X20" s="30" t="n">
        <v>28.21280914391428</v>
      </c>
      <c r="Y20" s="30" t="n">
        <v>8.463842743174284</v>
      </c>
      <c r="Z20" s="30" t="n">
        <v>28.21280914391428</v>
      </c>
    </row>
    <row r="21">
      <c r="A21" s="25" t="n">
        <v>12</v>
      </c>
      <c r="B21" s="26" t="n">
        <v>247335.2634608989</v>
      </c>
      <c r="C21" s="26" t="n">
        <v>117599.8093310627</v>
      </c>
      <c r="D21" s="26" t="n">
        <v>91032.71814709203</v>
      </c>
      <c r="E21" s="27" t="n">
        <v>455967.7909390536</v>
      </c>
      <c r="F21" s="28" t="n">
        <v>-96896.37095071122</v>
      </c>
      <c r="G21" s="28" t="n">
        <v>-24224.09273767781</v>
      </c>
      <c r="H21" s="29" t="n">
        <v>334847.3272506646</v>
      </c>
      <c r="I21" s="30" t="n">
        <v>73.43661852979909</v>
      </c>
      <c r="J21" s="28" t="n">
        <v>-0</v>
      </c>
      <c r="K21" s="29" t="n">
        <v>334847.3272506646</v>
      </c>
      <c r="L21" s="28" t="n">
        <v>-0</v>
      </c>
      <c r="M21" s="29" t="n">
        <v>334847.3272506646</v>
      </c>
      <c r="N21" s="28" t="n">
        <v>-53575.57236010634</v>
      </c>
      <c r="O21" s="29" t="n">
        <v>281271.7548905583</v>
      </c>
      <c r="P21" s="28" t="n">
        <v>-0</v>
      </c>
      <c r="Q21" s="28" t="n">
        <v>0</v>
      </c>
      <c r="R21" s="31" t="n">
        <v>0</v>
      </c>
      <c r="S21" s="32" t="n">
        <v/>
      </c>
      <c r="T21" s="28" t="n">
        <v>0</v>
      </c>
      <c r="U21" s="33" t="n">
        <v>281271.7548905583</v>
      </c>
      <c r="V21" s="33" t="n">
        <v>281271.7548905583</v>
      </c>
      <c r="W21" s="33" t="n">
        <v>1056619.896846822</v>
      </c>
      <c r="X21" s="30" t="n">
        <v>26.78778618005317</v>
      </c>
      <c r="Y21" s="30" t="n">
        <v>8.036335854015951</v>
      </c>
      <c r="Z21" s="30" t="n">
        <v>26.78778618005317</v>
      </c>
    </row>
    <row r="22">
      <c r="A22" s="25" t="n">
        <v>13</v>
      </c>
      <c r="B22" s="26" t="n">
        <v>241151.8818743764</v>
      </c>
      <c r="C22" s="26" t="n">
        <v>114659.8140977861</v>
      </c>
      <c r="D22" s="26" t="n">
        <v>86291.43074359765</v>
      </c>
      <c r="E22" s="27" t="n">
        <v>442103.1267157602</v>
      </c>
      <c r="F22" s="28" t="n">
        <v>-99803.26207923255</v>
      </c>
      <c r="G22" s="28" t="n">
        <v>-24950.81551980814</v>
      </c>
      <c r="H22" s="29" t="n">
        <v>317349.0491167195</v>
      </c>
      <c r="I22" s="30" t="n">
        <v>71.78167941814888</v>
      </c>
      <c r="J22" s="28" t="n">
        <v>-0</v>
      </c>
      <c r="K22" s="29" t="n">
        <v>317349.0491167195</v>
      </c>
      <c r="L22" s="28" t="n">
        <v>-0</v>
      </c>
      <c r="M22" s="29" t="n">
        <v>317349.0491167195</v>
      </c>
      <c r="N22" s="28" t="n">
        <v>-50775.84785867512</v>
      </c>
      <c r="O22" s="29" t="n">
        <v>266573.2012580444</v>
      </c>
      <c r="P22" s="28" t="n">
        <v>-0</v>
      </c>
      <c r="Q22" s="28" t="n">
        <v>0</v>
      </c>
      <c r="R22" s="31" t="n">
        <v>0</v>
      </c>
      <c r="S22" s="32" t="n">
        <v/>
      </c>
      <c r="T22" s="28" t="n">
        <v>0</v>
      </c>
      <c r="U22" s="33" t="n">
        <v>266573.2012580444</v>
      </c>
      <c r="V22" s="33" t="n">
        <v>266573.2012580444</v>
      </c>
      <c r="W22" s="33" t="n">
        <v>1323193.098104866</v>
      </c>
      <c r="X22" s="30" t="n">
        <v>25.38792392933756</v>
      </c>
      <c r="Y22" s="30" t="n">
        <v>7.616377178801269</v>
      </c>
      <c r="Z22" s="30" t="n">
        <v>25.38792392933756</v>
      </c>
    </row>
    <row r="23">
      <c r="A23" s="25" t="n">
        <v>14</v>
      </c>
      <c r="B23" s="26" t="n">
        <v>235123.084827517</v>
      </c>
      <c r="C23" s="26" t="n">
        <v>111793.3187453415</v>
      </c>
      <c r="D23" s="26" t="n">
        <v>81730.31226143608</v>
      </c>
      <c r="E23" s="27" t="n">
        <v>428646.7158342946</v>
      </c>
      <c r="F23" s="28" t="n">
        <v>-102797.3599416095</v>
      </c>
      <c r="G23" s="28" t="n">
        <v>-25699.33998540238</v>
      </c>
      <c r="H23" s="29" t="n">
        <v>300150.0159072827</v>
      </c>
      <c r="I23" s="30" t="n">
        <v>70.02270280388993</v>
      </c>
      <c r="J23" s="28" t="n">
        <v>-0</v>
      </c>
      <c r="K23" s="29" t="n">
        <v>300150.0159072827</v>
      </c>
      <c r="L23" s="28" t="n">
        <v>-0</v>
      </c>
      <c r="M23" s="29" t="n">
        <v>300150.0159072827</v>
      </c>
      <c r="N23" s="28" t="n">
        <v>-48024.00254516523</v>
      </c>
      <c r="O23" s="29" t="n">
        <v>252126.0133621175</v>
      </c>
      <c r="P23" s="28" t="n">
        <v>-0</v>
      </c>
      <c r="Q23" s="28" t="n">
        <v>0</v>
      </c>
      <c r="R23" s="31" t="n">
        <v>0</v>
      </c>
      <c r="S23" s="32" t="n">
        <v/>
      </c>
      <c r="T23" s="28" t="n">
        <v>0</v>
      </c>
      <c r="U23" s="33" t="n">
        <v>252126.0133621175</v>
      </c>
      <c r="V23" s="33" t="n">
        <v>252126.0133621175</v>
      </c>
      <c r="W23" s="33" t="n">
        <v>1575319.111466984</v>
      </c>
      <c r="X23" s="30" t="n">
        <v>24.01200127258262</v>
      </c>
      <c r="Y23" s="30" t="n">
        <v>7.203600381774784</v>
      </c>
      <c r="Z23" s="30" t="n">
        <v>24.01200127258262</v>
      </c>
    </row>
    <row r="24">
      <c r="A24" s="25" t="n">
        <v>15</v>
      </c>
      <c r="B24" s="26" t="n">
        <v>229245.0077068291</v>
      </c>
      <c r="C24" s="26" t="n">
        <v>108998.485776708</v>
      </c>
      <c r="D24" s="26" t="n">
        <v>77343.31755916782</v>
      </c>
      <c r="E24" s="27" t="n">
        <v>415586.8110427049</v>
      </c>
      <c r="F24" s="28" t="n">
        <v>-105881.2807398578</v>
      </c>
      <c r="G24" s="28" t="n">
        <v>-26470.32018496446</v>
      </c>
      <c r="H24" s="29" t="n">
        <v>283235.2101178826</v>
      </c>
      <c r="I24" s="30" t="n">
        <v>68.15307959539119</v>
      </c>
      <c r="J24" s="28" t="n">
        <v>-0</v>
      </c>
      <c r="K24" s="29" t="n">
        <v>283235.2101178826</v>
      </c>
      <c r="L24" s="28" t="n">
        <v>-0</v>
      </c>
      <c r="M24" s="29" t="n">
        <v>283235.2101178826</v>
      </c>
      <c r="N24" s="28" t="n">
        <v>-45317.63361886123</v>
      </c>
      <c r="O24" s="29" t="n">
        <v>237917.5764990214</v>
      </c>
      <c r="P24" s="28" t="n">
        <v>-0</v>
      </c>
      <c r="Q24" s="28" t="n">
        <v>0</v>
      </c>
      <c r="R24" s="31" t="n">
        <v>0</v>
      </c>
      <c r="S24" s="32" t="n">
        <v/>
      </c>
      <c r="T24" s="28" t="n">
        <v>0</v>
      </c>
      <c r="U24" s="33" t="n">
        <v>237917.5764990214</v>
      </c>
      <c r="V24" s="33" t="n">
        <v>237917.5764990214</v>
      </c>
      <c r="W24" s="33" t="n">
        <v>1813236.687966005</v>
      </c>
      <c r="X24" s="30" t="n">
        <v>22.65881680943061</v>
      </c>
      <c r="Y24" s="30" t="n">
        <v>6.797645042829183</v>
      </c>
      <c r="Z24" s="30" t="n">
        <v>22.65881680943061</v>
      </c>
    </row>
    <row r="26">
      <c r="A26" s="4" t="inlineStr">
        <is>
          <t>Scenario description</t>
        </is>
      </c>
    </row>
    <row r="27" ht="80" customHeight="1">
      <c r="A27" s="18" t="inlineStr">
        <is>
          <t>Same scenario as the engineering-optimum sheet, but with realistic operator drag multipliers applied to each revenue leg:
  • aFRR capacity × 0.93  (REMIT/Tg/Td tariff erosion)
  • aFRR activation × 0.25  (10% market-share guess → realistic ~2.5% — the BIG haircut)
  • PZU arbitrage × 0.80  (forecast error vs perfect-foresight dispatch)
These are the numbers a lender would actually underwrite. The engineering-optimum sheet is what an EPC vendor's marketing would quote — useful for ceiling-of-the-band but not bankable.</t>
        </is>
      </c>
    </row>
  </sheetData>
  <mergeCells count="3">
    <mergeCell ref="A1:Z1"/>
    <mergeCell ref="A27:Z27"/>
    <mergeCell ref="A26:Z2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2" customHeight="1">
      <c r="A1" s="35" t="inlineStr">
        <is>
          <t>Scenarios Comparison — annual cashflow + KPI summary</t>
        </is>
      </c>
    </row>
    <row r="3">
      <c r="A3" s="4" t="inlineStr">
        <is>
          <t>Scenario KPIs</t>
        </is>
      </c>
    </row>
    <row r="4" ht="36" customHeight="1">
      <c r="A4" s="7" t="inlineStr">
        <is>
          <t>KPI</t>
        </is>
      </c>
      <c r="B4" s="7" t="inlineStr">
        <is>
          <t>A. Current (10% share, pre-PIC</t>
        </is>
      </c>
      <c r="C4" s="7" t="inlineStr">
        <is>
          <t>B. PICASSO go-live (Y1) (10% s</t>
        </is>
      </c>
      <c r="D4" s="7" t="inlineStr">
        <is>
          <t>C. Mature market (5% share, -4</t>
        </is>
      </c>
      <c r="E4" s="7" t="inlineStr">
        <is>
          <t>D. Bear case (2% share, full s</t>
        </is>
      </c>
    </row>
    <row r="5">
      <c r="A5" s="36" t="inlineStr">
        <is>
          <t>Y1 revenue (€)</t>
        </is>
      </c>
      <c r="B5" s="37" t="inlineStr">
        <is>
          <t>€2.39M</t>
        </is>
      </c>
      <c r="C5" s="38" t="inlineStr">
        <is>
          <t>€2.07M</t>
        </is>
      </c>
      <c r="D5" s="39" t="inlineStr">
        <is>
          <t>€1.78M</t>
        </is>
      </c>
      <c r="E5" s="40" t="inlineStr">
        <is>
          <t>€1.18M</t>
        </is>
      </c>
    </row>
    <row r="6">
      <c r="A6" s="36" t="inlineStr">
        <is>
          <t>Y1 EBITDA (€)</t>
        </is>
      </c>
      <c r="B6" s="37" t="inlineStr">
        <is>
          <t>€2.30M</t>
        </is>
      </c>
      <c r="C6" s="38" t="inlineStr">
        <is>
          <t>€1.98M</t>
        </is>
      </c>
      <c r="D6" s="39" t="inlineStr">
        <is>
          <t>€1.69M</t>
        </is>
      </c>
      <c r="E6" s="40" t="inlineStr">
        <is>
          <t>€1.09M</t>
        </is>
      </c>
    </row>
    <row r="7">
      <c r="A7" s="36" t="inlineStr">
        <is>
          <t>Y1 EBITDA margin</t>
        </is>
      </c>
      <c r="B7" s="37" t="inlineStr">
        <is>
          <t>96.33%</t>
        </is>
      </c>
      <c r="C7" s="38" t="inlineStr">
        <is>
          <t>95.77%</t>
        </is>
      </c>
      <c r="D7" s="39" t="inlineStr">
        <is>
          <t>95.08%</t>
        </is>
      </c>
      <c r="E7" s="40" t="inlineStr">
        <is>
          <t>92.59%</t>
        </is>
      </c>
    </row>
    <row r="8">
      <c r="A8" s="36" t="inlineStr">
        <is>
          <t>Y1 EBIT (€)</t>
        </is>
      </c>
      <c r="B8" s="37" t="inlineStr">
        <is>
          <t>€1.86M</t>
        </is>
      </c>
      <c r="C8" s="38" t="inlineStr">
        <is>
          <t>€1.55M</t>
        </is>
      </c>
      <c r="D8" s="39" t="inlineStr">
        <is>
          <t>€1.25M</t>
        </is>
      </c>
      <c r="E8" s="40" t="inlineStr">
        <is>
          <t>€657k</t>
        </is>
      </c>
    </row>
    <row r="9">
      <c r="A9" s="36" t="inlineStr">
        <is>
          <t>Y1 Net Income (€)</t>
        </is>
      </c>
      <c r="B9" s="37" t="inlineStr">
        <is>
          <t>€1.44M</t>
        </is>
      </c>
      <c r="C9" s="38" t="inlineStr">
        <is>
          <t>€1.17M</t>
        </is>
      </c>
      <c r="D9" s="39" t="inlineStr">
        <is>
          <t>€930k</t>
        </is>
      </c>
      <c r="E9" s="40" t="inlineStr">
        <is>
          <t>€428k</t>
        </is>
      </c>
    </row>
    <row r="10">
      <c r="A10" s="36" t="inlineStr">
        <is>
          <t>Y1 Equity FCF (€)</t>
        </is>
      </c>
      <c r="B10" s="37" t="inlineStr">
        <is>
          <t>€1.69M</t>
        </is>
      </c>
      <c r="C10" s="38" t="inlineStr">
        <is>
          <t>€1.43M</t>
        </is>
      </c>
      <c r="D10" s="39" t="inlineStr">
        <is>
          <t>€1.18M</t>
        </is>
      </c>
      <c r="E10" s="40" t="inlineStr">
        <is>
          <t>€680k</t>
        </is>
      </c>
    </row>
    <row r="11">
      <c r="A11" s="36" t="inlineStr">
        <is>
          <t>Lifetime revenue (€)</t>
        </is>
      </c>
      <c r="B11" s="37" t="inlineStr">
        <is>
          <t>€20.23M</t>
        </is>
      </c>
      <c r="C11" s="38" t="inlineStr">
        <is>
          <t>€20.71M</t>
        </is>
      </c>
      <c r="D11" s="39" t="inlineStr">
        <is>
          <t>€19.64M</t>
        </is>
      </c>
      <c r="E11" s="40" t="inlineStr">
        <is>
          <t>€14.47M</t>
        </is>
      </c>
    </row>
    <row r="12">
      <c r="A12" s="36" t="inlineStr">
        <is>
          <t>Lifetime EBITDA (€)</t>
        </is>
      </c>
      <c r="B12" s="37" t="inlineStr">
        <is>
          <t>€18.60M</t>
        </is>
      </c>
      <c r="C12" s="38" t="inlineStr">
        <is>
          <t>€19.08M</t>
        </is>
      </c>
      <c r="D12" s="39" t="inlineStr">
        <is>
          <t>€18.01M</t>
        </is>
      </c>
      <c r="E12" s="40" t="inlineStr">
        <is>
          <t>€12.85M</t>
        </is>
      </c>
    </row>
    <row r="13">
      <c r="A13" s="36" t="inlineStr">
        <is>
          <t>Lifetime Net income (€)</t>
        </is>
      </c>
      <c r="B13" s="37" t="inlineStr">
        <is>
          <t>€11.95M</t>
        </is>
      </c>
      <c r="C13" s="38" t="inlineStr">
        <is>
          <t>€12.35M</t>
        </is>
      </c>
      <c r="D13" s="39" t="inlineStr">
        <is>
          <t>€11.45M</t>
        </is>
      </c>
      <c r="E13" s="40" t="inlineStr">
        <is>
          <t>€7.11M</t>
        </is>
      </c>
    </row>
    <row r="14">
      <c r="A14" s="36" t="inlineStr">
        <is>
          <t>Lifetime Equity FCF (€)</t>
        </is>
      </c>
      <c r="B14" s="37" t="inlineStr">
        <is>
          <t>€12.30M</t>
        </is>
      </c>
      <c r="C14" s="38" t="inlineStr">
        <is>
          <t>€12.70M</t>
        </is>
      </c>
      <c r="D14" s="39" t="inlineStr">
        <is>
          <t>€11.80M</t>
        </is>
      </c>
      <c r="E14" s="40" t="inlineStr">
        <is>
          <t>€7.46M</t>
        </is>
      </c>
    </row>
    <row r="15">
      <c r="A15" s="36" t="inlineStr">
        <is>
          <t>Lifetime Project FCF (€)</t>
        </is>
      </c>
      <c r="B15" s="37" t="inlineStr">
        <is>
          <t>€15.62M</t>
        </is>
      </c>
      <c r="C15" s="38" t="inlineStr">
        <is>
          <t>€16.03M</t>
        </is>
      </c>
      <c r="D15" s="39" t="inlineStr">
        <is>
          <t>€15.13M</t>
        </is>
      </c>
      <c r="E15" s="40" t="inlineStr">
        <is>
          <t>€10.79M</t>
        </is>
      </c>
    </row>
    <row r="16">
      <c r="A16" s="36" t="inlineStr">
        <is>
          <t>Avg EBITDA margin</t>
        </is>
      </c>
      <c r="B16" s="37" t="inlineStr">
        <is>
          <t>90.86%</t>
        </is>
      </c>
      <c r="C16" s="38" t="inlineStr">
        <is>
          <t>91.33%</t>
        </is>
      </c>
      <c r="D16" s="39" t="inlineStr">
        <is>
          <t>91.28%</t>
        </is>
      </c>
      <c r="E16" s="40" t="inlineStr">
        <is>
          <t>88.38%</t>
        </is>
      </c>
    </row>
    <row r="17">
      <c r="A17" s="36" t="inlineStr">
        <is>
          <t>Equity IRR</t>
        </is>
      </c>
      <c r="B17" s="37" t="inlineStr">
        <is>
          <t>149.77%</t>
        </is>
      </c>
      <c r="C17" s="38" t="inlineStr">
        <is>
          <t>128.78%</t>
        </is>
      </c>
      <c r="D17" s="39" t="inlineStr">
        <is>
          <t>104.23%</t>
        </is>
      </c>
      <c r="E17" s="40" t="inlineStr">
        <is>
          <t>57.21%</t>
        </is>
      </c>
    </row>
    <row r="18">
      <c r="A18" s="36" t="inlineStr">
        <is>
          <t>Project IRR</t>
        </is>
      </c>
      <c r="B18" s="37" t="inlineStr">
        <is>
          <t>46.41%</t>
        </is>
      </c>
      <c r="C18" s="38" t="inlineStr">
        <is>
          <t>43.03%</t>
        </is>
      </c>
      <c r="D18" s="39" t="inlineStr">
        <is>
          <t>36.49%</t>
        </is>
      </c>
      <c r="E18" s="40" t="inlineStr">
        <is>
          <t>23.11%</t>
        </is>
      </c>
    </row>
    <row r="19">
      <c r="A19" s="36" t="inlineStr">
        <is>
          <t>Equity MIRR</t>
        </is>
      </c>
      <c r="B19" s="37" t="inlineStr">
        <is>
          <t>23.52%</t>
        </is>
      </c>
      <c r="C19" s="38" t="inlineStr">
        <is>
          <t>23.58%</t>
        </is>
      </c>
      <c r="D19" s="39" t="inlineStr">
        <is>
          <t>22.67%</t>
        </is>
      </c>
      <c r="E19" s="40" t="inlineStr">
        <is>
          <t>18.68%</t>
        </is>
      </c>
    </row>
    <row r="20">
      <c r="A20" s="36" t="inlineStr">
        <is>
          <t>Project MIRR</t>
        </is>
      </c>
      <c r="B20" s="37" t="inlineStr">
        <is>
          <t>15.91%</t>
        </is>
      </c>
      <c r="C20" s="38" t="inlineStr">
        <is>
          <t>15.95%</t>
        </is>
      </c>
      <c r="D20" s="39" t="inlineStr">
        <is>
          <t>15.29%</t>
        </is>
      </c>
      <c r="E20" s="40" t="inlineStr">
        <is>
          <t>12.65%</t>
        </is>
      </c>
    </row>
    <row r="21">
      <c r="A21" s="36" t="inlineStr">
        <is>
          <t>Avg ROE</t>
        </is>
      </c>
      <c r="B21" s="37" t="inlineStr">
        <is>
          <t>75.85%</t>
        </is>
      </c>
      <c r="C21" s="38" t="inlineStr">
        <is>
          <t>78.43%</t>
        </is>
      </c>
      <c r="D21" s="39" t="inlineStr">
        <is>
          <t>72.72%</t>
        </is>
      </c>
      <c r="E21" s="40" t="inlineStr">
        <is>
          <t>45.16%</t>
        </is>
      </c>
    </row>
    <row r="22">
      <c r="A22" s="36" t="inlineStr">
        <is>
          <t>Avg ROIC</t>
        </is>
      </c>
      <c r="B22" s="37" t="inlineStr">
        <is>
          <t>24.16%</t>
        </is>
      </c>
      <c r="C22" s="38" t="inlineStr">
        <is>
          <t>24.93%</t>
        </is>
      </c>
      <c r="D22" s="39" t="inlineStr">
        <is>
          <t>23.22%</t>
        </is>
      </c>
      <c r="E22" s="40" t="inlineStr">
        <is>
          <t>14.95%</t>
        </is>
      </c>
    </row>
    <row r="23">
      <c r="A23" s="36" t="inlineStr">
        <is>
          <t>MOIC (money multiple)</t>
        </is>
      </c>
      <c r="B23" s="37" t="inlineStr">
        <is>
          <t>11.71x</t>
        </is>
      </c>
      <c r="C23" s="38" t="inlineStr">
        <is>
          <t>12.10x</t>
        </is>
      </c>
      <c r="D23" s="39" t="inlineStr">
        <is>
          <t>11.24x</t>
        </is>
      </c>
      <c r="E23" s="40" t="inlineStr">
        <is>
          <t>7.13x</t>
        </is>
      </c>
    </row>
    <row r="24">
      <c r="A24" s="36" t="inlineStr">
        <is>
          <t>Equity NPV @ 8%</t>
        </is>
      </c>
      <c r="B24" s="37" t="inlineStr">
        <is>
          <t>€6.82M</t>
        </is>
      </c>
      <c r="C24" s="38" t="inlineStr">
        <is>
          <t>€6.88M</t>
        </is>
      </c>
      <c r="D24" s="39" t="inlineStr">
        <is>
          <t>€6.04M</t>
        </is>
      </c>
      <c r="E24" s="40" t="inlineStr">
        <is>
          <t>€3.30M</t>
        </is>
      </c>
    </row>
    <row r="25">
      <c r="A25" s="36" t="inlineStr">
        <is>
          <t>Equity NPV @ 10%</t>
        </is>
      </c>
      <c r="B25" s="37" t="inlineStr">
        <is>
          <t>€6.14M</t>
        </is>
      </c>
      <c r="C25" s="38" t="inlineStr">
        <is>
          <t>€6.14M</t>
        </is>
      </c>
      <c r="D25" s="39" t="inlineStr">
        <is>
          <t>€5.34M</t>
        </is>
      </c>
      <c r="E25" s="40" t="inlineStr">
        <is>
          <t>€2.85M</t>
        </is>
      </c>
    </row>
    <row r="26">
      <c r="A26" s="36" t="inlineStr">
        <is>
          <t>Equity NPV @ 12%</t>
        </is>
      </c>
      <c r="B26" s="37" t="inlineStr">
        <is>
          <t>€5.56M</t>
        </is>
      </c>
      <c r="C26" s="38" t="inlineStr">
        <is>
          <t>€5.53M</t>
        </is>
      </c>
      <c r="D26" s="39" t="inlineStr">
        <is>
          <t>€4.74M</t>
        </is>
      </c>
      <c r="E26" s="40" t="inlineStr">
        <is>
          <t>€2.47M</t>
        </is>
      </c>
    </row>
    <row r="27">
      <c r="A27" s="36" t="inlineStr">
        <is>
          <t>Project NPV @ 8%</t>
        </is>
      </c>
      <c r="B27" s="37" t="inlineStr">
        <is>
          <t>€6.60M</t>
        </is>
      </c>
      <c r="C27" s="38" t="inlineStr">
        <is>
          <t>€6.66M</t>
        </is>
      </c>
      <c r="D27" s="39" t="inlineStr">
        <is>
          <t>€5.83M</t>
        </is>
      </c>
      <c r="E27" s="40" t="inlineStr">
        <is>
          <t>€3.09M</t>
        </is>
      </c>
    </row>
    <row r="28">
      <c r="A28" s="36" t="inlineStr">
        <is>
          <t>Project NPV @ 10%</t>
        </is>
      </c>
      <c r="B28" s="37" t="inlineStr">
        <is>
          <t>€5.73M</t>
        </is>
      </c>
      <c r="C28" s="38" t="inlineStr">
        <is>
          <t>€5.74M</t>
        </is>
      </c>
      <c r="D28" s="39" t="inlineStr">
        <is>
          <t>€4.93M</t>
        </is>
      </c>
      <c r="E28" s="40" t="inlineStr">
        <is>
          <t>€2.44M</t>
        </is>
      </c>
    </row>
    <row r="29">
      <c r="A29" s="36" t="inlineStr">
        <is>
          <t>Equity payback (simple)</t>
        </is>
      </c>
      <c r="B29" s="37" t="inlineStr">
        <is>
          <t>0.6 yr</t>
        </is>
      </c>
      <c r="C29" s="38" t="inlineStr">
        <is>
          <t>0.7 yr</t>
        </is>
      </c>
      <c r="D29" s="39" t="inlineStr">
        <is>
          <t>0.9 yr</t>
        </is>
      </c>
      <c r="E29" s="40" t="inlineStr">
        <is>
          <t>1.6 yr</t>
        </is>
      </c>
    </row>
    <row r="30">
      <c r="A30" s="36" t="inlineStr">
        <is>
          <t>Equity payback (discounted @ 8%)</t>
        </is>
      </c>
      <c r="B30" s="37" t="inlineStr">
        <is>
          <t>0.7 yr</t>
        </is>
      </c>
      <c r="C30" s="38" t="inlineStr">
        <is>
          <t>0.8 yr</t>
        </is>
      </c>
      <c r="D30" s="39" t="inlineStr">
        <is>
          <t>1.0 yr</t>
        </is>
      </c>
      <c r="E30" s="40" t="inlineStr">
        <is>
          <t>1.8 yr</t>
        </is>
      </c>
    </row>
    <row r="31">
      <c r="A31" s="36" t="inlineStr">
        <is>
          <t>Project payback (simple)</t>
        </is>
      </c>
      <c r="B31" s="37" t="inlineStr">
        <is>
          <t>1.8 yr</t>
        </is>
      </c>
      <c r="C31" s="38" t="inlineStr">
        <is>
          <t>2.0 yr</t>
        </is>
      </c>
      <c r="D31" s="39" t="inlineStr">
        <is>
          <t>2.4 yr</t>
        </is>
      </c>
      <c r="E31" s="40" t="inlineStr">
        <is>
          <t>3.6 yr</t>
        </is>
      </c>
    </row>
    <row r="32">
      <c r="A32" s="36" t="inlineStr">
        <is>
          <t>Project payback (discounted @ 8%)</t>
        </is>
      </c>
      <c r="B32" s="37" t="inlineStr">
        <is>
          <t>2.0 yr</t>
        </is>
      </c>
      <c r="C32" s="38" t="inlineStr">
        <is>
          <t>2.3 yr</t>
        </is>
      </c>
      <c r="D32" s="39" t="inlineStr">
        <is>
          <t>2.8 yr</t>
        </is>
      </c>
      <c r="E32" s="40" t="inlineStr">
        <is>
          <t>4.8 yr</t>
        </is>
      </c>
    </row>
    <row r="33">
      <c r="A33" s="36" t="inlineStr">
        <is>
          <t>Min DSCR</t>
        </is>
      </c>
      <c r="B33" s="37" t="inlineStr">
        <is>
          <t>2.85x</t>
        </is>
      </c>
      <c r="C33" s="38" t="inlineStr">
        <is>
          <t>3.02x</t>
        </is>
      </c>
      <c r="D33" s="39" t="inlineStr">
        <is>
          <t>3.19x</t>
        </is>
      </c>
      <c r="E33" s="40" t="inlineStr">
        <is>
          <t>2.36x</t>
        </is>
      </c>
    </row>
    <row r="34">
      <c r="A34" s="36" t="inlineStr">
        <is>
          <t>Avg DSCR</t>
        </is>
      </c>
      <c r="B34" s="37" t="inlineStr">
        <is>
          <t>nanx</t>
        </is>
      </c>
      <c r="C34" s="38" t="inlineStr">
        <is>
          <t>nanx</t>
        </is>
      </c>
      <c r="D34" s="39" t="inlineStr">
        <is>
          <t>nanx</t>
        </is>
      </c>
      <c r="E34" s="40" t="inlineStr">
        <is>
          <t>nanx</t>
        </is>
      </c>
    </row>
    <row r="35">
      <c r="A35" s="36" t="inlineStr">
        <is>
          <t>LLCR (Loan Life Coverage)</t>
        </is>
      </c>
      <c r="B35" s="37" t="inlineStr">
        <is>
          <t>3.87x</t>
        </is>
      </c>
      <c r="C35" s="38" t="inlineStr">
        <is>
          <t>3.87x</t>
        </is>
      </c>
      <c r="D35" s="39" t="inlineStr">
        <is>
          <t>3.47x</t>
        </is>
      </c>
      <c r="E35" s="40" t="inlineStr">
        <is>
          <t>2.43x</t>
        </is>
      </c>
    </row>
    <row r="36">
      <c r="A36" s="36" t="inlineStr">
        <is>
          <t>PLCR (Project Life Coverage)</t>
        </is>
      </c>
      <c r="B36" s="37" t="inlineStr">
        <is>
          <t>4.54x</t>
        </is>
      </c>
      <c r="C36" s="38" t="inlineStr">
        <is>
          <t>4.59x</t>
        </is>
      </c>
      <c r="D36" s="39" t="inlineStr">
        <is>
          <t>4.24x</t>
        </is>
      </c>
      <c r="E36" s="40" t="inlineStr">
        <is>
          <t>3.00x</t>
        </is>
      </c>
    </row>
    <row r="37">
      <c r="A37" s="36" t="inlineStr">
        <is>
          <t>DSCR breach years</t>
        </is>
      </c>
      <c r="B37" s="37" t="inlineStr">
        <is>
          <t>—</t>
        </is>
      </c>
      <c r="C37" s="38" t="inlineStr">
        <is>
          <t>—</t>
        </is>
      </c>
      <c r="D37" s="39" t="inlineStr">
        <is>
          <t>—</t>
        </is>
      </c>
      <c r="E37" s="40" t="inlineStr">
        <is>
          <t>—</t>
        </is>
      </c>
    </row>
    <row r="40">
      <c r="A40" s="4" t="inlineStr">
        <is>
          <t>Annual cashflow after debt by scenario (€)</t>
        </is>
      </c>
    </row>
    <row r="41" ht="36" customHeight="1">
      <c r="A41" s="7" t="inlineStr">
        <is>
          <t>Year</t>
        </is>
      </c>
      <c r="B41" s="7" t="inlineStr">
        <is>
          <t>A. Current (10% share, pre-PIC</t>
        </is>
      </c>
      <c r="C41" s="7" t="inlineStr">
        <is>
          <t>B. PICASSO go-live (Y1) (10% s</t>
        </is>
      </c>
      <c r="D41" s="7" t="inlineStr">
        <is>
          <t>C. Mature market (5% share, -4</t>
        </is>
      </c>
      <c r="E41" s="7" t="inlineStr">
        <is>
          <t>D. Bear case (2% share, full s</t>
        </is>
      </c>
    </row>
    <row r="42">
      <c r="A42" s="41" t="n">
        <v>1</v>
      </c>
      <c r="B42" s="42" t="n">
        <v>1691516.306360059</v>
      </c>
      <c r="C42" s="43" t="n">
        <v>1426356.86636006</v>
      </c>
      <c r="D42" s="44" t="n">
        <v>1181286.78236006</v>
      </c>
      <c r="E42" s="45" t="n">
        <v>679704.9743600597</v>
      </c>
    </row>
    <row r="43">
      <c r="A43" s="41" t="n">
        <v>2</v>
      </c>
      <c r="B43" s="42" t="n">
        <v>1627157.299587716</v>
      </c>
      <c r="C43" s="43" t="n">
        <v>1368626.845587716</v>
      </c>
      <c r="D43" s="44" t="n">
        <v>1098805.162092716</v>
      </c>
      <c r="E43" s="45" t="n">
        <v>645771.3808927163</v>
      </c>
    </row>
    <row r="44">
      <c r="A44" s="41" t="n">
        <v>3</v>
      </c>
      <c r="B44" s="42" t="n">
        <v>1164734.635774482</v>
      </c>
      <c r="C44" s="43" t="n">
        <v>1239660.412199982</v>
      </c>
      <c r="D44" s="44" t="n">
        <v>1016640.157333482</v>
      </c>
      <c r="E44" s="45" t="n">
        <v>612541.4305972322</v>
      </c>
    </row>
    <row r="45">
      <c r="A45" s="41" t="n">
        <v>4</v>
      </c>
      <c r="B45" s="42" t="n">
        <v>1027532.038028934</v>
      </c>
      <c r="C45" s="43" t="n">
        <v>1115699.125291734</v>
      </c>
      <c r="D45" s="44" t="n">
        <v>937308.8661744932</v>
      </c>
      <c r="E45" s="45" t="n">
        <v>579981.5872920556</v>
      </c>
    </row>
    <row r="46">
      <c r="A46" s="41" t="n">
        <v>5</v>
      </c>
      <c r="B46" s="42" t="n">
        <v>558041.0974533791</v>
      </c>
      <c r="C46" s="43" t="n">
        <v>659099.912767313</v>
      </c>
      <c r="D46" s="44" t="n">
        <v>521825.3553446028</v>
      </c>
      <c r="E46" s="45" t="n">
        <v>198058.5781803462</v>
      </c>
    </row>
    <row r="47">
      <c r="A47" s="41" t="n">
        <v>6</v>
      </c>
      <c r="B47" s="42" t="n">
        <v>795939.2515639858</v>
      </c>
      <c r="C47" s="43" t="n">
        <v>906503.4671087661</v>
      </c>
      <c r="D47" s="44" t="n">
        <v>808400.3202078082</v>
      </c>
      <c r="E47" s="45" t="n">
        <v>516739.3492251252</v>
      </c>
    </row>
    <row r="48">
      <c r="A48" s="41" t="n">
        <v>7</v>
      </c>
      <c r="B48" s="42" t="n">
        <v>693461.3889300217</v>
      </c>
      <c r="C48" s="43" t="n">
        <v>807753.6308075616</v>
      </c>
      <c r="D48" s="44" t="n">
        <v>746949.1205006575</v>
      </c>
      <c r="E48" s="45" t="n">
        <v>485991.0196261966</v>
      </c>
    </row>
    <row r="49">
      <c r="A49" s="41" t="n">
        <v>8</v>
      </c>
      <c r="B49" s="42" t="n">
        <v>616830.0749632411</v>
      </c>
      <c r="C49" s="43" t="n">
        <v>715636.50410253</v>
      </c>
      <c r="D49" s="44" t="n">
        <v>708011.4228948728</v>
      </c>
      <c r="E49" s="45" t="n">
        <v>457249.8828395269</v>
      </c>
    </row>
    <row r="50">
      <c r="A50" s="41" t="n">
        <v>9</v>
      </c>
      <c r="B50" s="42" t="n">
        <v>505937.5368851607</v>
      </c>
      <c r="C50" s="43" t="n">
        <v>568257.7711973545</v>
      </c>
      <c r="D50" s="44" t="n">
        <v>599852.4724200526</v>
      </c>
      <c r="E50" s="45" t="n">
        <v>358940.7639559123</v>
      </c>
    </row>
    <row r="51">
      <c r="A51" s="41" t="n">
        <v>10</v>
      </c>
      <c r="B51" s="42" t="n">
        <v>115976.5597799304</v>
      </c>
      <c r="C51" s="43" t="n">
        <v>165683.57715227</v>
      </c>
      <c r="D51" s="44" t="n">
        <v>212431.4151954618</v>
      </c>
      <c r="E51" s="45" t="n">
        <v>-18966.22729449859</v>
      </c>
    </row>
    <row r="52">
      <c r="A52" s="41" t="n">
        <v>11</v>
      </c>
      <c r="B52" s="42" t="n">
        <v>762498.2299788137</v>
      </c>
      <c r="C52" s="43" t="n">
        <v>810962.5719168448</v>
      </c>
      <c r="D52" s="44" t="n">
        <v>858584.1147366159</v>
      </c>
      <c r="E52" s="45" t="n">
        <v>636375.4047399166</v>
      </c>
    </row>
    <row r="53">
      <c r="A53" s="41" t="n">
        <v>12</v>
      </c>
      <c r="B53" s="42" t="n">
        <v>730037.6389651834</v>
      </c>
      <c r="C53" s="43" t="n">
        <v>777290.372354764</v>
      </c>
      <c r="D53" s="44" t="n">
        <v>825712.7173135084</v>
      </c>
      <c r="E53" s="45" t="n">
        <v>612378.1167119632</v>
      </c>
    </row>
    <row r="54">
      <c r="A54" s="41" t="n">
        <v>13</v>
      </c>
      <c r="B54" s="42" t="n">
        <v>698424.7131005056</v>
      </c>
      <c r="C54" s="43" t="n">
        <v>744496.1281553466</v>
      </c>
      <c r="D54" s="44" t="n">
        <v>793649.4716818533</v>
      </c>
      <c r="E54" s="45" t="n">
        <v>588884.1554494526</v>
      </c>
    </row>
    <row r="55">
      <c r="A55" s="41" t="n">
        <v>14</v>
      </c>
      <c r="B55" s="42" t="n">
        <v>667628.3929064763</v>
      </c>
      <c r="C55" s="43" t="n">
        <v>712548.0225849461</v>
      </c>
      <c r="D55" s="44" t="n">
        <v>762365.5507852279</v>
      </c>
      <c r="E55" s="45" t="n">
        <v>565874.3888288903</v>
      </c>
    </row>
    <row r="56">
      <c r="A56" s="41" t="n">
        <v>15</v>
      </c>
      <c r="B56" s="42" t="n">
        <v>640079.29395925</v>
      </c>
      <c r="C56" s="43" t="n">
        <v>683875.9328957581</v>
      </c>
      <c r="D56" s="44" t="n">
        <v>731832.7949024537</v>
      </c>
      <c r="E56" s="45" t="n">
        <v>543330.0578310213</v>
      </c>
    </row>
    <row r="57">
      <c r="A57" s="46" t="inlineStr">
        <is>
          <t>TOTAL</t>
        </is>
      </c>
      <c r="B57" s="47" t="n">
        <v>12295794.45823714</v>
      </c>
      <c r="C57" s="47" t="n">
        <v>12702451.14048295</v>
      </c>
      <c r="D57" s="47" t="n">
        <v>11803655.72394387</v>
      </c>
      <c r="E57" s="47" t="n">
        <v>7462854.863235916</v>
      </c>
    </row>
  </sheetData>
  <mergeCells count="3">
    <mergeCell ref="A3:F3"/>
    <mergeCell ref="A1:F1"/>
    <mergeCell ref="A40:F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2026-05-04T12:17:33Z</dcterms:created>
  <dcterms:modified xmlns:dcterms="http://purl.org/dc/terms/" xmlns:xsi="http://www.w3.org/2001/XMLSchema-instance" xsi:type="dcterms:W3CDTF">2026-05-04T12:17:34Z</dcterms:modified>
</cp:coreProperties>
</file>