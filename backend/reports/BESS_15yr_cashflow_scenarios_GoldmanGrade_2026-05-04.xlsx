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Inputs_and_Assumptions" sheetId="2" state="visible" r:id="rId2"/>
    <sheet xmlns:r="http://schemas.openxmlformats.org/officeDocument/2006/relationships" name="Scenario_A_Current" sheetId="3" state="visible" r:id="rId3"/>
    <sheet xmlns:r="http://schemas.openxmlformats.org/officeDocument/2006/relationships" name="Scenario_B_PICASSO" sheetId="4" state="visible" r:id="rId4"/>
    <sheet xmlns:r="http://schemas.openxmlformats.org/officeDocument/2006/relationships" name="Scenario_C_Mature" sheetId="5" state="visible" r:id="rId5"/>
    <sheet xmlns:r="http://schemas.openxmlformats.org/officeDocument/2006/relationships" name="Scenario_D_Bear" sheetId="6" state="visible" r:id="rId6"/>
    <sheet xmlns:r="http://schemas.openxmlformats.org/officeDocument/2006/relationships" name="Scenarios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&quot;-€&quot;#,##0"/>
    <numFmt numFmtId="165" formatCode="0.00&quot;x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8"/>
    </font>
    <font>
      <i val="1"/>
      <color rgb="00595959"/>
      <sz val="10"/>
    </font>
    <font>
      <b val="1"/>
      <color rgb="00FFFFFF"/>
      <sz val="11"/>
    </font>
    <font>
      <b val="1"/>
      <sz val="11"/>
    </font>
    <font>
      <b val="1"/>
      <color rgb="00FFFFFF"/>
      <sz val="15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FFEB99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wrapText="1"/>
    </xf>
    <xf numFmtId="0" fontId="5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center"/>
    </xf>
    <xf numFmtId="0" fontId="5" fillId="5" borderId="2" applyAlignment="1" pivotButton="0" quotePrefix="0" xfId="0">
      <alignment horizontal="left"/>
    </xf>
    <xf numFmtId="0" fontId="5" fillId="5" borderId="2" applyAlignment="1" pivotButton="0" quotePrefix="0" xfId="0">
      <alignment horizontal="center"/>
    </xf>
    <xf numFmtId="0" fontId="5" fillId="6" borderId="2" applyAlignment="1" pivotButton="0" quotePrefix="0" xfId="0">
      <alignment horizontal="left"/>
    </xf>
    <xf numFmtId="0" fontId="5" fillId="6" borderId="2" applyAlignment="1" pivotButton="0" quotePrefix="0" xfId="0">
      <alignment horizontal="center"/>
    </xf>
    <xf numFmtId="0" fontId="5" fillId="7" borderId="2" applyAlignment="1" pivotButton="0" quotePrefix="0" xfId="0">
      <alignment horizontal="left"/>
    </xf>
    <xf numFmtId="0" fontId="5" fillId="7" borderId="2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8" borderId="2" applyAlignment="1" pivotButton="0" quotePrefix="0" xfId="0">
      <alignment horizontal="right"/>
    </xf>
    <xf numFmtId="0" fontId="5" fillId="9" borderId="2" applyAlignment="1" pivotButton="0" quotePrefix="0" xfId="0">
      <alignment horizontal="left"/>
    </xf>
    <xf numFmtId="0" fontId="4" fillId="3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/>
    </xf>
    <xf numFmtId="164" fontId="0" fillId="10" borderId="2" applyAlignment="1" pivotButton="0" quotePrefix="0" xfId="0">
      <alignment horizontal="center"/>
    </xf>
    <xf numFmtId="164" fontId="5" fillId="10" borderId="2" applyAlignment="1" pivotButton="0" quotePrefix="0" xfId="0">
      <alignment horizontal="center"/>
    </xf>
    <xf numFmtId="164" fontId="0" fillId="5" borderId="2" applyAlignment="1" pivotButton="0" quotePrefix="0" xfId="0">
      <alignment horizontal="center"/>
    </xf>
    <xf numFmtId="164" fontId="5" fillId="8" borderId="2" applyAlignment="1" pivotButton="0" quotePrefix="0" xfId="0">
      <alignment horizontal="center"/>
    </xf>
    <xf numFmtId="164" fontId="5" fillId="9" borderId="2" applyAlignment="1" pivotButton="0" quotePrefix="0" xfId="0">
      <alignment horizontal="center"/>
    </xf>
    <xf numFmtId="165" fontId="0" fillId="11" borderId="2" applyAlignment="1" pivotButton="0" quotePrefix="0" xfId="0">
      <alignment horizontal="center"/>
    </xf>
    <xf numFmtId="1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5" fillId="8" borderId="2" applyAlignment="1" pivotButton="0" quotePrefix="0" xfId="0">
      <alignment horizontal="left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164" fontId="0" fillId="4" borderId="2" applyAlignment="1" pivotButton="0" quotePrefix="0" xfId="0">
      <alignment horizontal="right"/>
    </xf>
    <xf numFmtId="164" fontId="0" fillId="5" borderId="2" applyAlignment="1" pivotButton="0" quotePrefix="0" xfId="0">
      <alignment horizontal="right"/>
    </xf>
    <xf numFmtId="164" fontId="0" fillId="6" borderId="2" applyAlignment="1" pivotButton="0" quotePrefix="0" xfId="0">
      <alignment horizontal="right"/>
    </xf>
    <xf numFmtId="164" fontId="0" fillId="7" borderId="2" applyAlignment="1" pivotButton="0" quotePrefix="0" xfId="0">
      <alignment horizontal="right"/>
    </xf>
    <xf numFmtId="0" fontId="5" fillId="9" borderId="2" applyAlignment="1" pivotButton="0" quotePrefix="0" xfId="0">
      <alignment horizontal="center"/>
    </xf>
    <xf numFmtId="164" fontId="5" fillId="9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16" customWidth="1" min="5" max="5"/>
    <col width="18" customWidth="1" min="6" max="6"/>
  </cols>
  <sheetData>
    <row r="1" ht="36" customHeight="1">
      <c r="A1" s="2" t="inlineStr">
        <is>
          <t>Executive Summary — 10 MW / 20 MWh BESS, 15-year project finance</t>
        </is>
      </c>
    </row>
    <row r="2">
      <c r="A2" s="3" t="inlineStr">
        <is>
          <t>Romanian aFRR + PZU arbitrage • Real DAMAS-anchored bids • 4 scenarios across PICASSO + market-share dynamics</t>
        </is>
      </c>
    </row>
    <row r="4">
      <c r="A4" s="4" t="inlineStr">
        <is>
          <t>Project facts</t>
        </is>
      </c>
    </row>
    <row r="5">
      <c r="A5" s="5" t="inlineStr">
        <is>
          <t>EPC investment</t>
        </is>
      </c>
      <c r="B5" s="6" t="inlineStr">
        <is>
          <t>€3.50M</t>
        </is>
      </c>
      <c r="C5" s="6" t="inlineStr">
        <is>
          <t>€175/kWh installed</t>
        </is>
      </c>
      <c r="D5" s="6" t="n"/>
      <c r="E5" s="6" t="n"/>
      <c r="F5" s="6" t="n"/>
    </row>
    <row r="6">
      <c r="A6" s="5" t="inlineStr">
        <is>
          <t>Equity / Loan split</t>
        </is>
      </c>
      <c r="B6" s="6" t="inlineStr">
        <is>
          <t>30% / 70%</t>
        </is>
      </c>
      <c r="C6" s="6" t="inlineStr">
        <is>
          <t>Equity = €1.05M, Loan = €2.45M</t>
        </is>
      </c>
      <c r="D6" s="6" t="n"/>
      <c r="E6" s="6" t="n"/>
      <c r="F6" s="6" t="n"/>
    </row>
    <row r="7">
      <c r="A7" s="5" t="inlineStr">
        <is>
          <t>Loan terms</t>
        </is>
      </c>
      <c r="B7" s="6" t="inlineStr">
        <is>
          <t>6.0% over 10 years</t>
        </is>
      </c>
      <c r="C7" s="6" t="inlineStr">
        <is>
          <t>Annuity = €333k/yr</t>
        </is>
      </c>
      <c r="D7" s="6" t="n"/>
      <c r="E7" s="6" t="n"/>
      <c r="F7" s="6" t="n"/>
    </row>
    <row r="8">
      <c r="A8" s="5" t="inlineStr">
        <is>
          <t>OPEX + Insurance</t>
        </is>
      </c>
      <c r="B8" s="6" t="inlineStr">
        <is>
          <t>2.5% of EPC</t>
        </is>
      </c>
      <c r="C8" s="6" t="inlineStr">
        <is>
          <t>€88k/yr Y1, +3%/yr inflation</t>
        </is>
      </c>
      <c r="D8" s="6" t="n"/>
      <c r="E8" s="6" t="n"/>
      <c r="F8" s="6" t="n"/>
    </row>
    <row r="9">
      <c r="A9" s="5" t="inlineStr">
        <is>
          <t>Augmentation</t>
        </is>
      </c>
      <c r="B9" s="6" t="inlineStr">
        <is>
          <t>10% of EPC at Y5 + Y10</t>
        </is>
      </c>
      <c r="C9" s="6" t="inlineStr">
        <is>
          <t>€350k each event</t>
        </is>
      </c>
      <c r="D9" s="6" t="n"/>
      <c r="E9" s="6" t="n"/>
      <c r="F9" s="6" t="n"/>
    </row>
    <row r="10">
      <c r="A10" s="5" t="inlineStr">
        <is>
          <t>Project life / Discount rate</t>
        </is>
      </c>
      <c r="B10" s="6" t="inlineStr">
        <is>
          <t>15 years / 8%</t>
        </is>
      </c>
      <c r="C10" s="6" t="inlineStr">
        <is>
          <t>DSCR covenant 1.20x (lender standard)</t>
        </is>
      </c>
      <c r="D10" s="6" t="n"/>
      <c r="E10" s="6" t="n"/>
      <c r="F10" s="6" t="n"/>
    </row>
    <row r="11">
      <c r="A11" s="5" t="inlineStr">
        <is>
          <t>Battery</t>
        </is>
      </c>
      <c r="B11" s="6" t="inlineStr">
        <is>
          <t>10 MW / 20 MWh</t>
        </is>
      </c>
      <c r="C11" s="6" t="inlineStr">
        <is>
          <t>RTE 0.97, full 0-100% SOC, 1 cycle/day</t>
        </is>
      </c>
      <c r="D11" s="6" t="n"/>
      <c r="E11" s="6" t="n"/>
      <c r="F11" s="6" t="n"/>
    </row>
    <row r="12">
      <c r="A12" s="5" t="inlineStr">
        <is>
          <t>Degradation</t>
        </is>
      </c>
      <c r="B12" s="6" t="inlineStr">
        <is>
          <t>2.5%/yr</t>
        </is>
      </c>
      <c r="C12" s="6" t="inlineStr">
        <is>
          <t>Capacity fade applied to all revenue legs</t>
        </is>
      </c>
      <c r="D12" s="6" t="n"/>
      <c r="E12" s="6" t="n"/>
      <c r="F12" s="6" t="n"/>
    </row>
    <row r="14">
      <c r="A14" s="4" t="inlineStr">
        <is>
          <t>Headline KPIs by scenario</t>
        </is>
      </c>
    </row>
    <row r="15">
      <c r="A15" s="7" t="inlineStr">
        <is>
          <t>Scenario</t>
        </is>
      </c>
      <c r="B15" s="7" t="inlineStr">
        <is>
          <t>Y1 revenue</t>
        </is>
      </c>
      <c r="C15" s="7" t="inlineStr">
        <is>
          <t>Equity IRR</t>
        </is>
      </c>
      <c r="D15" s="7" t="inlineStr">
        <is>
          <t>Project IRR</t>
        </is>
      </c>
      <c r="E15" s="7" t="inlineStr">
        <is>
          <t>Equity payback</t>
        </is>
      </c>
      <c r="F15" s="7" t="inlineStr">
        <is>
          <t>NPV @ 8% (equity)</t>
        </is>
      </c>
    </row>
    <row r="16">
      <c r="A16" s="8" t="inlineStr">
        <is>
          <t>A. Current (10% share, pre-PICASSO)</t>
        </is>
      </c>
      <c r="B16" s="9" t="inlineStr">
        <is>
          <t>€4.11M</t>
        </is>
      </c>
      <c r="C16" s="9" t="inlineStr">
        <is>
          <t>343.61%</t>
        </is>
      </c>
      <c r="D16" s="9" t="inlineStr">
        <is>
          <t>104.93%</t>
        </is>
      </c>
      <c r="E16" s="9" t="inlineStr">
        <is>
          <t>0.3 yr</t>
        </is>
      </c>
      <c r="F16" s="9" t="inlineStr">
        <is>
          <t>€17.52M</t>
        </is>
      </c>
    </row>
    <row r="17">
      <c r="A17" s="10" t="inlineStr">
        <is>
          <t>B. PICASSO go-live (Y1) (10% share)</t>
        </is>
      </c>
      <c r="B17" s="11" t="inlineStr">
        <is>
          <t>€3.29M</t>
        </is>
      </c>
      <c r="C17" s="11" t="inlineStr">
        <is>
          <t>268.17%</t>
        </is>
      </c>
      <c r="D17" s="11" t="inlineStr">
        <is>
          <t>85.46%</t>
        </is>
      </c>
      <c r="E17" s="11" t="inlineStr">
        <is>
          <t>0.4 yr</t>
        </is>
      </c>
      <c r="F17" s="11" t="inlineStr">
        <is>
          <t>€15.78M</t>
        </is>
      </c>
    </row>
    <row r="18">
      <c r="A18" s="12" t="inlineStr">
        <is>
          <t>C. Mature market (5% share, -40%)</t>
        </is>
      </c>
      <c r="B18" s="13" t="inlineStr">
        <is>
          <t>€2.83M</t>
        </is>
      </c>
      <c r="C18" s="13" t="inlineStr">
        <is>
          <t>222.57%</t>
        </is>
      </c>
      <c r="D18" s="13" t="inlineStr">
        <is>
          <t>72.16%</t>
        </is>
      </c>
      <c r="E18" s="13" t="inlineStr">
        <is>
          <t>0.4 yr</t>
        </is>
      </c>
      <c r="F18" s="13" t="inlineStr">
        <is>
          <t>€14.23M</t>
        </is>
      </c>
    </row>
    <row r="19">
      <c r="A19" s="14" t="inlineStr">
        <is>
          <t>D. Bear case (2% share, full saturation)</t>
        </is>
      </c>
      <c r="B19" s="15" t="inlineStr">
        <is>
          <t>€1.80M</t>
        </is>
      </c>
      <c r="C19" s="15" t="inlineStr">
        <is>
          <t>126.73%</t>
        </is>
      </c>
      <c r="D19" s="15" t="inlineStr">
        <is>
          <t>44.54%</t>
        </is>
      </c>
      <c r="E19" s="15" t="inlineStr">
        <is>
          <t>0.8 yr</t>
        </is>
      </c>
      <c r="F19" s="15" t="inlineStr">
        <is>
          <t>€8.47M</t>
        </is>
      </c>
    </row>
    <row r="21">
      <c r="A21" s="4" t="inlineStr">
        <is>
          <t>How to read these numbers (lender perspective)</t>
        </is>
      </c>
    </row>
    <row r="22" ht="26" customHeight="1">
      <c r="A22" s="16" t="inlineStr">
        <is>
          <t>• Pitch deck Y1 number → Scenario A (current state).</t>
        </is>
      </c>
    </row>
    <row r="23" ht="26" customHeight="1">
      <c r="A23" s="16" t="inlineStr">
        <is>
          <t>• 5-year average projection → blend of A + B (assumes PICASSO mid-period).</t>
        </is>
      </c>
    </row>
    <row r="24" ht="26" customHeight="1">
      <c r="A24" s="16" t="inlineStr">
        <is>
          <t>• Lender-grade Y3-Y8 bankability case → Scenario C (mature market).</t>
        </is>
      </c>
    </row>
    <row r="25" ht="26" customHeight="1">
      <c r="A25" s="16" t="inlineStr">
        <is>
          <t>• Lender stress test Y8-Y15 → Scenario D (bear case).</t>
        </is>
      </c>
    </row>
    <row r="26" ht="26" customHeight="1">
      <c r="A26" s="16" t="inlineStr">
        <is>
          <t>• If DSCR &lt; 1.20 in any year → lender covenant breach. Either lower gearing (more equity), longer tenor, or equity injection.</t>
        </is>
      </c>
    </row>
    <row r="27" ht="26" customHeight="1">
      <c r="A27" s="16" t="inlineStr">
        <is>
          <t>• Numbers are SIMULATED on real Romanian DAMAS + OPCOM data. Compliance gates (ANRE/OPCOM/PRE/BRP/BSP/FSE) NOT applied — assumed obtained. Without them, all revenue = €0.</t>
        </is>
      </c>
    </row>
    <row r="28" ht="26" customHeight="1">
      <c r="A28" s="16" t="inlineStr">
        <is>
          <t>• Realistic operator drag (forecast error, market share guess, Tg/Td tariffs) typically reduces revenue another 30-50% vs the engineering optimum shown here.</t>
        </is>
      </c>
    </row>
  </sheetData>
  <mergeCells count="20">
    <mergeCell ref="C8:F8"/>
    <mergeCell ref="A27:F27"/>
    <mergeCell ref="C7:F7"/>
    <mergeCell ref="A26:F26"/>
    <mergeCell ref="A21:F21"/>
    <mergeCell ref="A2:F2"/>
    <mergeCell ref="A14:F14"/>
    <mergeCell ref="A23:F23"/>
    <mergeCell ref="C6:F6"/>
    <mergeCell ref="A22:F22"/>
    <mergeCell ref="A4:F4"/>
    <mergeCell ref="C5:F5"/>
    <mergeCell ref="A28:F28"/>
    <mergeCell ref="C10:F10"/>
    <mergeCell ref="A24:F24"/>
    <mergeCell ref="C9:F9"/>
    <mergeCell ref="A1:F1"/>
    <mergeCell ref="C12:F12"/>
    <mergeCell ref="C11:F1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2" t="inlineStr">
        <is>
          <t>Inputs &amp; Assumptions</t>
        </is>
      </c>
    </row>
    <row r="3" ht="22" customHeight="1">
      <c r="A3" s="4" t="inlineStr">
        <is>
          <t>Battery technical</t>
        </is>
      </c>
    </row>
    <row r="4">
      <c r="A4" s="5" t="inlineStr">
        <is>
          <t>Power</t>
        </is>
      </c>
      <c r="B4" s="6" t="inlineStr">
        <is>
          <t>10 MW</t>
        </is>
      </c>
      <c r="C4" s="6" t="inlineStr">
        <is>
          <t>Inverter rating</t>
        </is>
      </c>
      <c r="D4" s="6" t="n"/>
      <c r="E4" s="6" t="n"/>
      <c r="F4" s="6" t="n"/>
    </row>
    <row r="5">
      <c r="A5" s="5" t="inlineStr">
        <is>
          <t>Energy capacity</t>
        </is>
      </c>
      <c r="B5" s="6" t="inlineStr">
        <is>
          <t>20 MWh</t>
        </is>
      </c>
      <c r="C5" s="6" t="inlineStr">
        <is>
          <t>Daily throughput cap</t>
        </is>
      </c>
      <c r="D5" s="6" t="n"/>
      <c r="E5" s="6" t="n"/>
      <c r="F5" s="6" t="n"/>
    </row>
    <row r="6">
      <c r="A6" s="5" t="inlineStr">
        <is>
          <t>RTE</t>
        </is>
      </c>
      <c r="B6" s="6" t="inlineStr">
        <is>
          <t>0.97</t>
        </is>
      </c>
      <c r="C6" s="6" t="inlineStr">
        <is>
          <t>User directive — 3% loss per round-trip</t>
        </is>
      </c>
      <c r="D6" s="6" t="n"/>
      <c r="E6" s="6" t="n"/>
      <c r="F6" s="6" t="n"/>
    </row>
    <row r="7">
      <c r="A7" s="5" t="inlineStr">
        <is>
          <t>SOC band</t>
        </is>
      </c>
      <c r="B7" s="6" t="inlineStr">
        <is>
          <t>0% – 100%</t>
        </is>
      </c>
      <c r="C7" s="6" t="inlineStr">
        <is>
          <t>User directive — full DOD</t>
        </is>
      </c>
      <c r="D7" s="6" t="n"/>
      <c r="E7" s="6" t="n"/>
      <c r="F7" s="6" t="n"/>
    </row>
    <row r="8">
      <c r="A8" s="5" t="inlineStr">
        <is>
          <t>Cycles/day</t>
        </is>
      </c>
      <c r="B8" s="6" t="inlineStr">
        <is>
          <t>1</t>
        </is>
      </c>
      <c r="C8" s="6" t="inlineStr">
        <is>
          <t>Single round-trip per day</t>
        </is>
      </c>
      <c r="D8" s="6" t="n"/>
      <c r="E8" s="6" t="n"/>
      <c r="F8" s="6" t="n"/>
    </row>
    <row r="9">
      <c r="A9" s="5" t="inlineStr">
        <is>
          <t>Degradation</t>
        </is>
      </c>
      <c r="B9" s="6" t="inlineStr">
        <is>
          <t>2.5%/yr</t>
        </is>
      </c>
      <c r="C9" s="6" t="inlineStr">
        <is>
          <t>Capacity fade applied to all revenue legs</t>
        </is>
      </c>
      <c r="D9" s="6" t="n"/>
      <c r="E9" s="6" t="n"/>
      <c r="F9" s="6" t="n"/>
    </row>
    <row r="11" ht="22" customHeight="1">
      <c r="A11" s="4" t="inlineStr">
        <is>
          <t>Financing</t>
        </is>
      </c>
    </row>
    <row r="12">
      <c r="A12" s="5" t="inlineStr">
        <is>
          <t>EPC investment</t>
        </is>
      </c>
      <c r="B12" s="6" t="inlineStr">
        <is>
          <t>€3.50M</t>
        </is>
      </c>
      <c r="C12" s="6" t="inlineStr">
        <is>
          <t>€175/kWh installed</t>
        </is>
      </c>
      <c r="D12" s="6" t="n"/>
      <c r="E12" s="6" t="n"/>
      <c r="F12" s="6" t="n"/>
    </row>
    <row r="13">
      <c r="A13" s="5" t="inlineStr">
        <is>
          <t>Equity %</t>
        </is>
      </c>
      <c r="B13" s="6" t="inlineStr">
        <is>
          <t>30%</t>
        </is>
      </c>
      <c r="C13" s="6" t="inlineStr">
        <is>
          <t>€1.05M</t>
        </is>
      </c>
      <c r="D13" s="6" t="n"/>
      <c r="E13" s="6" t="n"/>
      <c r="F13" s="6" t="n"/>
    </row>
    <row r="14">
      <c r="A14" s="5" t="inlineStr">
        <is>
          <t>Loan %</t>
        </is>
      </c>
      <c r="B14" s="6" t="inlineStr">
        <is>
          <t>70%</t>
        </is>
      </c>
      <c r="C14" s="6" t="inlineStr">
        <is>
          <t>€2.45M</t>
        </is>
      </c>
      <c r="D14" s="6" t="n"/>
      <c r="E14" s="6" t="n"/>
      <c r="F14" s="6" t="n"/>
    </row>
    <row r="15">
      <c r="A15" s="5" t="inlineStr">
        <is>
          <t>Loan rate</t>
        </is>
      </c>
      <c r="B15" s="6" t="inlineStr">
        <is>
          <t>6.0%</t>
        </is>
      </c>
      <c r="C15" s="6" t="inlineStr">
        <is>
          <t>Fixed-rate annuity</t>
        </is>
      </c>
      <c r="D15" s="6" t="n"/>
      <c r="E15" s="6" t="n"/>
      <c r="F15" s="6" t="n"/>
    </row>
    <row r="16">
      <c r="A16" s="5" t="inlineStr">
        <is>
          <t>Loan term</t>
        </is>
      </c>
      <c r="B16" s="6" t="inlineStr">
        <is>
          <t>10 years</t>
        </is>
      </c>
      <c r="C16" s="6" t="inlineStr">
        <is>
          <t>Annuity payment ≈ €333k</t>
        </is>
      </c>
      <c r="D16" s="6" t="n"/>
      <c r="E16" s="6" t="n"/>
      <c r="F16" s="6" t="n"/>
    </row>
    <row r="17">
      <c r="A17" s="5" t="inlineStr">
        <is>
          <t>Discount rate (NPV)</t>
        </is>
      </c>
      <c r="B17" s="6" t="inlineStr">
        <is>
          <t>8%</t>
        </is>
      </c>
      <c r="C17" s="6" t="inlineStr">
        <is>
          <t>Standard EU project finance</t>
        </is>
      </c>
      <c r="D17" s="6" t="n"/>
      <c r="E17" s="6" t="n"/>
      <c r="F17" s="6" t="n"/>
    </row>
    <row r="18">
      <c r="A18" s="5" t="inlineStr">
        <is>
          <t>DSCR covenant</t>
        </is>
      </c>
      <c r="B18" s="6" t="inlineStr">
        <is>
          <t>1.20x</t>
        </is>
      </c>
      <c r="C18" s="6" t="inlineStr">
        <is>
          <t>Lender standard</t>
        </is>
      </c>
      <c r="D18" s="6" t="n"/>
      <c r="E18" s="6" t="n"/>
      <c r="F18" s="6" t="n"/>
    </row>
    <row r="20" ht="22" customHeight="1">
      <c r="A20" s="4" t="inlineStr">
        <is>
          <t>Operating costs</t>
        </is>
      </c>
    </row>
    <row r="21">
      <c r="A21" s="5" t="inlineStr">
        <is>
          <t>OPEX</t>
        </is>
      </c>
      <c r="B21" s="6" t="inlineStr">
        <is>
          <t>2.0% of EPC = €70k</t>
        </is>
      </c>
      <c r="C21" s="6" t="inlineStr">
        <is>
          <t>Year 1, +3%/yr inflation</t>
        </is>
      </c>
      <c r="D21" s="6" t="n"/>
      <c r="E21" s="6" t="n"/>
      <c r="F21" s="6" t="n"/>
    </row>
    <row r="22">
      <c r="A22" s="5" t="inlineStr">
        <is>
          <t>Insurance</t>
        </is>
      </c>
      <c r="B22" s="6" t="inlineStr">
        <is>
          <t>0.5% of EPC = €18k</t>
        </is>
      </c>
      <c r="C22" s="6" t="inlineStr">
        <is>
          <t>Year 1, +3%/yr inflation</t>
        </is>
      </c>
      <c r="D22" s="6" t="n"/>
      <c r="E22" s="6" t="n"/>
      <c r="F22" s="6" t="n"/>
    </row>
    <row r="23">
      <c r="A23" s="5" t="inlineStr">
        <is>
          <t>Augmentation</t>
        </is>
      </c>
      <c r="B23" s="6" t="inlineStr">
        <is>
          <t>10% of EPC at Y5 + Y10</t>
        </is>
      </c>
      <c r="C23" s="6">
        <f> €350k per event</f>
        <v/>
      </c>
      <c r="D23" s="6" t="n"/>
      <c r="E23" s="6" t="n"/>
      <c r="F23" s="6" t="n"/>
    </row>
    <row r="25" ht="22" customHeight="1">
      <c r="A25" s="4" t="inlineStr">
        <is>
          <t>Revenue scenarios — Y1 base values</t>
        </is>
      </c>
    </row>
    <row r="26">
      <c r="A26" s="5" t="inlineStr">
        <is>
          <t>Scenario A — aFRR capacity Y1</t>
        </is>
      </c>
      <c r="B26" s="6" t="inlineStr">
        <is>
          <t>€598k</t>
        </is>
      </c>
      <c r="C26" s="6" t="inlineStr">
        <is>
          <t>10% market share, real DAMAS clearing</t>
        </is>
      </c>
      <c r="D26" s="6" t="n"/>
      <c r="E26" s="6" t="n"/>
      <c r="F26" s="6" t="n"/>
    </row>
    <row r="27">
      <c r="A27" s="5" t="inlineStr">
        <is>
          <t>Scenario A — aFRR activation Y1</t>
        </is>
      </c>
      <c r="B27" s="6" t="inlineStr">
        <is>
          <t>€2.68M</t>
        </is>
      </c>
      <c r="C27" s="6" t="inlineStr">
        <is>
          <t>Real per-slot DAMAS settlement</t>
        </is>
      </c>
      <c r="D27" s="6" t="n"/>
      <c r="E27" s="6" t="n"/>
      <c r="F27" s="6" t="n"/>
    </row>
    <row r="28">
      <c r="A28" s="5" t="inlineStr">
        <is>
          <t>Scenario A — PZU Y1</t>
        </is>
      </c>
      <c r="B28" s="6" t="inlineStr">
        <is>
          <t>€835k</t>
        </is>
      </c>
      <c r="C28" s="6" t="inlineStr">
        <is>
          <t>Real OPCOM dispatch</t>
        </is>
      </c>
      <c r="D28" s="6" t="n"/>
      <c r="E28" s="6" t="n"/>
      <c r="F28" s="6" t="n"/>
    </row>
    <row r="29">
      <c r="A29" s="5" t="inlineStr">
        <is>
          <t>Scenario B — base Y1 multiplier</t>
        </is>
      </c>
      <c r="B29" s="6" t="inlineStr">
        <is>
          <t>0.75</t>
        </is>
      </c>
      <c r="C29" s="6" t="inlineStr">
        <is>
          <t>PICASSO live → -25% on aFRR; PZU unchanged</t>
        </is>
      </c>
      <c r="D29" s="6" t="n"/>
      <c r="E29" s="6" t="n"/>
      <c r="F29" s="6" t="n"/>
    </row>
    <row r="30">
      <c r="A30" s="5" t="inlineStr">
        <is>
          <t>Scenario C — base Y1 multipliers</t>
        </is>
      </c>
      <c r="B30" s="6" t="inlineStr">
        <is>
          <t>share 0.50, prices 0.60</t>
        </is>
      </c>
      <c r="C30" s="6" t="inlineStr">
        <is>
          <t>Mature market: 5% share, capacity at €5/MW/h</t>
        </is>
      </c>
      <c r="D30" s="6" t="n"/>
      <c r="E30" s="6" t="n"/>
      <c r="F30" s="6" t="n"/>
    </row>
    <row r="31">
      <c r="A31" s="5" t="inlineStr">
        <is>
          <t>Scenario D — base Y1 multipliers</t>
        </is>
      </c>
      <c r="B31" s="6" t="inlineStr">
        <is>
          <t>share 0.20, prices 0.40</t>
        </is>
      </c>
      <c r="C31" s="6" t="inlineStr">
        <is>
          <t>Bear case: 2% share, prices at German current level</t>
        </is>
      </c>
      <c r="D31" s="6" t="n"/>
      <c r="E31" s="6" t="n"/>
      <c r="F31" s="6" t="n"/>
    </row>
  </sheetData>
  <mergeCells count="27">
    <mergeCell ref="C17:F17"/>
    <mergeCell ref="C23:F23"/>
    <mergeCell ref="C8:F8"/>
    <mergeCell ref="C7:F7"/>
    <mergeCell ref="A3:F3"/>
    <mergeCell ref="C28:F28"/>
    <mergeCell ref="C13:F13"/>
    <mergeCell ref="C18:F18"/>
    <mergeCell ref="C6:F6"/>
    <mergeCell ref="C30:F30"/>
    <mergeCell ref="C15:F15"/>
    <mergeCell ref="A20:F20"/>
    <mergeCell ref="C5:F5"/>
    <mergeCell ref="C14:F14"/>
    <mergeCell ref="C4:F4"/>
    <mergeCell ref="C26:F26"/>
    <mergeCell ref="C29:F29"/>
    <mergeCell ref="C16:F16"/>
    <mergeCell ref="C22:F22"/>
    <mergeCell ref="C9:F9"/>
    <mergeCell ref="A11:F11"/>
    <mergeCell ref="C31:F31"/>
    <mergeCell ref="A1:F1"/>
    <mergeCell ref="C12:F12"/>
    <mergeCell ref="C21:F21"/>
    <mergeCell ref="C27:F2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9" customWidth="1" min="13" max="13"/>
    <col width="13" customWidth="1" min="14" max="14"/>
    <col width="16" customWidth="1" min="15" max="15"/>
  </cols>
  <sheetData>
    <row r="1" ht="28" customHeight="1">
      <c r="A1" s="17" t="inlineStr">
        <is>
          <t>A. Current (10% share, pre-PICASSO)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>
      <c r="A2" s="20" t="inlineStr">
        <is>
          <t>Y1 revenue</t>
        </is>
      </c>
      <c r="B2" s="21" t="inlineStr">
        <is>
          <t>€4.11M</t>
        </is>
      </c>
      <c r="C2" s="20" t="inlineStr">
        <is>
          <t>Y1 cashflow after debt</t>
        </is>
      </c>
      <c r="D2" s="21" t="inlineStr">
        <is>
          <t>€3.69M</t>
        </is>
      </c>
      <c r="E2" s="20" t="inlineStr">
        <is>
          <t>Equity IRR</t>
        </is>
      </c>
      <c r="F2" s="21" t="inlineStr">
        <is>
          <t>343.61%</t>
        </is>
      </c>
      <c r="G2" s="20" t="inlineStr">
        <is>
          <t>Project IRR</t>
        </is>
      </c>
      <c r="H2" s="21" t="inlineStr">
        <is>
          <t>104.93%</t>
        </is>
      </c>
      <c r="I2" s="20" t="inlineStr">
        <is>
          <t>Equity payback</t>
        </is>
      </c>
      <c r="J2" s="21" t="inlineStr">
        <is>
          <t>0.3 yr</t>
        </is>
      </c>
      <c r="K2" s="20" t="inlineStr">
        <is>
          <t>NPV @ 8% (equity)</t>
        </is>
      </c>
      <c r="L2" s="21" t="inlineStr">
        <is>
          <t>€17.52M</t>
        </is>
      </c>
      <c r="M2" s="20" t="inlineStr">
        <is>
          <t>Lifetime revenue</t>
        </is>
      </c>
      <c r="N2" s="21" t="inlineStr">
        <is>
          <t>€34.92M</t>
        </is>
      </c>
      <c r="O2" s="20" t="inlineStr">
        <is>
          <t>Min DSCR</t>
        </is>
      </c>
      <c r="P2" s="21" t="inlineStr">
        <is>
          <t>5.16x</t>
        </is>
      </c>
    </row>
    <row r="3"/>
    <row r="4" ht="36" customHeight="1">
      <c r="A4" s="22" t="inlineStr">
        <is>
          <t>Year</t>
        </is>
      </c>
      <c r="B4" s="22" t="inlineStr">
        <is>
          <t>aFRR capacity (€)</t>
        </is>
      </c>
      <c r="C4" s="22" t="inlineStr">
        <is>
          <t>aFRR activation (€)</t>
        </is>
      </c>
      <c r="D4" s="22" t="inlineStr">
        <is>
          <t>PZU arbitrage (€)</t>
        </is>
      </c>
      <c r="E4" s="22" t="inlineStr">
        <is>
          <t>Total revenue (€)</t>
        </is>
      </c>
      <c r="F4" s="22" t="inlineStr">
        <is>
          <t>OPEX (€)</t>
        </is>
      </c>
      <c r="G4" s="22" t="inlineStr">
        <is>
          <t>Insurance (€)</t>
        </is>
      </c>
      <c r="H4" s="22" t="inlineStr">
        <is>
          <t>EBITDA (€)</t>
        </is>
      </c>
      <c r="I4" s="22" t="inlineStr">
        <is>
          <t>Debt service (€)</t>
        </is>
      </c>
      <c r="J4" s="22" t="inlineStr">
        <is>
          <t>Augmentation (€)</t>
        </is>
      </c>
      <c r="K4" s="22" t="inlineStr">
        <is>
          <t>Cashflow after debt (€)</t>
        </is>
      </c>
      <c r="L4" s="22" t="inlineStr">
        <is>
          <t>Cumulative cashflow (€)</t>
        </is>
      </c>
      <c r="M4" s="22" t="inlineStr">
        <is>
          <t>DSCR</t>
        </is>
      </c>
      <c r="N4" s="22" t="inlineStr">
        <is>
          <t>Annual equity ROI (%)</t>
        </is>
      </c>
      <c r="O4" s="22" t="inlineStr">
        <is>
          <t>Cumulative equity ROI (%)</t>
        </is>
      </c>
    </row>
    <row r="5">
      <c r="A5" s="23" t="n">
        <v>1</v>
      </c>
      <c r="B5" s="24" t="n">
        <v>597767</v>
      </c>
      <c r="C5" s="24" t="n">
        <v>2675941</v>
      </c>
      <c r="D5" s="24" t="n">
        <v>835187</v>
      </c>
      <c r="E5" s="25" t="n">
        <v>4108895</v>
      </c>
      <c r="F5" s="26" t="n">
        <v>-70000</v>
      </c>
      <c r="G5" s="26" t="n">
        <v>-17500</v>
      </c>
      <c r="H5" s="27" t="n">
        <v>4021395</v>
      </c>
      <c r="I5" s="26" t="n">
        <v>-332876.4976399401</v>
      </c>
      <c r="J5" s="26" t="n">
        <v>0</v>
      </c>
      <c r="K5" s="28" t="n">
        <v>3688518.50236006</v>
      </c>
      <c r="L5" s="28" t="n">
        <v>3688518.50236006</v>
      </c>
      <c r="M5" s="29" t="n">
        <v>12.08074174209136</v>
      </c>
      <c r="N5" s="30" t="n">
        <v>351.2874764152438</v>
      </c>
      <c r="O5" s="30" t="n">
        <v>351.2874764152438</v>
      </c>
    </row>
    <row r="6">
      <c r="A6" s="23" t="n">
        <v>2</v>
      </c>
      <c r="B6" s="24" t="n">
        <v>582822.825</v>
      </c>
      <c r="C6" s="24" t="n">
        <v>2609042.475</v>
      </c>
      <c r="D6" s="24" t="n">
        <v>789878.10525</v>
      </c>
      <c r="E6" s="25" t="n">
        <v>3981743.40525</v>
      </c>
      <c r="F6" s="26" t="n">
        <v>-72100</v>
      </c>
      <c r="G6" s="26" t="n">
        <v>-18025</v>
      </c>
      <c r="H6" s="27" t="n">
        <v>3891618.40525</v>
      </c>
      <c r="I6" s="26" t="n">
        <v>-332876.4976399401</v>
      </c>
      <c r="J6" s="26" t="n">
        <v>0</v>
      </c>
      <c r="K6" s="28" t="n">
        <v>3558741.90761006</v>
      </c>
      <c r="L6" s="28" t="n">
        <v>7247260.40997012</v>
      </c>
      <c r="M6" s="29" t="n">
        <v>11.69087764633782</v>
      </c>
      <c r="N6" s="30" t="n">
        <v>338.9278007247676</v>
      </c>
      <c r="O6" s="30" t="n">
        <v>690.2152771400114</v>
      </c>
    </row>
    <row r="7">
      <c r="A7" s="23" t="n">
        <v>3</v>
      </c>
      <c r="B7" s="24" t="n">
        <v>426189.19078125</v>
      </c>
      <c r="C7" s="24" t="n">
        <v>1907862.30984375</v>
      </c>
      <c r="D7" s="24" t="n">
        <v>730433.670525</v>
      </c>
      <c r="E7" s="25" t="n">
        <v>3064485.17115</v>
      </c>
      <c r="F7" s="26" t="n">
        <v>-74263</v>
      </c>
      <c r="G7" s="26" t="n">
        <v>-18565.75</v>
      </c>
      <c r="H7" s="27" t="n">
        <v>2971656.42115</v>
      </c>
      <c r="I7" s="26" t="n">
        <v>-332876.4976399401</v>
      </c>
      <c r="J7" s="26" t="n">
        <v>0</v>
      </c>
      <c r="K7" s="28" t="n">
        <v>2638779.92351006</v>
      </c>
      <c r="L7" s="28" t="n">
        <v>9886040.333480179</v>
      </c>
      <c r="M7" s="29" t="n">
        <v>8.927204059820191</v>
      </c>
      <c r="N7" s="30" t="n">
        <v>251.3123736676247</v>
      </c>
      <c r="O7" s="30" t="n">
        <v>941.5276508076362</v>
      </c>
    </row>
    <row r="8">
      <c r="A8" s="23" t="n">
        <v>4</v>
      </c>
      <c r="B8" s="24" t="n">
        <v>382291.7041307812</v>
      </c>
      <c r="C8" s="24" t="n">
        <v>1736154.701957812</v>
      </c>
      <c r="D8" s="24" t="n">
        <v>673467.7837204686</v>
      </c>
      <c r="E8" s="25" t="n">
        <v>2791914.189809062</v>
      </c>
      <c r="F8" s="26" t="n">
        <v>-76490.89</v>
      </c>
      <c r="G8" s="26" t="n">
        <v>-19122.7225</v>
      </c>
      <c r="H8" s="27" t="n">
        <v>2696300.577309062</v>
      </c>
      <c r="I8" s="26" t="n">
        <v>-332876.4976399401</v>
      </c>
      <c r="J8" s="26" t="n">
        <v>0</v>
      </c>
      <c r="K8" s="28" t="n">
        <v>2363424.079669122</v>
      </c>
      <c r="L8" s="28" t="n">
        <v>12249464.4131493</v>
      </c>
      <c r="M8" s="29" t="n">
        <v>8.100002843173229</v>
      </c>
      <c r="N8" s="30" t="n">
        <v>225.0880075875354</v>
      </c>
      <c r="O8" s="30" t="n">
        <v>1166.615658395172</v>
      </c>
    </row>
    <row r="9">
      <c r="A9" s="23" t="n">
        <v>5</v>
      </c>
      <c r="B9" s="24" t="n">
        <v>340322.7235685976</v>
      </c>
      <c r="C9" s="24" t="n">
        <v>1596022.215299789</v>
      </c>
      <c r="D9" s="24" t="n">
        <v>618893.6702120858</v>
      </c>
      <c r="E9" s="25" t="n">
        <v>2555238.609080472</v>
      </c>
      <c r="F9" s="26" t="n">
        <v>-78785.61670000001</v>
      </c>
      <c r="G9" s="26" t="n">
        <v>-19696.404175</v>
      </c>
      <c r="H9" s="27" t="n">
        <v>2456756.588205472</v>
      </c>
      <c r="I9" s="26" t="n">
        <v>-332876.4976399401</v>
      </c>
      <c r="J9" s="26" t="n">
        <v>-350000</v>
      </c>
      <c r="K9" s="28" t="n">
        <v>1773880.090565532</v>
      </c>
      <c r="L9" s="28" t="n">
        <v>14023344.50371483</v>
      </c>
      <c r="M9" s="29" t="n">
        <v>7.380384634011778</v>
      </c>
      <c r="N9" s="30" t="n">
        <v>168.9409610062411</v>
      </c>
      <c r="O9" s="30" t="n">
        <v>1335.556619401413</v>
      </c>
    </row>
    <row r="10">
      <c r="A10" s="23" t="n">
        <v>6</v>
      </c>
      <c r="B10" s="24" t="n">
        <v>305480.159012765</v>
      </c>
      <c r="C10" s="24" t="n">
        <v>1461811.256285943</v>
      </c>
      <c r="D10" s="24" t="n">
        <v>566627.3450142969</v>
      </c>
      <c r="E10" s="25" t="n">
        <v>2333918.760313005</v>
      </c>
      <c r="F10" s="26" t="n">
        <v>-81149.185201</v>
      </c>
      <c r="G10" s="26" t="n">
        <v>-20287.29630025</v>
      </c>
      <c r="H10" s="27" t="n">
        <v>2232482.278811755</v>
      </c>
      <c r="I10" s="26" t="n">
        <v>-332876.4976399401</v>
      </c>
      <c r="J10" s="26" t="n">
        <v>0</v>
      </c>
      <c r="K10" s="28" t="n">
        <v>1899605.781171815</v>
      </c>
      <c r="L10" s="28" t="n">
        <v>15922950.28488665</v>
      </c>
      <c r="M10" s="29" t="n">
        <v>6.706638331753136</v>
      </c>
      <c r="N10" s="30" t="n">
        <v>180.9148363020776</v>
      </c>
      <c r="O10" s="30" t="n">
        <v>1516.47145570349</v>
      </c>
    </row>
    <row r="11">
      <c r="A11" s="23" t="n">
        <v>7</v>
      </c>
      <c r="B11" s="24" t="n">
        <v>282437.4746044746</v>
      </c>
      <c r="C11" s="24" t="n">
        <v>1333313.331338227</v>
      </c>
      <c r="D11" s="24" t="n">
        <v>516587.5275325149</v>
      </c>
      <c r="E11" s="25" t="n">
        <v>2132338.333475216</v>
      </c>
      <c r="F11" s="26" t="n">
        <v>-83583.66075703001</v>
      </c>
      <c r="G11" s="26" t="n">
        <v>-20895.9151892575</v>
      </c>
      <c r="H11" s="27" t="n">
        <v>2027858.757528929</v>
      </c>
      <c r="I11" s="26" t="n">
        <v>-332876.4976399401</v>
      </c>
      <c r="J11" s="26" t="n">
        <v>0</v>
      </c>
      <c r="K11" s="28" t="n">
        <v>1694982.259888989</v>
      </c>
      <c r="L11" s="28" t="n">
        <v>17617932.54477564</v>
      </c>
      <c r="M11" s="29" t="n">
        <v>6.091925299341459</v>
      </c>
      <c r="N11" s="30" t="n">
        <v>161.4268818941894</v>
      </c>
      <c r="O11" s="30" t="n">
        <v>1677.89833759768</v>
      </c>
    </row>
    <row r="12">
      <c r="A12" s="23" t="n">
        <v>8</v>
      </c>
      <c r="B12" s="24" t="n">
        <v>275376.5377393627</v>
      </c>
      <c r="C12" s="24" t="n">
        <v>1232740.127465731</v>
      </c>
      <c r="D12" s="24" t="n">
        <v>475691.0149361908</v>
      </c>
      <c r="E12" s="25" t="n">
        <v>1983807.680141285</v>
      </c>
      <c r="F12" s="26" t="n">
        <v>-86091.17057974091</v>
      </c>
      <c r="G12" s="26" t="n">
        <v>-21522.79264493523</v>
      </c>
      <c r="H12" s="27" t="n">
        <v>1876193.716916609</v>
      </c>
      <c r="I12" s="26" t="n">
        <v>-332876.4976399401</v>
      </c>
      <c r="J12" s="26" t="n">
        <v>0</v>
      </c>
      <c r="K12" s="28" t="n">
        <v>1543317.219276669</v>
      </c>
      <c r="L12" s="28" t="n">
        <v>19161249.7640523</v>
      </c>
      <c r="M12" s="29" t="n">
        <v>5.636305747683083</v>
      </c>
      <c r="N12" s="30" t="n">
        <v>146.9825923120637</v>
      </c>
      <c r="O12" s="30" t="n">
        <v>1824.880929909743</v>
      </c>
    </row>
    <row r="13">
      <c r="A13" s="23" t="n">
        <v>9</v>
      </c>
      <c r="B13" s="24" t="n">
        <v>268492.1242958786</v>
      </c>
      <c r="C13" s="24" t="n">
        <v>1201921.624279088</v>
      </c>
      <c r="D13" s="24" t="n">
        <v>436516.4607649751</v>
      </c>
      <c r="E13" s="25" t="n">
        <v>1906930.209339942</v>
      </c>
      <c r="F13" s="26" t="n">
        <v>-88673.90569713314</v>
      </c>
      <c r="G13" s="26" t="n">
        <v>-22168.47642428329</v>
      </c>
      <c r="H13" s="27" t="n">
        <v>1796087.827218525</v>
      </c>
      <c r="I13" s="26" t="n">
        <v>-332876.4976399401</v>
      </c>
      <c r="J13" s="26" t="n">
        <v>0</v>
      </c>
      <c r="K13" s="28" t="n">
        <v>1463211.329578585</v>
      </c>
      <c r="L13" s="28" t="n">
        <v>20624461.09363089</v>
      </c>
      <c r="M13" s="29" t="n">
        <v>5.395658269516177</v>
      </c>
      <c r="N13" s="30" t="n">
        <v>139.3534599598653</v>
      </c>
      <c r="O13" s="30" t="n">
        <v>1964.234389869608</v>
      </c>
    </row>
    <row r="14">
      <c r="A14" s="23" t="n">
        <v>10</v>
      </c>
      <c r="B14" s="24" t="n">
        <v>261779.8211884816</v>
      </c>
      <c r="C14" s="24" t="n">
        <v>1171873.583672111</v>
      </c>
      <c r="D14" s="24" t="n">
        <v>399003.3274179849</v>
      </c>
      <c r="E14" s="25" t="n">
        <v>1832656.732278577</v>
      </c>
      <c r="F14" s="26" t="n">
        <v>-91334.12286804714</v>
      </c>
      <c r="G14" s="26" t="n">
        <v>-22833.53071701178</v>
      </c>
      <c r="H14" s="27" t="n">
        <v>1718489.078693518</v>
      </c>
      <c r="I14" s="26" t="n">
        <v>-332876.4976399401</v>
      </c>
      <c r="J14" s="26" t="n">
        <v>-350000</v>
      </c>
      <c r="K14" s="28" t="n">
        <v>1035612.581053578</v>
      </c>
      <c r="L14" s="28" t="n">
        <v>21660073.67468446</v>
      </c>
      <c r="M14" s="29" t="n">
        <v>5.162542537179489</v>
      </c>
      <c r="N14" s="30" t="n">
        <v>98.62976962415031</v>
      </c>
      <c r="O14" s="30" t="n">
        <v>2062.864159493759</v>
      </c>
    </row>
    <row r="15">
      <c r="A15" s="23" t="n">
        <v>11</v>
      </c>
      <c r="B15" s="24" t="n">
        <v>255235.3256587696</v>
      </c>
      <c r="C15" s="24" t="n">
        <v>1142576.744080308</v>
      </c>
      <c r="D15" s="24" t="n">
        <v>369576.8320209085</v>
      </c>
      <c r="E15" s="25" t="n">
        <v>1767388.901759986</v>
      </c>
      <c r="F15" s="26" t="n">
        <v>-94074.14655408855</v>
      </c>
      <c r="G15" s="26" t="n">
        <v>-23518.53663852214</v>
      </c>
      <c r="H15" s="27" t="n">
        <v>1649796.218567376</v>
      </c>
      <c r="I15" s="26" t="n">
        <v>0</v>
      </c>
      <c r="J15" s="26" t="n">
        <v>0</v>
      </c>
      <c r="K15" s="28" t="n">
        <v>1649796.218567376</v>
      </c>
      <c r="L15" s="28" t="n">
        <v>23309869.89325184</v>
      </c>
      <c r="M15" s="29" t="n">
        <v/>
      </c>
      <c r="N15" s="30" t="n">
        <v>157.1234493873691</v>
      </c>
      <c r="O15" s="30" t="n">
        <v>2219.987608881127</v>
      </c>
    </row>
    <row r="16">
      <c r="A16" s="23" t="n">
        <v>12</v>
      </c>
      <c r="B16" s="24" t="n">
        <v>248854.4425173004</v>
      </c>
      <c r="C16" s="24" t="n">
        <v>1114012.3254783</v>
      </c>
      <c r="D16" s="24" t="n">
        <v>341372.2843140498</v>
      </c>
      <c r="E16" s="25" t="n">
        <v>1704239.05230965</v>
      </c>
      <c r="F16" s="26" t="n">
        <v>-96896.37095071122</v>
      </c>
      <c r="G16" s="26" t="n">
        <v>-24224.09273767781</v>
      </c>
      <c r="H16" s="27" t="n">
        <v>1583118.588621262</v>
      </c>
      <c r="I16" s="26" t="n">
        <v>0</v>
      </c>
      <c r="J16" s="26" t="n">
        <v>0</v>
      </c>
      <c r="K16" s="28" t="n">
        <v>1583118.588621262</v>
      </c>
      <c r="L16" s="28" t="n">
        <v>24892988.4818731</v>
      </c>
      <c r="M16" s="29" t="n">
        <v/>
      </c>
      <c r="N16" s="30" t="n">
        <v>150.7731989163106</v>
      </c>
      <c r="O16" s="30" t="n">
        <v>2370.760807797438</v>
      </c>
    </row>
    <row r="17">
      <c r="A17" s="23" t="n">
        <v>13</v>
      </c>
      <c r="B17" s="24" t="n">
        <v>242633.0814543678</v>
      </c>
      <c r="C17" s="24" t="n">
        <v>1086162.017341343</v>
      </c>
      <c r="D17" s="24" t="n">
        <v>314346.9784725208</v>
      </c>
      <c r="E17" s="25" t="n">
        <v>1643142.077268231</v>
      </c>
      <c r="F17" s="26" t="n">
        <v>-99803.26207923255</v>
      </c>
      <c r="G17" s="26" t="n">
        <v>-24950.81551980814</v>
      </c>
      <c r="H17" s="27" t="n">
        <v>1518387.999669191</v>
      </c>
      <c r="I17" s="26" t="n">
        <v>0</v>
      </c>
      <c r="J17" s="26" t="n">
        <v>0</v>
      </c>
      <c r="K17" s="28" t="n">
        <v>1518387.999669191</v>
      </c>
      <c r="L17" s="28" t="n">
        <v>26411376.48154229</v>
      </c>
      <c r="M17" s="29" t="n">
        <v/>
      </c>
      <c r="N17" s="30" t="n">
        <v>144.6083809208753</v>
      </c>
      <c r="O17" s="30" t="n">
        <v>2515.369188718314</v>
      </c>
    </row>
    <row r="18">
      <c r="A18" s="23" t="n">
        <v>14</v>
      </c>
      <c r="B18" s="24" t="n">
        <v>236567.2544180086</v>
      </c>
      <c r="C18" s="24" t="n">
        <v>1059007.966907809</v>
      </c>
      <c r="D18" s="24" t="n">
        <v>288459.580245372</v>
      </c>
      <c r="E18" s="25" t="n">
        <v>1584034.80157119</v>
      </c>
      <c r="F18" s="26" t="n">
        <v>-102797.3599416095</v>
      </c>
      <c r="G18" s="26" t="n">
        <v>-25699.33998540238</v>
      </c>
      <c r="H18" s="27" t="n">
        <v>1455538.101644178</v>
      </c>
      <c r="I18" s="26" t="n">
        <v>0</v>
      </c>
      <c r="J18" s="26" t="n">
        <v>0</v>
      </c>
      <c r="K18" s="28" t="n">
        <v>1455538.101644178</v>
      </c>
      <c r="L18" s="28" t="n">
        <v>27866914.58318647</v>
      </c>
      <c r="M18" s="29" t="n">
        <v/>
      </c>
      <c r="N18" s="30" t="n">
        <v>138.6226763470646</v>
      </c>
      <c r="O18" s="30" t="n">
        <v>2653.991865065378</v>
      </c>
    </row>
    <row r="19">
      <c r="A19" s="23" t="n">
        <v>15</v>
      </c>
      <c r="B19" s="24" t="n">
        <v>230653.0730575584</v>
      </c>
      <c r="C19" s="24" t="n">
        <v>1032532.767735114</v>
      </c>
      <c r="D19" s="24" t="n">
        <v>269529.4202917695</v>
      </c>
      <c r="E19" s="25" t="n">
        <v>1532715.261084442</v>
      </c>
      <c r="F19" s="26" t="n">
        <v>-105881.2807398578</v>
      </c>
      <c r="G19" s="26" t="n">
        <v>-26470.32018496446</v>
      </c>
      <c r="H19" s="27" t="n">
        <v>1400363.66015962</v>
      </c>
      <c r="I19" s="26" t="n">
        <v>0</v>
      </c>
      <c r="J19" s="26" t="n">
        <v>0</v>
      </c>
      <c r="K19" s="28" t="n">
        <v>1400363.66015962</v>
      </c>
      <c r="L19" s="28" t="n">
        <v>29267278.24334609</v>
      </c>
      <c r="M19" s="29" t="n">
        <v/>
      </c>
      <c r="N19" s="30" t="n">
        <v>133.3679676342495</v>
      </c>
      <c r="O19" s="30" t="n">
        <v>2787.359832699628</v>
      </c>
    </row>
    <row r="21">
      <c r="A21" s="4" t="inlineStr">
        <is>
          <t>Scenario description</t>
        </is>
      </c>
    </row>
    <row r="22" ht="60" customHeight="1">
      <c r="A22" s="16" t="inlineStr">
        <is>
          <t>Y1 reflects today's Romanian state: 10% market share, pre-PICASSO. PICASSO assumed to go live at Y3 → -25% step on capacity + activation. Standard compression schedule (8%/yr from Y3) bottoms at 55% of Y1 by Y8.</t>
        </is>
      </c>
    </row>
  </sheetData>
  <mergeCells count="3">
    <mergeCell ref="A22:O22"/>
    <mergeCell ref="A1:P1"/>
    <mergeCell ref="A21:O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9" customWidth="1" min="13" max="13"/>
    <col width="13" customWidth="1" min="14" max="14"/>
    <col width="16" customWidth="1" min="15" max="15"/>
  </cols>
  <sheetData>
    <row r="1" ht="28" customHeight="1">
      <c r="A1" s="17" t="inlineStr">
        <is>
          <t>B. PICASSO go-live (Y1) (10% share)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>
      <c r="A2" s="20" t="inlineStr">
        <is>
          <t>Y1 revenue</t>
        </is>
      </c>
      <c r="B2" s="21" t="inlineStr">
        <is>
          <t>€3.29M</t>
        </is>
      </c>
      <c r="C2" s="20" t="inlineStr">
        <is>
          <t>Y1 cashflow after debt</t>
        </is>
      </c>
      <c r="D2" s="21" t="inlineStr">
        <is>
          <t>€2.87M</t>
        </is>
      </c>
      <c r="E2" s="20" t="inlineStr">
        <is>
          <t>Equity IRR</t>
        </is>
      </c>
      <c r="F2" s="21" t="inlineStr">
        <is>
          <t>268.17%</t>
        </is>
      </c>
      <c r="G2" s="20" t="inlineStr">
        <is>
          <t>Project IRR</t>
        </is>
      </c>
      <c r="H2" s="21" t="inlineStr">
        <is>
          <t>85.46%</t>
        </is>
      </c>
      <c r="I2" s="20" t="inlineStr">
        <is>
          <t>Equity payback</t>
        </is>
      </c>
      <c r="J2" s="21" t="inlineStr">
        <is>
          <t>0.4 yr</t>
        </is>
      </c>
      <c r="K2" s="20" t="inlineStr">
        <is>
          <t>NPV @ 8% (equity)</t>
        </is>
      </c>
      <c r="L2" s="21" t="inlineStr">
        <is>
          <t>€15.78M</t>
        </is>
      </c>
      <c r="M2" s="20" t="inlineStr">
        <is>
          <t>Lifetime revenue</t>
        </is>
      </c>
      <c r="N2" s="21" t="inlineStr">
        <is>
          <t>€32.73M</t>
        </is>
      </c>
      <c r="O2" s="20" t="inlineStr">
        <is>
          <t>Min DSCR</t>
        </is>
      </c>
      <c r="P2" s="21" t="inlineStr">
        <is>
          <t>4.97x</t>
        </is>
      </c>
    </row>
    <row r="3"/>
    <row r="4" ht="36" customHeight="1">
      <c r="A4" s="22" t="inlineStr">
        <is>
          <t>Year</t>
        </is>
      </c>
      <c r="B4" s="22" t="inlineStr">
        <is>
          <t>aFRR capacity (€)</t>
        </is>
      </c>
      <c r="C4" s="22" t="inlineStr">
        <is>
          <t>aFRR activation (€)</t>
        </is>
      </c>
      <c r="D4" s="22" t="inlineStr">
        <is>
          <t>PZU arbitrage (€)</t>
        </is>
      </c>
      <c r="E4" s="22" t="inlineStr">
        <is>
          <t>Total revenue (€)</t>
        </is>
      </c>
      <c r="F4" s="22" t="inlineStr">
        <is>
          <t>OPEX (€)</t>
        </is>
      </c>
      <c r="G4" s="22" t="inlineStr">
        <is>
          <t>Insurance (€)</t>
        </is>
      </c>
      <c r="H4" s="22" t="inlineStr">
        <is>
          <t>EBITDA (€)</t>
        </is>
      </c>
      <c r="I4" s="22" t="inlineStr">
        <is>
          <t>Debt service (€)</t>
        </is>
      </c>
      <c r="J4" s="22" t="inlineStr">
        <is>
          <t>Augmentation (€)</t>
        </is>
      </c>
      <c r="K4" s="22" t="inlineStr">
        <is>
          <t>Cashflow after debt (€)</t>
        </is>
      </c>
      <c r="L4" s="22" t="inlineStr">
        <is>
          <t>Cumulative cashflow (€)</t>
        </is>
      </c>
      <c r="M4" s="22" t="inlineStr">
        <is>
          <t>DSCR</t>
        </is>
      </c>
      <c r="N4" s="22" t="inlineStr">
        <is>
          <t>Annual equity ROI (%)</t>
        </is>
      </c>
      <c r="O4" s="22" t="inlineStr">
        <is>
          <t>Cumulative equity ROI (%)</t>
        </is>
      </c>
    </row>
    <row r="5">
      <c r="A5" s="23" t="n">
        <v>1</v>
      </c>
      <c r="B5" s="24" t="n">
        <v>448725</v>
      </c>
      <c r="C5" s="24" t="n">
        <v>2006956</v>
      </c>
      <c r="D5" s="24" t="n">
        <v>835187</v>
      </c>
      <c r="E5" s="25" t="n">
        <v>3290868</v>
      </c>
      <c r="F5" s="26" t="n">
        <v>-70000</v>
      </c>
      <c r="G5" s="26" t="n">
        <v>-17500</v>
      </c>
      <c r="H5" s="27" t="n">
        <v>3203368</v>
      </c>
      <c r="I5" s="26" t="n">
        <v>-332876.4976399401</v>
      </c>
      <c r="J5" s="26" t="n">
        <v>0</v>
      </c>
      <c r="K5" s="28" t="n">
        <v>2870491.50236006</v>
      </c>
      <c r="L5" s="28" t="n">
        <v>2870491.50236006</v>
      </c>
      <c r="M5" s="29" t="n">
        <v>9.623292790904577</v>
      </c>
      <c r="N5" s="30" t="n">
        <v>273.3801430819104</v>
      </c>
      <c r="O5" s="30" t="n">
        <v>273.3801430819104</v>
      </c>
    </row>
    <row r="6">
      <c r="A6" s="23" t="n">
        <v>2</v>
      </c>
      <c r="B6" s="24" t="n">
        <v>437506.875</v>
      </c>
      <c r="C6" s="24" t="n">
        <v>1956782.1</v>
      </c>
      <c r="D6" s="24" t="n">
        <v>789878.10525</v>
      </c>
      <c r="E6" s="25" t="n">
        <v>3184167.08025</v>
      </c>
      <c r="F6" s="26" t="n">
        <v>-72100</v>
      </c>
      <c r="G6" s="26" t="n">
        <v>-18025</v>
      </c>
      <c r="H6" s="27" t="n">
        <v>3094042.08025</v>
      </c>
      <c r="I6" s="26" t="n">
        <v>-332876.4976399401</v>
      </c>
      <c r="J6" s="26" t="n">
        <v>0</v>
      </c>
      <c r="K6" s="28" t="n">
        <v>2761165.58261006</v>
      </c>
      <c r="L6" s="28" t="n">
        <v>5631657.084970119</v>
      </c>
      <c r="M6" s="29" t="n">
        <v>9.294864918930706</v>
      </c>
      <c r="N6" s="30" t="n">
        <v>262.9681507247676</v>
      </c>
      <c r="O6" s="30" t="n">
        <v>536.348293806678</v>
      </c>
    </row>
    <row r="7">
      <c r="A7" s="23" t="n">
        <v>3</v>
      </c>
      <c r="B7" s="24" t="n">
        <v>405240.74296875</v>
      </c>
      <c r="C7" s="24" t="n">
        <v>1812469.420125</v>
      </c>
      <c r="D7" s="24" t="n">
        <v>730433.670525</v>
      </c>
      <c r="E7" s="25" t="n">
        <v>2948143.83361875</v>
      </c>
      <c r="F7" s="26" t="n">
        <v>-74263</v>
      </c>
      <c r="G7" s="26" t="n">
        <v>-18565.75</v>
      </c>
      <c r="H7" s="27" t="n">
        <v>2855315.08361875</v>
      </c>
      <c r="I7" s="26" t="n">
        <v>-332876.4976399401</v>
      </c>
      <c r="J7" s="26" t="n">
        <v>0</v>
      </c>
      <c r="K7" s="28" t="n">
        <v>2522438.58597881</v>
      </c>
      <c r="L7" s="28" t="n">
        <v>8154095.670948929</v>
      </c>
      <c r="M7" s="29" t="n">
        <v>8.577701050878142</v>
      </c>
      <c r="N7" s="30" t="n">
        <v>240.2322462836962</v>
      </c>
      <c r="O7" s="30" t="n">
        <v>776.5805400903743</v>
      </c>
    </row>
    <row r="8">
      <c r="A8" s="23" t="n">
        <v>4</v>
      </c>
      <c r="B8" s="24" t="n">
        <v>374314.4757421875</v>
      </c>
      <c r="C8" s="24" t="n">
        <v>1674149.38543125</v>
      </c>
      <c r="D8" s="24" t="n">
        <v>673467.7837204686</v>
      </c>
      <c r="E8" s="25" t="n">
        <v>2721931.644893906</v>
      </c>
      <c r="F8" s="26" t="n">
        <v>-76490.89</v>
      </c>
      <c r="G8" s="26" t="n">
        <v>-19122.7225</v>
      </c>
      <c r="H8" s="27" t="n">
        <v>2626318.032393906</v>
      </c>
      <c r="I8" s="26" t="n">
        <v>-332876.4976399401</v>
      </c>
      <c r="J8" s="26" t="n">
        <v>0</v>
      </c>
      <c r="K8" s="28" t="n">
        <v>2293441.534753966</v>
      </c>
      <c r="L8" s="28" t="n">
        <v>10447537.2057029</v>
      </c>
      <c r="M8" s="29" t="n">
        <v>7.889767078824214</v>
      </c>
      <c r="N8" s="30" t="n">
        <v>218.4230033099015</v>
      </c>
      <c r="O8" s="30" t="n">
        <v>995.0035434002757</v>
      </c>
    </row>
    <row r="9">
      <c r="A9" s="23" t="n">
        <v>5</v>
      </c>
      <c r="B9" s="24" t="n">
        <v>348736.3198998047</v>
      </c>
      <c r="C9" s="24" t="n">
        <v>1559749.177426781</v>
      </c>
      <c r="D9" s="24" t="n">
        <v>618893.6702120858</v>
      </c>
      <c r="E9" s="25" t="n">
        <v>2527379.167538672</v>
      </c>
      <c r="F9" s="26" t="n">
        <v>-78785.61670000001</v>
      </c>
      <c r="G9" s="26" t="n">
        <v>-19696.404175</v>
      </c>
      <c r="H9" s="27" t="n">
        <v>2428897.146663672</v>
      </c>
      <c r="I9" s="26" t="n">
        <v>-332876.4976399401</v>
      </c>
      <c r="J9" s="26" t="n">
        <v>-350000</v>
      </c>
      <c r="K9" s="28" t="n">
        <v>1746020.649023732</v>
      </c>
      <c r="L9" s="28" t="n">
        <v>12193557.85472663</v>
      </c>
      <c r="M9" s="29" t="n">
        <v>7.296691607500983</v>
      </c>
      <c r="N9" s="30" t="n">
        <v>166.287680859403</v>
      </c>
      <c r="O9" s="30" t="n">
        <v>1161.291224259679</v>
      </c>
    </row>
    <row r="10">
      <c r="A10" s="23" t="n">
        <v>6</v>
      </c>
      <c r="B10" s="24" t="n">
        <v>324203.1253022021</v>
      </c>
      <c r="C10" s="24" t="n">
        <v>1450022.636456641</v>
      </c>
      <c r="D10" s="24" t="n">
        <v>566627.3450142969</v>
      </c>
      <c r="E10" s="25" t="n">
        <v>2340853.10677314</v>
      </c>
      <c r="F10" s="26" t="n">
        <v>-81149.185201</v>
      </c>
      <c r="G10" s="26" t="n">
        <v>-20287.29630025</v>
      </c>
      <c r="H10" s="27" t="n">
        <v>2239416.62527189</v>
      </c>
      <c r="I10" s="26" t="n">
        <v>-332876.4976399401</v>
      </c>
      <c r="J10" s="26" t="n">
        <v>0</v>
      </c>
      <c r="K10" s="28" t="n">
        <v>1906540.12763195</v>
      </c>
      <c r="L10" s="28" t="n">
        <v>14100097.98235858</v>
      </c>
      <c r="M10" s="29" t="n">
        <v>6.72746992097406</v>
      </c>
      <c r="N10" s="30" t="n">
        <v>181.5752502506619</v>
      </c>
      <c r="O10" s="30" t="n">
        <v>1342.866474510341</v>
      </c>
    </row>
    <row r="11">
      <c r="A11" s="23" t="n">
        <v>7</v>
      </c>
      <c r="B11" s="24" t="n">
        <v>300678.6302345424</v>
      </c>
      <c r="C11" s="24" t="n">
        <v>1344807.579299117</v>
      </c>
      <c r="D11" s="24" t="n">
        <v>516587.5275325149</v>
      </c>
      <c r="E11" s="25" t="n">
        <v>2162073.737066174</v>
      </c>
      <c r="F11" s="26" t="n">
        <v>-83583.66075703001</v>
      </c>
      <c r="G11" s="26" t="n">
        <v>-20895.9151892575</v>
      </c>
      <c r="H11" s="27" t="n">
        <v>2057594.161119886</v>
      </c>
      <c r="I11" s="26" t="n">
        <v>-332876.4976399401</v>
      </c>
      <c r="J11" s="26" t="n">
        <v>0</v>
      </c>
      <c r="K11" s="28" t="n">
        <v>1724717.663479946</v>
      </c>
      <c r="L11" s="28" t="n">
        <v>15824815.64583852</v>
      </c>
      <c r="M11" s="29" t="n">
        <v>6.181253935642846</v>
      </c>
      <c r="N11" s="30" t="n">
        <v>164.2588250933282</v>
      </c>
      <c r="O11" s="30" t="n">
        <v>1507.125299603669</v>
      </c>
    </row>
    <row r="12">
      <c r="A12" s="23" t="n">
        <v>8</v>
      </c>
      <c r="B12" s="24" t="n">
        <v>278127.7329669517</v>
      </c>
      <c r="C12" s="24" t="n">
        <v>1243947.010851683</v>
      </c>
      <c r="D12" s="24" t="n">
        <v>475691.0149361908</v>
      </c>
      <c r="E12" s="25" t="n">
        <v>1997765.758754825</v>
      </c>
      <c r="F12" s="26" t="n">
        <v>-86091.17057974091</v>
      </c>
      <c r="G12" s="26" t="n">
        <v>-21522.79264493523</v>
      </c>
      <c r="H12" s="27" t="n">
        <v>1890151.795530149</v>
      </c>
      <c r="I12" s="26" t="n">
        <v>-332876.4976399401</v>
      </c>
      <c r="J12" s="26" t="n">
        <v>0</v>
      </c>
      <c r="K12" s="28" t="n">
        <v>1557275.297890209</v>
      </c>
      <c r="L12" s="28" t="n">
        <v>17382090.94372873</v>
      </c>
      <c r="M12" s="29" t="n">
        <v>5.678237451220286</v>
      </c>
      <c r="N12" s="30" t="n">
        <v>148.3119331324009</v>
      </c>
      <c r="O12" s="30" t="n">
        <v>1655.43723273607</v>
      </c>
    </row>
    <row r="13">
      <c r="A13" s="23" t="n">
        <v>9</v>
      </c>
      <c r="B13" s="24" t="n">
        <v>260180.9772248274</v>
      </c>
      <c r="C13" s="24" t="n">
        <v>1163678.808462267</v>
      </c>
      <c r="D13" s="24" t="n">
        <v>436516.4607649751</v>
      </c>
      <c r="E13" s="25" t="n">
        <v>1860376.246452069</v>
      </c>
      <c r="F13" s="26" t="n">
        <v>-88673.90569713314</v>
      </c>
      <c r="G13" s="26" t="n">
        <v>-22168.47642428329</v>
      </c>
      <c r="H13" s="27" t="n">
        <v>1749533.864330653</v>
      </c>
      <c r="I13" s="26" t="n">
        <v>-332876.4976399401</v>
      </c>
      <c r="J13" s="26" t="n">
        <v>0</v>
      </c>
      <c r="K13" s="28" t="n">
        <v>1416657.366690713</v>
      </c>
      <c r="L13" s="28" t="n">
        <v>18798748.31041945</v>
      </c>
      <c r="M13" s="29" t="n">
        <v>5.255804710559822</v>
      </c>
      <c r="N13" s="30" t="n">
        <v>134.9197492086393</v>
      </c>
      <c r="O13" s="30" t="n">
        <v>1790.356981944709</v>
      </c>
    </row>
    <row r="14">
      <c r="A14" s="23" t="n">
        <v>10</v>
      </c>
      <c r="B14" s="24" t="n">
        <v>250103.5450083728</v>
      </c>
      <c r="C14" s="24" t="n">
        <v>1118606.74193732</v>
      </c>
      <c r="D14" s="24" t="n">
        <v>399003.3274179849</v>
      </c>
      <c r="E14" s="25" t="n">
        <v>1767713.614363677</v>
      </c>
      <c r="F14" s="26" t="n">
        <v>-91334.12286804714</v>
      </c>
      <c r="G14" s="26" t="n">
        <v>-22833.53071701178</v>
      </c>
      <c r="H14" s="27" t="n">
        <v>1653545.960778618</v>
      </c>
      <c r="I14" s="26" t="n">
        <v>-332876.4976399401</v>
      </c>
      <c r="J14" s="26" t="n">
        <v>-350000</v>
      </c>
      <c r="K14" s="28" t="n">
        <v>970669.4631386783</v>
      </c>
      <c r="L14" s="28" t="n">
        <v>19769417.77355812</v>
      </c>
      <c r="M14" s="29" t="n">
        <v>4.967445801977875</v>
      </c>
      <c r="N14" s="30" t="n">
        <v>92.44471077511223</v>
      </c>
      <c r="O14" s="30" t="n">
        <v>1882.801692719821</v>
      </c>
    </row>
    <row r="15">
      <c r="A15" s="23" t="n">
        <v>11</v>
      </c>
      <c r="B15" s="24" t="n">
        <v>243850.9563831635</v>
      </c>
      <c r="C15" s="24" t="n">
        <v>1090641.573388887</v>
      </c>
      <c r="D15" s="24" t="n">
        <v>369576.8320209085</v>
      </c>
      <c r="E15" s="25" t="n">
        <v>1704069.361792959</v>
      </c>
      <c r="F15" s="26" t="n">
        <v>-94074.14655408855</v>
      </c>
      <c r="G15" s="26" t="n">
        <v>-23518.53663852214</v>
      </c>
      <c r="H15" s="27" t="n">
        <v>1586476.678600349</v>
      </c>
      <c r="I15" s="26" t="n">
        <v>0</v>
      </c>
      <c r="J15" s="26" t="n">
        <v>0</v>
      </c>
      <c r="K15" s="28" t="n">
        <v>1586476.678600349</v>
      </c>
      <c r="L15" s="28" t="n">
        <v>21355894.45215847</v>
      </c>
      <c r="M15" s="29" t="n">
        <v/>
      </c>
      <c r="N15" s="30" t="n">
        <v>151.093017009557</v>
      </c>
      <c r="O15" s="30" t="n">
        <v>2033.894709729378</v>
      </c>
    </row>
    <row r="16">
      <c r="A16" s="23" t="n">
        <v>12</v>
      </c>
      <c r="B16" s="24" t="n">
        <v>237754.6824735844</v>
      </c>
      <c r="C16" s="24" t="n">
        <v>1063375.534054165</v>
      </c>
      <c r="D16" s="24" t="n">
        <v>341372.2843140498</v>
      </c>
      <c r="E16" s="25" t="n">
        <v>1642502.500841799</v>
      </c>
      <c r="F16" s="26" t="n">
        <v>-96896.37095071122</v>
      </c>
      <c r="G16" s="26" t="n">
        <v>-24224.09273767781</v>
      </c>
      <c r="H16" s="27" t="n">
        <v>1521382.03715341</v>
      </c>
      <c r="I16" s="26" t="n">
        <v>0</v>
      </c>
      <c r="J16" s="26" t="n">
        <v>0</v>
      </c>
      <c r="K16" s="28" t="n">
        <v>1521382.03715341</v>
      </c>
      <c r="L16" s="28" t="n">
        <v>22877276.48931188</v>
      </c>
      <c r="M16" s="29" t="n">
        <v/>
      </c>
      <c r="N16" s="30" t="n">
        <v>144.8935273479438</v>
      </c>
      <c r="O16" s="30" t="n">
        <v>2178.788237077322</v>
      </c>
    </row>
    <row r="17">
      <c r="A17" s="23" t="n">
        <v>13</v>
      </c>
      <c r="B17" s="24" t="n">
        <v>231810.8154117448</v>
      </c>
      <c r="C17" s="24" t="n">
        <v>1036791.14570281</v>
      </c>
      <c r="D17" s="24" t="n">
        <v>314346.9784725208</v>
      </c>
      <c r="E17" s="25" t="n">
        <v>1582948.939587076</v>
      </c>
      <c r="F17" s="26" t="n">
        <v>-99803.26207923255</v>
      </c>
      <c r="G17" s="26" t="n">
        <v>-24950.81551980814</v>
      </c>
      <c r="H17" s="27" t="n">
        <v>1458194.861988035</v>
      </c>
      <c r="I17" s="26" t="n">
        <v>0</v>
      </c>
      <c r="J17" s="26" t="n">
        <v>0</v>
      </c>
      <c r="K17" s="28" t="n">
        <v>1458194.861988035</v>
      </c>
      <c r="L17" s="28" t="n">
        <v>24335471.35129992</v>
      </c>
      <c r="M17" s="29" t="n">
        <v/>
      </c>
      <c r="N17" s="30" t="n">
        <v>138.8757011417176</v>
      </c>
      <c r="O17" s="30" t="n">
        <v>2317.66393821904</v>
      </c>
    </row>
    <row r="18">
      <c r="A18" s="23" t="n">
        <v>14</v>
      </c>
      <c r="B18" s="24" t="n">
        <v>226015.5450264511</v>
      </c>
      <c r="C18" s="24" t="n">
        <v>1010871.36706024</v>
      </c>
      <c r="D18" s="24" t="n">
        <v>288459.580245372</v>
      </c>
      <c r="E18" s="25" t="n">
        <v>1525346.492332063</v>
      </c>
      <c r="F18" s="26" t="n">
        <v>-102797.3599416095</v>
      </c>
      <c r="G18" s="26" t="n">
        <v>-25699.33998540238</v>
      </c>
      <c r="H18" s="27" t="n">
        <v>1396849.792405051</v>
      </c>
      <c r="I18" s="26" t="n">
        <v>0</v>
      </c>
      <c r="J18" s="26" t="n">
        <v>0</v>
      </c>
      <c r="K18" s="28" t="n">
        <v>1396849.792405051</v>
      </c>
      <c r="L18" s="28" t="n">
        <v>25732321.14370497</v>
      </c>
      <c r="M18" s="29" t="n">
        <v/>
      </c>
      <c r="N18" s="30" t="n">
        <v>133.0333135623859</v>
      </c>
      <c r="O18" s="30" t="n">
        <v>2450.697251781426</v>
      </c>
    </row>
    <row r="19">
      <c r="A19" s="23" t="n">
        <v>15</v>
      </c>
      <c r="B19" s="24" t="n">
        <v>220365.1564007899</v>
      </c>
      <c r="C19" s="24" t="n">
        <v>985599.5828837343</v>
      </c>
      <c r="D19" s="24" t="n">
        <v>269529.4202917695</v>
      </c>
      <c r="E19" s="25" t="n">
        <v>1475494.159576294</v>
      </c>
      <c r="F19" s="26" t="n">
        <v>-105881.2807398578</v>
      </c>
      <c r="G19" s="26" t="n">
        <v>-26470.32018496446</v>
      </c>
      <c r="H19" s="27" t="n">
        <v>1343142.558651472</v>
      </c>
      <c r="I19" s="26" t="n">
        <v>0</v>
      </c>
      <c r="J19" s="26" t="n">
        <v>0</v>
      </c>
      <c r="K19" s="28" t="n">
        <v>1343142.558651472</v>
      </c>
      <c r="L19" s="28" t="n">
        <v>27075463.70235644</v>
      </c>
      <c r="M19" s="29" t="n">
        <v/>
      </c>
      <c r="N19" s="30" t="n">
        <v>127.9183389191878</v>
      </c>
      <c r="O19" s="30" t="n">
        <v>2578.615590700613</v>
      </c>
    </row>
    <row r="21">
      <c r="A21" s="4" t="inlineStr">
        <is>
          <t>Scenario description</t>
        </is>
      </c>
    </row>
    <row r="22" ht="60" customHeight="1">
      <c r="A22" s="16" t="inlineStr">
        <is>
          <t>PICASSO already live at Y1 (alternate timeline if Hungary connects faster). Y1 base already incorporates -25% from current. Slower compression (~5%/yr) post-PICASSO since extreme tail already capped. Floor at 70% Y1.</t>
        </is>
      </c>
    </row>
  </sheetData>
  <mergeCells count="3">
    <mergeCell ref="A22:O22"/>
    <mergeCell ref="A1:P1"/>
    <mergeCell ref="A21:O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9" customWidth="1" min="13" max="13"/>
    <col width="13" customWidth="1" min="14" max="14"/>
    <col width="16" customWidth="1" min="15" max="15"/>
  </cols>
  <sheetData>
    <row r="1" ht="28" customHeight="1">
      <c r="A1" s="17" t="inlineStr">
        <is>
          <t>C. Mature market (5% share, -40%)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>
      <c r="A2" s="20" t="inlineStr">
        <is>
          <t>Y1 revenue</t>
        </is>
      </c>
      <c r="B2" s="21" t="inlineStr">
        <is>
          <t>€2.83M</t>
        </is>
      </c>
      <c r="C2" s="20" t="inlineStr">
        <is>
          <t>Y1 cashflow after debt</t>
        </is>
      </c>
      <c r="D2" s="21" t="inlineStr">
        <is>
          <t>€2.41M</t>
        </is>
      </c>
      <c r="E2" s="20" t="inlineStr">
        <is>
          <t>Equity IRR</t>
        </is>
      </c>
      <c r="F2" s="21" t="inlineStr">
        <is>
          <t>222.57%</t>
        </is>
      </c>
      <c r="G2" s="20" t="inlineStr">
        <is>
          <t>Project IRR</t>
        </is>
      </c>
      <c r="H2" s="21" t="inlineStr">
        <is>
          <t>72.16%</t>
        </is>
      </c>
      <c r="I2" s="20" t="inlineStr">
        <is>
          <t>Equity payback</t>
        </is>
      </c>
      <c r="J2" s="21" t="inlineStr">
        <is>
          <t>0.4 yr</t>
        </is>
      </c>
      <c r="K2" s="20" t="inlineStr">
        <is>
          <t>NPV @ 8% (equity)</t>
        </is>
      </c>
      <c r="L2" s="21" t="inlineStr">
        <is>
          <t>€14.23M</t>
        </is>
      </c>
      <c r="M2" s="20" t="inlineStr">
        <is>
          <t>Lifetime revenue</t>
        </is>
      </c>
      <c r="N2" s="21" t="inlineStr">
        <is>
          <t>€31.09M</t>
        </is>
      </c>
      <c r="O2" s="20" t="inlineStr">
        <is>
          <t>Min DSCR</t>
        </is>
      </c>
      <c r="P2" s="21" t="inlineStr">
        <is>
          <t>5.24x</t>
        </is>
      </c>
    </row>
    <row r="3"/>
    <row r="4" ht="36" customHeight="1">
      <c r="A4" s="22" t="inlineStr">
        <is>
          <t>Year</t>
        </is>
      </c>
      <c r="B4" s="22" t="inlineStr">
        <is>
          <t>aFRR capacity (€)</t>
        </is>
      </c>
      <c r="C4" s="22" t="inlineStr">
        <is>
          <t>aFRR activation (€)</t>
        </is>
      </c>
      <c r="D4" s="22" t="inlineStr">
        <is>
          <t>PZU arbitrage (€)</t>
        </is>
      </c>
      <c r="E4" s="22" t="inlineStr">
        <is>
          <t>Total revenue (€)</t>
        </is>
      </c>
      <c r="F4" s="22" t="inlineStr">
        <is>
          <t>OPEX (€)</t>
        </is>
      </c>
      <c r="G4" s="22" t="inlineStr">
        <is>
          <t>Insurance (€)</t>
        </is>
      </c>
      <c r="H4" s="22" t="inlineStr">
        <is>
          <t>EBITDA (€)</t>
        </is>
      </c>
      <c r="I4" s="22" t="inlineStr">
        <is>
          <t>Debt service (€)</t>
        </is>
      </c>
      <c r="J4" s="22" t="inlineStr">
        <is>
          <t>Augmentation (€)</t>
        </is>
      </c>
      <c r="K4" s="22" t="inlineStr">
        <is>
          <t>Cashflow after debt (€)</t>
        </is>
      </c>
      <c r="L4" s="22" t="inlineStr">
        <is>
          <t>Cumulative cashflow (€)</t>
        </is>
      </c>
      <c r="M4" s="22" t="inlineStr">
        <is>
          <t>DSCR</t>
        </is>
      </c>
      <c r="N4" s="22" t="inlineStr">
        <is>
          <t>Annual equity ROI (%)</t>
        </is>
      </c>
      <c r="O4" s="22" t="inlineStr">
        <is>
          <t>Cumulative equity ROI (%)</t>
        </is>
      </c>
    </row>
    <row r="5">
      <c r="A5" s="23" t="n">
        <v>1</v>
      </c>
      <c r="B5" s="24" t="n">
        <v>363911</v>
      </c>
      <c r="C5" s="24" t="n">
        <v>1836060</v>
      </c>
      <c r="D5" s="24" t="n">
        <v>626390</v>
      </c>
      <c r="E5" s="25" t="n">
        <v>2826361</v>
      </c>
      <c r="F5" s="26" t="n">
        <v>-70000</v>
      </c>
      <c r="G5" s="26" t="n">
        <v>-17500</v>
      </c>
      <c r="H5" s="27" t="n">
        <v>2738861</v>
      </c>
      <c r="I5" s="26" t="n">
        <v>-332876.4976399401</v>
      </c>
      <c r="J5" s="26" t="n">
        <v>0</v>
      </c>
      <c r="K5" s="28" t="n">
        <v>2405984.50236006</v>
      </c>
      <c r="L5" s="28" t="n">
        <v>2405984.50236006</v>
      </c>
      <c r="M5" s="29" t="n">
        <v>8.22785933947948</v>
      </c>
      <c r="N5" s="30" t="n">
        <v>229.1413811771486</v>
      </c>
      <c r="O5" s="30" t="n">
        <v>229.1413811771486</v>
      </c>
    </row>
    <row r="6">
      <c r="A6" s="23" t="n">
        <v>2</v>
      </c>
      <c r="B6" s="24" t="n">
        <v>344168.82825</v>
      </c>
      <c r="C6" s="24" t="n">
        <v>1736453.745</v>
      </c>
      <c r="D6" s="24" t="n">
        <v>598515.6449999999</v>
      </c>
      <c r="E6" s="25" t="n">
        <v>2679138.21825</v>
      </c>
      <c r="F6" s="26" t="n">
        <v>-72100</v>
      </c>
      <c r="G6" s="26" t="n">
        <v>-18025</v>
      </c>
      <c r="H6" s="27" t="n">
        <v>2589013.21825</v>
      </c>
      <c r="I6" s="26" t="n">
        <v>-332876.4976399401</v>
      </c>
      <c r="J6" s="26" t="n">
        <v>0</v>
      </c>
      <c r="K6" s="28" t="n">
        <v>2256136.72061006</v>
      </c>
      <c r="L6" s="28" t="n">
        <v>4662121.22297012</v>
      </c>
      <c r="M6" s="29" t="n">
        <v>7.777699046360543</v>
      </c>
      <c r="N6" s="30" t="n">
        <v>214.8701638676247</v>
      </c>
      <c r="O6" s="30" t="n">
        <v>444.0115450447733</v>
      </c>
    </row>
    <row r="7">
      <c r="A7" s="23" t="n">
        <v>3</v>
      </c>
      <c r="B7" s="24" t="n">
        <v>325186.3207125</v>
      </c>
      <c r="C7" s="24" t="n">
        <v>1640680.26525</v>
      </c>
      <c r="D7" s="24" t="n">
        <v>565688.8940625</v>
      </c>
      <c r="E7" s="25" t="n">
        <v>2531555.480025</v>
      </c>
      <c r="F7" s="26" t="n">
        <v>-74263</v>
      </c>
      <c r="G7" s="26" t="n">
        <v>-18565.75</v>
      </c>
      <c r="H7" s="27" t="n">
        <v>2438726.730025</v>
      </c>
      <c r="I7" s="26" t="n">
        <v>-332876.4976399401</v>
      </c>
      <c r="J7" s="26" t="n">
        <v>0</v>
      </c>
      <c r="K7" s="28" t="n">
        <v>2105850.23238506</v>
      </c>
      <c r="L7" s="28" t="n">
        <v>6767971.455355179</v>
      </c>
      <c r="M7" s="29" t="n">
        <v>7.326220827590172</v>
      </c>
      <c r="N7" s="30" t="n">
        <v>200.5571649890533</v>
      </c>
      <c r="O7" s="30" t="n">
        <v>644.5687100338266</v>
      </c>
    </row>
    <row r="8">
      <c r="A8" s="23" t="n">
        <v>4</v>
      </c>
      <c r="B8" s="24" t="n">
        <v>306937.8330342188</v>
      </c>
      <c r="C8" s="24" t="n">
        <v>1548610.175896875</v>
      </c>
      <c r="D8" s="24" t="n">
        <v>534129.40839375</v>
      </c>
      <c r="E8" s="25" t="n">
        <v>2389677.417324844</v>
      </c>
      <c r="F8" s="26" t="n">
        <v>-76490.89</v>
      </c>
      <c r="G8" s="26" t="n">
        <v>-19122.7225</v>
      </c>
      <c r="H8" s="27" t="n">
        <v>2294063.804824844</v>
      </c>
      <c r="I8" s="26" t="n">
        <v>-332876.4976399401</v>
      </c>
      <c r="J8" s="26" t="n">
        <v>0</v>
      </c>
      <c r="K8" s="28" t="n">
        <v>1961187.307184903</v>
      </c>
      <c r="L8" s="28" t="n">
        <v>8729158.762540083</v>
      </c>
      <c r="M8" s="29" t="n">
        <v>6.891636451024684</v>
      </c>
      <c r="N8" s="30" t="n">
        <v>186.7797435414194</v>
      </c>
      <c r="O8" s="30" t="n">
        <v>831.348453575246</v>
      </c>
    </row>
    <row r="9">
      <c r="A9" s="23" t="n">
        <v>5</v>
      </c>
      <c r="B9" s="24" t="n">
        <v>292687.1479290585</v>
      </c>
      <c r="C9" s="24" t="n">
        <v>1476710.417730234</v>
      </c>
      <c r="D9" s="24" t="n">
        <v>503794.3414496484</v>
      </c>
      <c r="E9" s="25" t="n">
        <v>2273191.907108941</v>
      </c>
      <c r="F9" s="26" t="n">
        <v>-78785.61670000001</v>
      </c>
      <c r="G9" s="26" t="n">
        <v>-19696.404175</v>
      </c>
      <c r="H9" s="27" t="n">
        <v>2174709.886233941</v>
      </c>
      <c r="I9" s="26" t="n">
        <v>-332876.4976399401</v>
      </c>
      <c r="J9" s="26" t="n">
        <v>-350000</v>
      </c>
      <c r="K9" s="28" t="n">
        <v>1491833.388594001</v>
      </c>
      <c r="L9" s="28" t="n">
        <v>10220992.15113408</v>
      </c>
      <c r="M9" s="29" t="n">
        <v>6.533083295613865</v>
      </c>
      <c r="N9" s="30" t="n">
        <v>142.0793703422858</v>
      </c>
      <c r="O9" s="30" t="n">
        <v>973.4278239175319</v>
      </c>
    </row>
    <row r="10">
      <c r="A10" s="23" t="n">
        <v>6</v>
      </c>
      <c r="B10" s="24" t="n">
        <v>278957.1609335101</v>
      </c>
      <c r="C10" s="24" t="n">
        <v>1407437.76611199</v>
      </c>
      <c r="D10" s="24" t="n">
        <v>474642.1969725058</v>
      </c>
      <c r="E10" s="25" t="n">
        <v>2161037.124018006</v>
      </c>
      <c r="F10" s="26" t="n">
        <v>-81149.185201</v>
      </c>
      <c r="G10" s="26" t="n">
        <v>-20287.29630025</v>
      </c>
      <c r="H10" s="27" t="n">
        <v>2059600.642516755</v>
      </c>
      <c r="I10" s="26" t="n">
        <v>-332876.4976399401</v>
      </c>
      <c r="J10" s="26" t="n">
        <v>0</v>
      </c>
      <c r="K10" s="28" t="n">
        <v>1726724.144876815</v>
      </c>
      <c r="L10" s="28" t="n">
        <v>11947716.2960109</v>
      </c>
      <c r="M10" s="29" t="n">
        <v>6.187281640846112</v>
      </c>
      <c r="N10" s="30" t="n">
        <v>164.4499185596967</v>
      </c>
      <c r="O10" s="30" t="n">
        <v>1137.877742477229</v>
      </c>
    </row>
    <row r="11">
      <c r="A11" s="23" t="n">
        <v>7</v>
      </c>
      <c r="B11" s="24" t="n">
        <v>265730.7438202833</v>
      </c>
      <c r="C11" s="24" t="n">
        <v>1340705.803063577</v>
      </c>
      <c r="D11" s="24" t="n">
        <v>446632.7882558143</v>
      </c>
      <c r="E11" s="25" t="n">
        <v>2053069.335139674</v>
      </c>
      <c r="F11" s="26" t="n">
        <v>-83583.66075703001</v>
      </c>
      <c r="G11" s="26" t="n">
        <v>-20895.9151892575</v>
      </c>
      <c r="H11" s="27" t="n">
        <v>1948589.759193387</v>
      </c>
      <c r="I11" s="26" t="n">
        <v>-332876.4976399401</v>
      </c>
      <c r="J11" s="26" t="n">
        <v>0</v>
      </c>
      <c r="K11" s="28" t="n">
        <v>1615713.261553447</v>
      </c>
      <c r="L11" s="28" t="n">
        <v>13563429.55756435</v>
      </c>
      <c r="M11" s="29" t="n">
        <v>5.853791940881035</v>
      </c>
      <c r="N11" s="30" t="n">
        <v>153.8774534812806</v>
      </c>
      <c r="O11" s="30" t="n">
        <v>1291.755195958509</v>
      </c>
    </row>
    <row r="12">
      <c r="A12" s="23" t="n">
        <v>8</v>
      </c>
      <c r="B12" s="24" t="n">
        <v>259087.4752247762</v>
      </c>
      <c r="C12" s="24" t="n">
        <v>1307188.157986987</v>
      </c>
      <c r="D12" s="24" t="n">
        <v>419727.1986018496</v>
      </c>
      <c r="E12" s="25" t="n">
        <v>1986002.831813613</v>
      </c>
      <c r="F12" s="26" t="n">
        <v>-86091.17057974091</v>
      </c>
      <c r="G12" s="26" t="n">
        <v>-21522.79264493523</v>
      </c>
      <c r="H12" s="27" t="n">
        <v>1878388.868588937</v>
      </c>
      <c r="I12" s="26" t="n">
        <v>-332876.4976399401</v>
      </c>
      <c r="J12" s="26" t="n">
        <v>0</v>
      </c>
      <c r="K12" s="28" t="n">
        <v>1545512.370948997</v>
      </c>
      <c r="L12" s="28" t="n">
        <v>15108941.92851334</v>
      </c>
      <c r="M12" s="29" t="n">
        <v>5.642900240499163</v>
      </c>
      <c r="N12" s="30" t="n">
        <v>147.1916543760949</v>
      </c>
      <c r="O12" s="30" t="n">
        <v>1438.946850334604</v>
      </c>
    </row>
    <row r="13">
      <c r="A13" s="23" t="n">
        <v>9</v>
      </c>
      <c r="B13" s="24" t="n">
        <v>252610.2883441568</v>
      </c>
      <c r="C13" s="24" t="n">
        <v>1274508.454037313</v>
      </c>
      <c r="D13" s="24" t="n">
        <v>393887.7429379232</v>
      </c>
      <c r="E13" s="25" t="n">
        <v>1921006.485319393</v>
      </c>
      <c r="F13" s="26" t="n">
        <v>-88673.90569713314</v>
      </c>
      <c r="G13" s="26" t="n">
        <v>-22168.47642428329</v>
      </c>
      <c r="H13" s="27" t="n">
        <v>1810164.103197976</v>
      </c>
      <c r="I13" s="26" t="n">
        <v>-332876.4976399401</v>
      </c>
      <c r="J13" s="26" t="n">
        <v>0</v>
      </c>
      <c r="K13" s="28" t="n">
        <v>1477287.605558036</v>
      </c>
      <c r="L13" s="28" t="n">
        <v>16586229.53407138</v>
      </c>
      <c r="M13" s="29" t="n">
        <v>5.437945051789033</v>
      </c>
      <c r="N13" s="30" t="n">
        <v>140.6940576721939</v>
      </c>
      <c r="O13" s="30" t="n">
        <v>1579.640908006798</v>
      </c>
    </row>
    <row r="14">
      <c r="A14" s="23" t="n">
        <v>10</v>
      </c>
      <c r="B14" s="24" t="n">
        <v>246295.0311355528</v>
      </c>
      <c r="C14" s="24" t="n">
        <v>1242645.74268638</v>
      </c>
      <c r="D14" s="24" t="n">
        <v>369077.930558067</v>
      </c>
      <c r="E14" s="25" t="n">
        <v>1858018.70438</v>
      </c>
      <c r="F14" s="26" t="n">
        <v>-91334.12286804714</v>
      </c>
      <c r="G14" s="26" t="n">
        <v>-22833.53071701178</v>
      </c>
      <c r="H14" s="27" t="n">
        <v>1743851.050794941</v>
      </c>
      <c r="I14" s="26" t="n">
        <v>-332876.4976399401</v>
      </c>
      <c r="J14" s="26" t="n">
        <v>-350000</v>
      </c>
      <c r="K14" s="28" t="n">
        <v>1060974.553155001</v>
      </c>
      <c r="L14" s="28" t="n">
        <v>17647204.08722638</v>
      </c>
      <c r="M14" s="29" t="n">
        <v>5.238732872878272</v>
      </c>
      <c r="N14" s="30" t="n">
        <v>101.0451955385715</v>
      </c>
      <c r="O14" s="30" t="n">
        <v>1680.68610354537</v>
      </c>
    </row>
    <row r="15">
      <c r="A15" s="23" t="n">
        <v>11</v>
      </c>
      <c r="B15" s="24" t="n">
        <v>240137.655357164</v>
      </c>
      <c r="C15" s="24" t="n">
        <v>1211579.59911922</v>
      </c>
      <c r="D15" s="24" t="n">
        <v>345262.4289578674</v>
      </c>
      <c r="E15" s="25" t="n">
        <v>1796979.683434252</v>
      </c>
      <c r="F15" s="26" t="n">
        <v>-94074.14655408855</v>
      </c>
      <c r="G15" s="26" t="n">
        <v>-23518.53663852214</v>
      </c>
      <c r="H15" s="27" t="n">
        <v>1679387.000241641</v>
      </c>
      <c r="I15" s="26" t="n">
        <v>0</v>
      </c>
      <c r="J15" s="26" t="n">
        <v>0</v>
      </c>
      <c r="K15" s="28" t="n">
        <v>1679387.000241641</v>
      </c>
      <c r="L15" s="28" t="n">
        <v>19326591.08746802</v>
      </c>
      <c r="M15" s="29" t="n">
        <v/>
      </c>
      <c r="N15" s="30" t="n">
        <v>159.9416190706325</v>
      </c>
      <c r="O15" s="30" t="n">
        <v>1840.627722616002</v>
      </c>
    </row>
    <row r="16">
      <c r="A16" s="23" t="n">
        <v>12</v>
      </c>
      <c r="B16" s="24" t="n">
        <v>234134.2139732349</v>
      </c>
      <c r="C16" s="24" t="n">
        <v>1181290.10914124</v>
      </c>
      <c r="D16" s="24" t="n">
        <v>322407.028731079</v>
      </c>
      <c r="E16" s="25" t="n">
        <v>1737831.351845554</v>
      </c>
      <c r="F16" s="26" t="n">
        <v>-96896.37095071122</v>
      </c>
      <c r="G16" s="26" t="n">
        <v>-24224.09273767781</v>
      </c>
      <c r="H16" s="27" t="n">
        <v>1616710.888157165</v>
      </c>
      <c r="I16" s="26" t="n">
        <v>0</v>
      </c>
      <c r="J16" s="26" t="n">
        <v>0</v>
      </c>
      <c r="K16" s="28" t="n">
        <v>1616710.888157165</v>
      </c>
      <c r="L16" s="28" t="n">
        <v>20943301.97562519</v>
      </c>
      <c r="M16" s="29" t="n">
        <v/>
      </c>
      <c r="N16" s="30" t="n">
        <v>153.9724655387776</v>
      </c>
      <c r="O16" s="30" t="n">
        <v>1994.60018815478</v>
      </c>
    </row>
    <row r="17">
      <c r="A17" s="23" t="n">
        <v>13</v>
      </c>
      <c r="B17" s="24" t="n">
        <v>228280.858623904</v>
      </c>
      <c r="C17" s="24" t="n">
        <v>1151757.856412709</v>
      </c>
      <c r="D17" s="24" t="n">
        <v>300478.6094975313</v>
      </c>
      <c r="E17" s="25" t="n">
        <v>1680517.324534144</v>
      </c>
      <c r="F17" s="26" t="n">
        <v>-99803.26207923255</v>
      </c>
      <c r="G17" s="26" t="n">
        <v>-24950.81551980814</v>
      </c>
      <c r="H17" s="27" t="n">
        <v>1555763.246935103</v>
      </c>
      <c r="I17" s="26" t="n">
        <v>0</v>
      </c>
      <c r="J17" s="26" t="n">
        <v>0</v>
      </c>
      <c r="K17" s="28" t="n">
        <v>1555763.246935103</v>
      </c>
      <c r="L17" s="28" t="n">
        <v>22499065.22256029</v>
      </c>
      <c r="M17" s="29" t="n">
        <v/>
      </c>
      <c r="N17" s="30" t="n">
        <v>148.1679282795336</v>
      </c>
      <c r="O17" s="30" t="n">
        <v>2142.768116434313</v>
      </c>
    </row>
    <row r="18">
      <c r="A18" s="23" t="n">
        <v>14</v>
      </c>
      <c r="B18" s="24" t="n">
        <v>222573.8371583064</v>
      </c>
      <c r="C18" s="24" t="n">
        <v>1122963.910002391</v>
      </c>
      <c r="D18" s="24" t="n">
        <v>279445.1068327042</v>
      </c>
      <c r="E18" s="25" t="n">
        <v>1624982.853993401</v>
      </c>
      <c r="F18" s="26" t="n">
        <v>-102797.3599416095</v>
      </c>
      <c r="G18" s="26" t="n">
        <v>-25699.33998540238</v>
      </c>
      <c r="H18" s="27" t="n">
        <v>1496486.15406639</v>
      </c>
      <c r="I18" s="26" t="n">
        <v>0</v>
      </c>
      <c r="J18" s="26" t="n">
        <v>0</v>
      </c>
      <c r="K18" s="28" t="n">
        <v>1496486.15406639</v>
      </c>
      <c r="L18" s="28" t="n">
        <v>23995551.37662668</v>
      </c>
      <c r="M18" s="29" t="n">
        <v/>
      </c>
      <c r="N18" s="30" t="n">
        <v>142.5224908634657</v>
      </c>
      <c r="O18" s="30" t="n">
        <v>2285.290607297779</v>
      </c>
    </row>
    <row r="19">
      <c r="A19" s="23" t="n">
        <v>15</v>
      </c>
      <c r="B19" s="24" t="n">
        <v>217009.4912293488</v>
      </c>
      <c r="C19" s="24" t="n">
        <v>1094889.812252331</v>
      </c>
      <c r="D19" s="24" t="n">
        <v>259275.4801701823</v>
      </c>
      <c r="E19" s="25" t="n">
        <v>1571174.783651863</v>
      </c>
      <c r="F19" s="26" t="n">
        <v>-105881.2807398578</v>
      </c>
      <c r="G19" s="26" t="n">
        <v>-26470.32018496446</v>
      </c>
      <c r="H19" s="27" t="n">
        <v>1438823.18272704</v>
      </c>
      <c r="I19" s="26" t="n">
        <v>0</v>
      </c>
      <c r="J19" s="26" t="n">
        <v>0</v>
      </c>
      <c r="K19" s="28" t="n">
        <v>1438823.18272704</v>
      </c>
      <c r="L19" s="28" t="n">
        <v>25434374.55935372</v>
      </c>
      <c r="M19" s="29" t="n">
        <v/>
      </c>
      <c r="N19" s="30" t="n">
        <v>137.0307793073372</v>
      </c>
      <c r="O19" s="30" t="n">
        <v>2422.321386605116</v>
      </c>
    </row>
    <row r="21">
      <c r="A21" s="4" t="inlineStr">
        <is>
          <t>Scenario description</t>
        </is>
      </c>
    </row>
    <row r="22" ht="60" customHeight="1">
      <c r="A22" s="16" t="inlineStr">
        <is>
          <t>Realistic Y3-Y8 lender baseline. Romanian BESS pipeline (1+ GW announced) materializes 2027-2028. Market share compresses to 5%, capacity prices to Germany current level (~€5/MW/h). Mild ongoing compression to floor of 85% Y1.</t>
        </is>
      </c>
    </row>
  </sheetData>
  <mergeCells count="3">
    <mergeCell ref="A22:O22"/>
    <mergeCell ref="A1:P1"/>
    <mergeCell ref="A21:O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9" customWidth="1" min="13" max="13"/>
    <col width="13" customWidth="1" min="14" max="14"/>
    <col width="16" customWidth="1" min="15" max="15"/>
  </cols>
  <sheetData>
    <row r="1" ht="28" customHeight="1">
      <c r="A1" s="17" t="inlineStr">
        <is>
          <t>D. Bear case (2% share, full saturation)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9" t="n"/>
    </row>
    <row r="2">
      <c r="A2" s="20" t="inlineStr">
        <is>
          <t>Y1 revenue</t>
        </is>
      </c>
      <c r="B2" s="21" t="inlineStr">
        <is>
          <t>€1.80M</t>
        </is>
      </c>
      <c r="C2" s="20" t="inlineStr">
        <is>
          <t>Y1 cashflow after debt</t>
        </is>
      </c>
      <c r="D2" s="21" t="inlineStr">
        <is>
          <t>€1.38M</t>
        </is>
      </c>
      <c r="E2" s="20" t="inlineStr">
        <is>
          <t>Equity IRR</t>
        </is>
      </c>
      <c r="F2" s="21" t="inlineStr">
        <is>
          <t>126.73%</t>
        </is>
      </c>
      <c r="G2" s="20" t="inlineStr">
        <is>
          <t>Project IRR</t>
        </is>
      </c>
      <c r="H2" s="21" t="inlineStr">
        <is>
          <t>44.54%</t>
        </is>
      </c>
      <c r="I2" s="20" t="inlineStr">
        <is>
          <t>Equity payback</t>
        </is>
      </c>
      <c r="J2" s="21" t="inlineStr">
        <is>
          <t>0.8 yr</t>
        </is>
      </c>
      <c r="K2" s="20" t="inlineStr">
        <is>
          <t>NPV @ 8% (equity)</t>
        </is>
      </c>
      <c r="L2" s="21" t="inlineStr">
        <is>
          <t>€8.47M</t>
        </is>
      </c>
      <c r="M2" s="20" t="inlineStr">
        <is>
          <t>Lifetime revenue</t>
        </is>
      </c>
      <c r="N2" s="21" t="inlineStr">
        <is>
          <t>€21.89M</t>
        </is>
      </c>
      <c r="O2" s="20" t="inlineStr">
        <is>
          <t>Min DSCR</t>
        </is>
      </c>
      <c r="P2" s="21" t="inlineStr">
        <is>
          <t>3.73x</t>
        </is>
      </c>
    </row>
    <row r="3"/>
    <row r="4" ht="36" customHeight="1">
      <c r="A4" s="22" t="inlineStr">
        <is>
          <t>Year</t>
        </is>
      </c>
      <c r="B4" s="22" t="inlineStr">
        <is>
          <t>aFRR capacity (€)</t>
        </is>
      </c>
      <c r="C4" s="22" t="inlineStr">
        <is>
          <t>aFRR activation (€)</t>
        </is>
      </c>
      <c r="D4" s="22" t="inlineStr">
        <is>
          <t>PZU arbitrage (€)</t>
        </is>
      </c>
      <c r="E4" s="22" t="inlineStr">
        <is>
          <t>Total revenue (€)</t>
        </is>
      </c>
      <c r="F4" s="22" t="inlineStr">
        <is>
          <t>OPEX (€)</t>
        </is>
      </c>
      <c r="G4" s="22" t="inlineStr">
        <is>
          <t>Insurance (€)</t>
        </is>
      </c>
      <c r="H4" s="22" t="inlineStr">
        <is>
          <t>EBITDA (€)</t>
        </is>
      </c>
      <c r="I4" s="22" t="inlineStr">
        <is>
          <t>Debt service (€)</t>
        </is>
      </c>
      <c r="J4" s="22" t="inlineStr">
        <is>
          <t>Augmentation (€)</t>
        </is>
      </c>
      <c r="K4" s="22" t="inlineStr">
        <is>
          <t>Cashflow after debt (€)</t>
        </is>
      </c>
      <c r="L4" s="22" t="inlineStr">
        <is>
          <t>Cumulative cashflow (€)</t>
        </is>
      </c>
      <c r="M4" s="22" t="inlineStr">
        <is>
          <t>DSCR</t>
        </is>
      </c>
      <c r="N4" s="22" t="inlineStr">
        <is>
          <t>Annual equity ROI (%)</t>
        </is>
      </c>
      <c r="O4" s="22" t="inlineStr">
        <is>
          <t>Cumulative equity ROI (%)</t>
        </is>
      </c>
    </row>
    <row r="5">
      <c r="A5" s="23" t="n">
        <v>1</v>
      </c>
      <c r="B5" s="24" t="n">
        <v>351360</v>
      </c>
      <c r="C5" s="24" t="n">
        <v>1035773</v>
      </c>
      <c r="D5" s="24" t="n">
        <v>417594</v>
      </c>
      <c r="E5" s="25" t="n">
        <v>1804727</v>
      </c>
      <c r="F5" s="26" t="n">
        <v>-70000</v>
      </c>
      <c r="G5" s="26" t="n">
        <v>-17500</v>
      </c>
      <c r="H5" s="27" t="n">
        <v>1717227</v>
      </c>
      <c r="I5" s="26" t="n">
        <v>-332876.4976399401</v>
      </c>
      <c r="J5" s="26" t="n">
        <v>0</v>
      </c>
      <c r="K5" s="28" t="n">
        <v>1384350.50236006</v>
      </c>
      <c r="L5" s="28" t="n">
        <v>1384350.50236006</v>
      </c>
      <c r="M5" s="29" t="n">
        <v>5.158751104914169</v>
      </c>
      <c r="N5" s="30" t="n">
        <v>131.8429049866724</v>
      </c>
      <c r="O5" s="30" t="n">
        <v>131.8429049866724</v>
      </c>
    </row>
    <row r="6">
      <c r="A6" s="23" t="n">
        <v>2</v>
      </c>
      <c r="B6" s="24" t="n">
        <v>342576</v>
      </c>
      <c r="C6" s="24" t="n">
        <v>1009878.675</v>
      </c>
      <c r="D6" s="24" t="n">
        <v>394939.5255</v>
      </c>
      <c r="E6" s="25" t="n">
        <v>1747394.2005</v>
      </c>
      <c r="F6" s="26" t="n">
        <v>-72100</v>
      </c>
      <c r="G6" s="26" t="n">
        <v>-18025</v>
      </c>
      <c r="H6" s="27" t="n">
        <v>1657269.2005</v>
      </c>
      <c r="I6" s="26" t="n">
        <v>-332876.4976399401</v>
      </c>
      <c r="J6" s="26" t="n">
        <v>0</v>
      </c>
      <c r="K6" s="28" t="n">
        <v>1324392.70286006</v>
      </c>
      <c r="L6" s="28" t="n">
        <v>2708743.20522012</v>
      </c>
      <c r="M6" s="29" t="n">
        <v>4.978630850329977</v>
      </c>
      <c r="N6" s="30" t="n">
        <v>126.1326383676247</v>
      </c>
      <c r="O6" s="30" t="n">
        <v>257.9755433542971</v>
      </c>
    </row>
    <row r="7">
      <c r="A7" s="23" t="n">
        <v>3</v>
      </c>
      <c r="B7" s="24" t="n">
        <v>334011.6</v>
      </c>
      <c r="C7" s="24" t="n">
        <v>984631.7081249999</v>
      </c>
      <c r="D7" s="24" t="n">
        <v>373156.7784749999</v>
      </c>
      <c r="E7" s="25" t="n">
        <v>1691800.0866</v>
      </c>
      <c r="F7" s="26" t="n">
        <v>-74263</v>
      </c>
      <c r="G7" s="26" t="n">
        <v>-18565.75</v>
      </c>
      <c r="H7" s="27" t="n">
        <v>1598971.3366</v>
      </c>
      <c r="I7" s="26" t="n">
        <v>-332876.4976399401</v>
      </c>
      <c r="J7" s="26" t="n">
        <v>0</v>
      </c>
      <c r="K7" s="28" t="n">
        <v>1266094.83896006</v>
      </c>
      <c r="L7" s="28" t="n">
        <v>3974838.044180179</v>
      </c>
      <c r="M7" s="29" t="n">
        <v>4.80349723677262</v>
      </c>
      <c r="N7" s="30" t="n">
        <v>120.580460853339</v>
      </c>
      <c r="O7" s="30" t="n">
        <v>378.5560042076361</v>
      </c>
    </row>
    <row r="8">
      <c r="A8" s="23" t="n">
        <v>4</v>
      </c>
      <c r="B8" s="24" t="n">
        <v>325661.31</v>
      </c>
      <c r="C8" s="24" t="n">
        <v>960015.915421875</v>
      </c>
      <c r="D8" s="24" t="n">
        <v>352216.3315978125</v>
      </c>
      <c r="E8" s="25" t="n">
        <v>1637893.557019687</v>
      </c>
      <c r="F8" s="26" t="n">
        <v>-76490.89</v>
      </c>
      <c r="G8" s="26" t="n">
        <v>-19122.7225</v>
      </c>
      <c r="H8" s="27" t="n">
        <v>1542279.944519688</v>
      </c>
      <c r="I8" s="26" t="n">
        <v>-332876.4976399401</v>
      </c>
      <c r="J8" s="26" t="n">
        <v>0</v>
      </c>
      <c r="K8" s="28" t="n">
        <v>1209403.446879748</v>
      </c>
      <c r="L8" s="28" t="n">
        <v>5184241.491059927</v>
      </c>
      <c r="M8" s="29" t="n">
        <v>4.633189652782016</v>
      </c>
      <c r="N8" s="30" t="n">
        <v>115.1812806552141</v>
      </c>
      <c r="O8" s="30" t="n">
        <v>493.7372848628502</v>
      </c>
    </row>
    <row r="9">
      <c r="A9" s="23" t="n">
        <v>5</v>
      </c>
      <c r="B9" s="24" t="n">
        <v>317519.77725</v>
      </c>
      <c r="C9" s="24" t="n">
        <v>936015.5175363279</v>
      </c>
      <c r="D9" s="24" t="n">
        <v>332089.6840779375</v>
      </c>
      <c r="E9" s="25" t="n">
        <v>1585624.978864266</v>
      </c>
      <c r="F9" s="26" t="n">
        <v>-78785.61670000001</v>
      </c>
      <c r="G9" s="26" t="n">
        <v>-19696.404175</v>
      </c>
      <c r="H9" s="27" t="n">
        <v>1487142.957989265</v>
      </c>
      <c r="I9" s="26" t="n">
        <v>-332876.4976399401</v>
      </c>
      <c r="J9" s="26" t="n">
        <v>-350000</v>
      </c>
      <c r="K9" s="28" t="n">
        <v>804266.4603493253</v>
      </c>
      <c r="L9" s="28" t="n">
        <v>5988507.951409252</v>
      </c>
      <c r="M9" s="29" t="n">
        <v>4.467551685183409</v>
      </c>
      <c r="N9" s="30" t="n">
        <v>76.5968057475548</v>
      </c>
      <c r="O9" s="30" t="n">
        <v>570.3340906104049</v>
      </c>
    </row>
    <row r="10">
      <c r="A10" s="23" t="n">
        <v>6</v>
      </c>
      <c r="B10" s="24" t="n">
        <v>309581.78281875</v>
      </c>
      <c r="C10" s="24" t="n">
        <v>912615.1295979198</v>
      </c>
      <c r="D10" s="24" t="n">
        <v>312749.2337268075</v>
      </c>
      <c r="E10" s="25" t="n">
        <v>1534946.146143477</v>
      </c>
      <c r="F10" s="26" t="n">
        <v>-81149.185201</v>
      </c>
      <c r="G10" s="26" t="n">
        <v>-20287.29630025</v>
      </c>
      <c r="H10" s="27" t="n">
        <v>1433509.664642227</v>
      </c>
      <c r="I10" s="26" t="n">
        <v>-332876.4976399401</v>
      </c>
      <c r="J10" s="26" t="n">
        <v>0</v>
      </c>
      <c r="K10" s="28" t="n">
        <v>1100633.167002287</v>
      </c>
      <c r="L10" s="28" t="n">
        <v>7089141.118411539</v>
      </c>
      <c r="M10" s="29" t="n">
        <v>4.306430988086159</v>
      </c>
      <c r="N10" s="30" t="n">
        <v>104.8222063811702</v>
      </c>
      <c r="O10" s="30" t="n">
        <v>675.1562969915751</v>
      </c>
    </row>
    <row r="11">
      <c r="A11" s="23" t="n">
        <v>7</v>
      </c>
      <c r="B11" s="24" t="n">
        <v>301842.2382482812</v>
      </c>
      <c r="C11" s="24" t="n">
        <v>889799.7513579718</v>
      </c>
      <c r="D11" s="24" t="n">
        <v>294168.2498406855</v>
      </c>
      <c r="E11" s="25" t="n">
        <v>1485810.239446939</v>
      </c>
      <c r="F11" s="26" t="n">
        <v>-83583.66075703001</v>
      </c>
      <c r="G11" s="26" t="n">
        <v>-20895.9151892575</v>
      </c>
      <c r="H11" s="27" t="n">
        <v>1381330.663500651</v>
      </c>
      <c r="I11" s="26" t="n">
        <v>-332876.4976399401</v>
      </c>
      <c r="J11" s="26" t="n">
        <v>0</v>
      </c>
      <c r="K11" s="28" t="n">
        <v>1048454.165860711</v>
      </c>
      <c r="L11" s="28" t="n">
        <v>8137595.28427225</v>
      </c>
      <c r="M11" s="29" t="n">
        <v>4.14967915516458</v>
      </c>
      <c r="N11" s="30" t="n">
        <v>99.85277770102009</v>
      </c>
      <c r="O11" s="30" t="n">
        <v>775.0090746925953</v>
      </c>
    </row>
    <row r="12">
      <c r="A12" s="23" t="n">
        <v>8</v>
      </c>
      <c r="B12" s="24" t="n">
        <v>294296.1822920742</v>
      </c>
      <c r="C12" s="24" t="n">
        <v>867554.7575740225</v>
      </c>
      <c r="D12" s="24" t="n">
        <v>279818.5791167496</v>
      </c>
      <c r="E12" s="25" t="n">
        <v>1441669.518982846</v>
      </c>
      <c r="F12" s="26" t="n">
        <v>-86091.17057974091</v>
      </c>
      <c r="G12" s="26" t="n">
        <v>-21522.79264493523</v>
      </c>
      <c r="H12" s="27" t="n">
        <v>1334055.55575817</v>
      </c>
      <c r="I12" s="26" t="n">
        <v>-332876.4976399401</v>
      </c>
      <c r="J12" s="26" t="n">
        <v>0</v>
      </c>
      <c r="K12" s="28" t="n">
        <v>1001179.05811823</v>
      </c>
      <c r="L12" s="28" t="n">
        <v>9138774.34239048</v>
      </c>
      <c r="M12" s="29" t="n">
        <v>4.007659192572879</v>
      </c>
      <c r="N12" s="30" t="n">
        <v>95.35038648745048</v>
      </c>
      <c r="O12" s="30" t="n">
        <v>870.3594611800456</v>
      </c>
    </row>
    <row r="13">
      <c r="A13" s="23" t="n">
        <v>9</v>
      </c>
      <c r="B13" s="24" t="n">
        <v>286938.7777347723</v>
      </c>
      <c r="C13" s="24" t="n">
        <v>845865.8886346719</v>
      </c>
      <c r="D13" s="24" t="n">
        <v>266002.5367728601</v>
      </c>
      <c r="E13" s="25" t="n">
        <v>1398807.203142304</v>
      </c>
      <c r="F13" s="26" t="n">
        <v>-88673.90569713314</v>
      </c>
      <c r="G13" s="26" t="n">
        <v>-22168.47642428329</v>
      </c>
      <c r="H13" s="27" t="n">
        <v>1287964.821020888</v>
      </c>
      <c r="I13" s="26" t="n">
        <v>-332876.4976399401</v>
      </c>
      <c r="J13" s="26" t="n">
        <v>0</v>
      </c>
      <c r="K13" s="28" t="n">
        <v>955088.3233809478</v>
      </c>
      <c r="L13" s="28" t="n">
        <v>10093862.66577143</v>
      </c>
      <c r="M13" s="29" t="n">
        <v>3.869197225254486</v>
      </c>
      <c r="N13" s="30" t="n">
        <v>90.96079270294742</v>
      </c>
      <c r="O13" s="30" t="n">
        <v>961.3202538829929</v>
      </c>
    </row>
    <row r="14">
      <c r="A14" s="23" t="n">
        <v>10</v>
      </c>
      <c r="B14" s="24" t="n">
        <v>279765.308291403</v>
      </c>
      <c r="C14" s="24" t="n">
        <v>824719.2414188051</v>
      </c>
      <c r="D14" s="24" t="n">
        <v>252702.4099342171</v>
      </c>
      <c r="E14" s="25" t="n">
        <v>1357186.959644425</v>
      </c>
      <c r="F14" s="26" t="n">
        <v>-91334.12286804714</v>
      </c>
      <c r="G14" s="26" t="n">
        <v>-22833.53071701178</v>
      </c>
      <c r="H14" s="27" t="n">
        <v>1243019.306059366</v>
      </c>
      <c r="I14" s="26" t="n">
        <v>-332876.4976399401</v>
      </c>
      <c r="J14" s="26" t="n">
        <v>-350000</v>
      </c>
      <c r="K14" s="28" t="n">
        <v>560142.8084194262</v>
      </c>
      <c r="L14" s="28" t="n">
        <v>10654005.47419085</v>
      </c>
      <c r="M14" s="29" t="n">
        <v>3.734175632320829</v>
      </c>
      <c r="N14" s="30" t="n">
        <v>53.34693413518345</v>
      </c>
      <c r="O14" s="30" t="n">
        <v>1014.667188018176</v>
      </c>
    </row>
    <row r="15">
      <c r="A15" s="23" t="n">
        <v>11</v>
      </c>
      <c r="B15" s="24" t="n">
        <v>272771.1755841179</v>
      </c>
      <c r="C15" s="24" t="n">
        <v>804101.2603833349</v>
      </c>
      <c r="D15" s="24" t="n">
        <v>239901.0378520232</v>
      </c>
      <c r="E15" s="25" t="n">
        <v>1316773.473819476</v>
      </c>
      <c r="F15" s="26" t="n">
        <v>-94074.14655408855</v>
      </c>
      <c r="G15" s="26" t="n">
        <v>-23518.53663852214</v>
      </c>
      <c r="H15" s="27" t="n">
        <v>1199180.790626866</v>
      </c>
      <c r="I15" s="26" t="n">
        <v>0</v>
      </c>
      <c r="J15" s="26" t="n">
        <v>0</v>
      </c>
      <c r="K15" s="28" t="n">
        <v>1199180.790626866</v>
      </c>
      <c r="L15" s="28" t="n">
        <v>11853186.26481772</v>
      </c>
      <c r="M15" s="29" t="n">
        <v/>
      </c>
      <c r="N15" s="30" t="n">
        <v>114.2076943454158</v>
      </c>
      <c r="O15" s="30" t="n">
        <v>1128.874882363592</v>
      </c>
    </row>
    <row r="16">
      <c r="A16" s="23" t="n">
        <v>12</v>
      </c>
      <c r="B16" s="24" t="n">
        <v>265951.8961945149</v>
      </c>
      <c r="C16" s="24" t="n">
        <v>783998.7288737516</v>
      </c>
      <c r="D16" s="24" t="n">
        <v>227581.7953677301</v>
      </c>
      <c r="E16" s="25" t="n">
        <v>1277532.420435996</v>
      </c>
      <c r="F16" s="26" t="n">
        <v>-96896.37095071122</v>
      </c>
      <c r="G16" s="26" t="n">
        <v>-24224.09273767781</v>
      </c>
      <c r="H16" s="27" t="n">
        <v>1156411.956747608</v>
      </c>
      <c r="I16" s="26" t="n">
        <v>0</v>
      </c>
      <c r="J16" s="26" t="n">
        <v>0</v>
      </c>
      <c r="K16" s="28" t="n">
        <v>1156411.956747608</v>
      </c>
      <c r="L16" s="28" t="n">
        <v>13009598.22156533</v>
      </c>
      <c r="M16" s="29" t="n">
        <v/>
      </c>
      <c r="N16" s="30" t="n">
        <v>110.1344720712007</v>
      </c>
      <c r="O16" s="30" t="n">
        <v>1239.009354434793</v>
      </c>
    </row>
    <row r="17">
      <c r="A17" s="23" t="n">
        <v>13</v>
      </c>
      <c r="B17" s="24" t="n">
        <v>259303.0987896521</v>
      </c>
      <c r="C17" s="24" t="n">
        <v>764398.7606519077</v>
      </c>
      <c r="D17" s="24" t="n">
        <v>215728.5768589941</v>
      </c>
      <c r="E17" s="25" t="n">
        <v>1239430.436300554</v>
      </c>
      <c r="F17" s="26" t="n">
        <v>-99803.26207923255</v>
      </c>
      <c r="G17" s="26" t="n">
        <v>-24950.81551980814</v>
      </c>
      <c r="H17" s="27" t="n">
        <v>1114676.358701513</v>
      </c>
      <c r="I17" s="26" t="n">
        <v>0</v>
      </c>
      <c r="J17" s="26" t="n">
        <v>0</v>
      </c>
      <c r="K17" s="28" t="n">
        <v>1114676.358701513</v>
      </c>
      <c r="L17" s="28" t="n">
        <v>14124274.58026684</v>
      </c>
      <c r="M17" s="29" t="n">
        <v/>
      </c>
      <c r="N17" s="30" t="n">
        <v>106.1596532096679</v>
      </c>
      <c r="O17" s="30" t="n">
        <v>1345.169007644461</v>
      </c>
    </row>
    <row r="18">
      <c r="A18" s="23" t="n">
        <v>14</v>
      </c>
      <c r="B18" s="24" t="n">
        <v>252820.5213199108</v>
      </c>
      <c r="C18" s="24" t="n">
        <v>745288.79163561</v>
      </c>
      <c r="D18" s="24" t="n">
        <v>204325.7806535902</v>
      </c>
      <c r="E18" s="25" t="n">
        <v>1202435.093609111</v>
      </c>
      <c r="F18" s="26" t="n">
        <v>-102797.3599416095</v>
      </c>
      <c r="G18" s="26" t="n">
        <v>-25699.33998540238</v>
      </c>
      <c r="H18" s="27" t="n">
        <v>1073938.393682099</v>
      </c>
      <c r="I18" s="26" t="n">
        <v>0</v>
      </c>
      <c r="J18" s="26" t="n">
        <v>0</v>
      </c>
      <c r="K18" s="28" t="n">
        <v>1073938.393682099</v>
      </c>
      <c r="L18" s="28" t="n">
        <v>15198212.97394894</v>
      </c>
      <c r="M18" s="29" t="n">
        <v/>
      </c>
      <c r="N18" s="30" t="n">
        <v>102.2798470173428</v>
      </c>
      <c r="O18" s="30" t="n">
        <v>1447.448854661804</v>
      </c>
    </row>
    <row r="19">
      <c r="A19" s="23" t="n">
        <v>15</v>
      </c>
      <c r="B19" s="24" t="n">
        <v>246500.008286913</v>
      </c>
      <c r="C19" s="24" t="n">
        <v>726656.5718447198</v>
      </c>
      <c r="D19" s="24" t="n">
        <v>193358.2938979195</v>
      </c>
      <c r="E19" s="25" t="n">
        <v>1166514.874029552</v>
      </c>
      <c r="F19" s="26" t="n">
        <v>-105881.2807398578</v>
      </c>
      <c r="G19" s="26" t="n">
        <v>-26470.32018496446</v>
      </c>
      <c r="H19" s="27" t="n">
        <v>1034163.27310473</v>
      </c>
      <c r="I19" s="26" t="n">
        <v>0</v>
      </c>
      <c r="J19" s="26" t="n">
        <v>0</v>
      </c>
      <c r="K19" s="28" t="n">
        <v>1034163.27310473</v>
      </c>
      <c r="L19" s="28" t="n">
        <v>16232376.24705367</v>
      </c>
      <c r="M19" s="29" t="n">
        <v/>
      </c>
      <c r="N19" s="30" t="n">
        <v>98.49174029568857</v>
      </c>
      <c r="O19" s="30" t="n">
        <v>1545.940594957493</v>
      </c>
    </row>
    <row r="21">
      <c r="A21" s="4" t="inlineStr">
        <is>
          <t>Scenario description</t>
        </is>
      </c>
    </row>
    <row r="22" ht="60" customHeight="1">
      <c r="A22" s="16" t="inlineStr">
        <is>
          <t>Long-term steady state stress case (2030+). 2-3 GW BESS deployed Romania. Already at floor — no further compression. Used by lenders for late-life (Y8-Y15) DSCR projection.</t>
        </is>
      </c>
    </row>
  </sheetData>
  <mergeCells count="3">
    <mergeCell ref="A22:O22"/>
    <mergeCell ref="A1:P1"/>
    <mergeCell ref="A21:O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31" t="inlineStr">
        <is>
          <t>Scenarios Comparison — annual cashflow + KPI summary</t>
        </is>
      </c>
    </row>
    <row r="3">
      <c r="A3" s="4" t="inlineStr">
        <is>
          <t>Scenario KPIs</t>
        </is>
      </c>
    </row>
    <row r="4" ht="36" customHeight="1">
      <c r="A4" s="7" t="inlineStr">
        <is>
          <t>KPI</t>
        </is>
      </c>
      <c r="B4" s="7" t="inlineStr">
        <is>
          <t>A. Current (10% share, pre-PIC</t>
        </is>
      </c>
      <c r="C4" s="7" t="inlineStr">
        <is>
          <t>B. PICASSO go-live (Y1) (10% s</t>
        </is>
      </c>
      <c r="D4" s="7" t="inlineStr">
        <is>
          <t>C. Mature market (5% share, -4</t>
        </is>
      </c>
      <c r="E4" s="7" t="inlineStr">
        <is>
          <t>D. Bear case (2% share, full s</t>
        </is>
      </c>
    </row>
    <row r="5">
      <c r="A5" s="32" t="inlineStr">
        <is>
          <t>Y1 total revenue (€)</t>
        </is>
      </c>
      <c r="B5" s="33" t="inlineStr">
        <is>
          <t>€4.11M</t>
        </is>
      </c>
      <c r="C5" s="34" t="inlineStr">
        <is>
          <t>€3.29M</t>
        </is>
      </c>
      <c r="D5" s="35" t="inlineStr">
        <is>
          <t>€2.83M</t>
        </is>
      </c>
      <c r="E5" s="36" t="inlineStr">
        <is>
          <t>€1.80M</t>
        </is>
      </c>
    </row>
    <row r="6">
      <c r="A6" s="32" t="inlineStr">
        <is>
          <t>Y1 EBITDA (€)</t>
        </is>
      </c>
      <c r="B6" s="33" t="inlineStr">
        <is>
          <t>€4.02M</t>
        </is>
      </c>
      <c r="C6" s="34" t="inlineStr">
        <is>
          <t>€3.20M</t>
        </is>
      </c>
      <c r="D6" s="35" t="inlineStr">
        <is>
          <t>€2.74M</t>
        </is>
      </c>
      <c r="E6" s="36" t="inlineStr">
        <is>
          <t>€1.72M</t>
        </is>
      </c>
    </row>
    <row r="7">
      <c r="A7" s="32" t="inlineStr">
        <is>
          <t>Y1 cashflow after debt (€)</t>
        </is>
      </c>
      <c r="B7" s="33" t="inlineStr">
        <is>
          <t>€3.69M</t>
        </is>
      </c>
      <c r="C7" s="34" t="inlineStr">
        <is>
          <t>€2.87M</t>
        </is>
      </c>
      <c r="D7" s="35" t="inlineStr">
        <is>
          <t>€2.41M</t>
        </is>
      </c>
      <c r="E7" s="36" t="inlineStr">
        <is>
          <t>€1.38M</t>
        </is>
      </c>
    </row>
    <row r="8">
      <c r="A8" s="32" t="inlineStr">
        <is>
          <t>Lifetime revenue (€)</t>
        </is>
      </c>
      <c r="B8" s="33" t="inlineStr">
        <is>
          <t>€34.92M</t>
        </is>
      </c>
      <c r="C8" s="34" t="inlineStr">
        <is>
          <t>€32.73M</t>
        </is>
      </c>
      <c r="D8" s="35" t="inlineStr">
        <is>
          <t>€31.09M</t>
        </is>
      </c>
      <c r="E8" s="36" t="inlineStr">
        <is>
          <t>€21.89M</t>
        </is>
      </c>
    </row>
    <row r="9">
      <c r="A9" s="32" t="inlineStr">
        <is>
          <t>Lifetime EBITDA (€)</t>
        </is>
      </c>
      <c r="B9" s="33" t="inlineStr">
        <is>
          <t>€33.30M</t>
        </is>
      </c>
      <c r="C9" s="34" t="inlineStr">
        <is>
          <t>€31.10M</t>
        </is>
      </c>
      <c r="D9" s="35" t="inlineStr">
        <is>
          <t>€29.46M</t>
        </is>
      </c>
      <c r="E9" s="36" t="inlineStr">
        <is>
          <t>€20.26M</t>
        </is>
      </c>
    </row>
    <row r="10">
      <c r="A10" s="32" t="inlineStr">
        <is>
          <t>Lifetime cashflow after debt (€)</t>
        </is>
      </c>
      <c r="B10" s="33" t="inlineStr">
        <is>
          <t>€29.27M</t>
        </is>
      </c>
      <c r="C10" s="34" t="inlineStr">
        <is>
          <t>€27.08M</t>
        </is>
      </c>
      <c r="D10" s="35" t="inlineStr">
        <is>
          <t>€25.43M</t>
        </is>
      </c>
      <c r="E10" s="36" t="inlineStr">
        <is>
          <t>€16.23M</t>
        </is>
      </c>
    </row>
    <row r="11">
      <c r="A11" s="32" t="inlineStr">
        <is>
          <t>Equity IRR</t>
        </is>
      </c>
      <c r="B11" s="33" t="inlineStr">
        <is>
          <t>343.61%</t>
        </is>
      </c>
      <c r="C11" s="34" t="inlineStr">
        <is>
          <t>268.17%</t>
        </is>
      </c>
      <c r="D11" s="35" t="inlineStr">
        <is>
          <t>222.57%</t>
        </is>
      </c>
      <c r="E11" s="36" t="inlineStr">
        <is>
          <t>126.73%</t>
        </is>
      </c>
    </row>
    <row r="12">
      <c r="A12" s="32" t="inlineStr">
        <is>
          <t>Project IRR</t>
        </is>
      </c>
      <c r="B12" s="33" t="inlineStr">
        <is>
          <t>104.93%</t>
        </is>
      </c>
      <c r="C12" s="34" t="inlineStr">
        <is>
          <t>85.46%</t>
        </is>
      </c>
      <c r="D12" s="35" t="inlineStr">
        <is>
          <t>72.16%</t>
        </is>
      </c>
      <c r="E12" s="36" t="inlineStr">
        <is>
          <t>44.54%</t>
        </is>
      </c>
    </row>
    <row r="13">
      <c r="A13" s="32" t="inlineStr">
        <is>
          <t>Equity NPV @ 8%</t>
        </is>
      </c>
      <c r="B13" s="33" t="inlineStr">
        <is>
          <t>€17.52M</t>
        </is>
      </c>
      <c r="C13" s="34" t="inlineStr">
        <is>
          <t>€15.78M</t>
        </is>
      </c>
      <c r="D13" s="35" t="inlineStr">
        <is>
          <t>€14.23M</t>
        </is>
      </c>
      <c r="E13" s="36" t="inlineStr">
        <is>
          <t>€8.47M</t>
        </is>
      </c>
    </row>
    <row r="14">
      <c r="A14" s="32" t="inlineStr">
        <is>
          <t>Project NPV @ 8%</t>
        </is>
      </c>
      <c r="B14" s="33" t="inlineStr">
        <is>
          <t>€17.30M</t>
        </is>
      </c>
      <c r="C14" s="34" t="inlineStr">
        <is>
          <t>€15.56M</t>
        </is>
      </c>
      <c r="D14" s="35" t="inlineStr">
        <is>
          <t>€14.02M</t>
        </is>
      </c>
      <c r="E14" s="36" t="inlineStr">
        <is>
          <t>€8.25M</t>
        </is>
      </c>
    </row>
    <row r="15">
      <c r="A15" s="32" t="inlineStr">
        <is>
          <t>Equity payback</t>
        </is>
      </c>
      <c r="B15" s="33" t="inlineStr">
        <is>
          <t>0.3 yr</t>
        </is>
      </c>
      <c r="C15" s="34" t="inlineStr">
        <is>
          <t>0.4 yr</t>
        </is>
      </c>
      <c r="D15" s="35" t="inlineStr">
        <is>
          <t>0.4 yr</t>
        </is>
      </c>
      <c r="E15" s="36" t="inlineStr">
        <is>
          <t>0.8 yr</t>
        </is>
      </c>
    </row>
    <row r="16">
      <c r="A16" s="32" t="inlineStr">
        <is>
          <t>Project payback</t>
        </is>
      </c>
      <c r="B16" s="33" t="inlineStr">
        <is>
          <t>0.9 yr</t>
        </is>
      </c>
      <c r="C16" s="34" t="inlineStr">
        <is>
          <t>1.1 yr</t>
        </is>
      </c>
      <c r="D16" s="35" t="inlineStr">
        <is>
          <t>1.3 yr</t>
        </is>
      </c>
      <c r="E16" s="36" t="inlineStr">
        <is>
          <t>2.1 yr</t>
        </is>
      </c>
    </row>
    <row r="17">
      <c r="A17" s="32" t="inlineStr">
        <is>
          <t>Min DSCR</t>
        </is>
      </c>
      <c r="B17" s="33" t="inlineStr">
        <is>
          <t>5.16x</t>
        </is>
      </c>
      <c r="C17" s="34" t="inlineStr">
        <is>
          <t>4.97x</t>
        </is>
      </c>
      <c r="D17" s="35" t="inlineStr">
        <is>
          <t>5.24x</t>
        </is>
      </c>
      <c r="E17" s="36" t="inlineStr">
        <is>
          <t>3.73x</t>
        </is>
      </c>
    </row>
    <row r="18">
      <c r="A18" s="32" t="inlineStr">
        <is>
          <t>DSCR breach years</t>
        </is>
      </c>
      <c r="B18" s="33" t="inlineStr">
        <is>
          <t>—</t>
        </is>
      </c>
      <c r="C18" s="34" t="inlineStr">
        <is>
          <t>—</t>
        </is>
      </c>
      <c r="D18" s="35" t="inlineStr">
        <is>
          <t>—</t>
        </is>
      </c>
      <c r="E18" s="36" t="inlineStr">
        <is>
          <t>—</t>
        </is>
      </c>
    </row>
    <row r="21">
      <c r="A21" s="4" t="inlineStr">
        <is>
          <t>Annual cashflow after debt by scenario (€)</t>
        </is>
      </c>
    </row>
    <row r="22" ht="36" customHeight="1">
      <c r="A22" s="7" t="inlineStr">
        <is>
          <t>Year</t>
        </is>
      </c>
      <c r="B22" s="7" t="inlineStr">
        <is>
          <t>A. Current (10% share, pre-PIC</t>
        </is>
      </c>
      <c r="C22" s="7" t="inlineStr">
        <is>
          <t>B. PICASSO go-live (Y1) (10% s</t>
        </is>
      </c>
      <c r="D22" s="7" t="inlineStr">
        <is>
          <t>C. Mature market (5% share, -4</t>
        </is>
      </c>
      <c r="E22" s="7" t="inlineStr">
        <is>
          <t>D. Bear case (2% share, full s</t>
        </is>
      </c>
    </row>
    <row r="23">
      <c r="A23" s="37" t="n">
        <v>1</v>
      </c>
      <c r="B23" s="38" t="n">
        <v>3688518.50236006</v>
      </c>
      <c r="C23" s="39" t="n">
        <v>2870491.50236006</v>
      </c>
      <c r="D23" s="40" t="n">
        <v>2405984.50236006</v>
      </c>
      <c r="E23" s="41" t="n">
        <v>1384350.50236006</v>
      </c>
    </row>
    <row r="24">
      <c r="A24" s="37" t="n">
        <v>2</v>
      </c>
      <c r="B24" s="38" t="n">
        <v>3558741.90761006</v>
      </c>
      <c r="C24" s="39" t="n">
        <v>2761165.58261006</v>
      </c>
      <c r="D24" s="40" t="n">
        <v>2256136.72061006</v>
      </c>
      <c r="E24" s="41" t="n">
        <v>1324392.70286006</v>
      </c>
    </row>
    <row r="25">
      <c r="A25" s="37" t="n">
        <v>3</v>
      </c>
      <c r="B25" s="38" t="n">
        <v>2638779.92351006</v>
      </c>
      <c r="C25" s="39" t="n">
        <v>2522438.58597881</v>
      </c>
      <c r="D25" s="40" t="n">
        <v>2105850.23238506</v>
      </c>
      <c r="E25" s="41" t="n">
        <v>1266094.83896006</v>
      </c>
    </row>
    <row r="26">
      <c r="A26" s="37" t="n">
        <v>4</v>
      </c>
      <c r="B26" s="38" t="n">
        <v>2363424.079669122</v>
      </c>
      <c r="C26" s="39" t="n">
        <v>2293441.534753966</v>
      </c>
      <c r="D26" s="40" t="n">
        <v>1961187.307184903</v>
      </c>
      <c r="E26" s="41" t="n">
        <v>1209403.446879748</v>
      </c>
    </row>
    <row r="27">
      <c r="A27" s="37" t="n">
        <v>5</v>
      </c>
      <c r="B27" s="38" t="n">
        <v>1773880.090565532</v>
      </c>
      <c r="C27" s="39" t="n">
        <v>1746020.649023732</v>
      </c>
      <c r="D27" s="40" t="n">
        <v>1491833.388594001</v>
      </c>
      <c r="E27" s="41" t="n">
        <v>804266.4603493253</v>
      </c>
    </row>
    <row r="28">
      <c r="A28" s="37" t="n">
        <v>6</v>
      </c>
      <c r="B28" s="38" t="n">
        <v>1899605.781171815</v>
      </c>
      <c r="C28" s="39" t="n">
        <v>1906540.12763195</v>
      </c>
      <c r="D28" s="40" t="n">
        <v>1726724.144876815</v>
      </c>
      <c r="E28" s="41" t="n">
        <v>1100633.167002287</v>
      </c>
    </row>
    <row r="29">
      <c r="A29" s="37" t="n">
        <v>7</v>
      </c>
      <c r="B29" s="38" t="n">
        <v>1694982.259888989</v>
      </c>
      <c r="C29" s="39" t="n">
        <v>1724717.663479946</v>
      </c>
      <c r="D29" s="40" t="n">
        <v>1615713.261553447</v>
      </c>
      <c r="E29" s="41" t="n">
        <v>1048454.165860711</v>
      </c>
    </row>
    <row r="30">
      <c r="A30" s="37" t="n">
        <v>8</v>
      </c>
      <c r="B30" s="38" t="n">
        <v>1543317.219276669</v>
      </c>
      <c r="C30" s="39" t="n">
        <v>1557275.297890209</v>
      </c>
      <c r="D30" s="40" t="n">
        <v>1545512.370948997</v>
      </c>
      <c r="E30" s="41" t="n">
        <v>1001179.05811823</v>
      </c>
    </row>
    <row r="31">
      <c r="A31" s="37" t="n">
        <v>9</v>
      </c>
      <c r="B31" s="38" t="n">
        <v>1463211.329578585</v>
      </c>
      <c r="C31" s="39" t="n">
        <v>1416657.366690713</v>
      </c>
      <c r="D31" s="40" t="n">
        <v>1477287.605558036</v>
      </c>
      <c r="E31" s="41" t="n">
        <v>955088.3233809478</v>
      </c>
    </row>
    <row r="32">
      <c r="A32" s="37" t="n">
        <v>10</v>
      </c>
      <c r="B32" s="38" t="n">
        <v>1035612.581053578</v>
      </c>
      <c r="C32" s="39" t="n">
        <v>970669.4631386783</v>
      </c>
      <c r="D32" s="40" t="n">
        <v>1060974.553155001</v>
      </c>
      <c r="E32" s="41" t="n">
        <v>560142.8084194262</v>
      </c>
    </row>
    <row r="33">
      <c r="A33" s="37" t="n">
        <v>11</v>
      </c>
      <c r="B33" s="38" t="n">
        <v>1649796.218567376</v>
      </c>
      <c r="C33" s="39" t="n">
        <v>1586476.678600349</v>
      </c>
      <c r="D33" s="40" t="n">
        <v>1679387.000241641</v>
      </c>
      <c r="E33" s="41" t="n">
        <v>1199180.790626866</v>
      </c>
    </row>
    <row r="34">
      <c r="A34" s="37" t="n">
        <v>12</v>
      </c>
      <c r="B34" s="38" t="n">
        <v>1583118.588621262</v>
      </c>
      <c r="C34" s="39" t="n">
        <v>1521382.03715341</v>
      </c>
      <c r="D34" s="40" t="n">
        <v>1616710.888157165</v>
      </c>
      <c r="E34" s="41" t="n">
        <v>1156411.956747608</v>
      </c>
    </row>
    <row r="35">
      <c r="A35" s="37" t="n">
        <v>13</v>
      </c>
      <c r="B35" s="38" t="n">
        <v>1518387.999669191</v>
      </c>
      <c r="C35" s="39" t="n">
        <v>1458194.861988035</v>
      </c>
      <c r="D35" s="40" t="n">
        <v>1555763.246935103</v>
      </c>
      <c r="E35" s="41" t="n">
        <v>1114676.358701513</v>
      </c>
    </row>
    <row r="36">
      <c r="A36" s="37" t="n">
        <v>14</v>
      </c>
      <c r="B36" s="38" t="n">
        <v>1455538.101644178</v>
      </c>
      <c r="C36" s="39" t="n">
        <v>1396849.792405051</v>
      </c>
      <c r="D36" s="40" t="n">
        <v>1496486.15406639</v>
      </c>
      <c r="E36" s="41" t="n">
        <v>1073938.393682099</v>
      </c>
    </row>
    <row r="37">
      <c r="A37" s="37" t="n">
        <v>15</v>
      </c>
      <c r="B37" s="38" t="n">
        <v>1400363.66015962</v>
      </c>
      <c r="C37" s="39" t="n">
        <v>1343142.558651472</v>
      </c>
      <c r="D37" s="40" t="n">
        <v>1438823.18272704</v>
      </c>
      <c r="E37" s="41" t="n">
        <v>1034163.27310473</v>
      </c>
    </row>
    <row r="38">
      <c r="A38" s="42" t="inlineStr">
        <is>
          <t>TOTAL</t>
        </is>
      </c>
      <c r="B38" s="43" t="n">
        <v>29267278.2433461</v>
      </c>
      <c r="C38" s="43" t="n">
        <v>27075463.70235644</v>
      </c>
      <c r="D38" s="43" t="n">
        <v>25434374.55935372</v>
      </c>
      <c r="E38" s="43" t="n">
        <v>16232376.24705367</v>
      </c>
    </row>
  </sheetData>
  <mergeCells count="3">
    <mergeCell ref="A3:F3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2026-05-03T21:25:17Z</dcterms:created>
  <dcterms:modified xmlns:dcterms="http://purl.org/dc/terms/" xmlns:xsi="http://www.w3.org/2001/XMLSchema-instance" xsi:type="dcterms:W3CDTF">2026-05-03T21:25:17Z</dcterms:modified>
</cp:coreProperties>
</file>