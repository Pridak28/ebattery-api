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_A_Current" sheetId="2" state="visible" r:id="rId2"/>
    <sheet xmlns:r="http://schemas.openxmlformats.org/officeDocument/2006/relationships" name="Scenario_B_PICASSO" sheetId="3" state="visible" r:id="rId3"/>
    <sheet xmlns:r="http://schemas.openxmlformats.org/officeDocument/2006/relationships" name="Scenario_C_Mature" sheetId="4" state="visible" r:id="rId4"/>
    <sheet xmlns:r="http://schemas.openxmlformats.org/officeDocument/2006/relationships" name="Scenario_D_Bear" sheetId="5" state="visible" r:id="rId5"/>
    <sheet xmlns:r="http://schemas.openxmlformats.org/officeDocument/2006/relationships" name="Inputs" sheetId="6" state="visible" r:id="rId6"/>
    <sheet xmlns:r="http://schemas.openxmlformats.org/officeDocument/2006/relationships" name="DAMAS_Daily" sheetId="7" state="hidden" r:id="rId7"/>
  </sheets>
  <definedNames>
    <definedName name="power_mw">Inputs!$B$4</definedName>
    <definedName name="capacity_mwh">Inputs!$B$5</definedName>
    <definedName name="hours_per_day">Inputs!$B$6</definedName>
    <definedName name="acceptance_rate">Inputs!$B$7</definedName>
    <definedName name="damas_afrr_up">Inputs!$B$10</definedName>
    <definedName name="damas_afrr_down">Inputs!$B$11</definedName>
    <definedName name="stack_capacity">Inputs!$B$14</definedName>
    <definedName name="stack_activation">Inputs!$B$15</definedName>
    <definedName name="market_share_A">Inputs!$B$18</definedName>
    <definedName name="capacity_mult_A">Inputs!$B$19</definedName>
    <definedName name="activation_mult_A">Inputs!$B$20</definedName>
    <definedName name="market_share_B">Inputs!$B$22</definedName>
    <definedName name="capacity_mult_B">Inputs!$B$23</definedName>
    <definedName name="activation_mult_B">Inputs!$B$24</definedName>
    <definedName name="market_share_C">Inputs!$B$26</definedName>
    <definedName name="capacity_mult_C">Inputs!$B$27</definedName>
    <definedName name="activation_mult_C">Inputs!$B$28</definedName>
    <definedName name="market_share_D">Inputs!$B$30</definedName>
    <definedName name="capacity_mult_D">Inputs!$B$31</definedName>
    <definedName name="activation_mult_D">Inputs!$B$32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 MW&quot;"/>
    <numFmt numFmtId="165" formatCode="0.00&quot; MWh&quot;"/>
    <numFmt numFmtId="166" formatCode="&quot;€&quot;#,##0.00"/>
    <numFmt numFmtId="167" formatCode="yyyy-mm-dd"/>
    <numFmt numFmtId="168" formatCode="&quot;€&quot;#,##0;[Red]&quot;-€&quot;#,##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FFFF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B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 indent="1"/>
    </xf>
    <xf numFmtId="0" fontId="3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left"/>
    </xf>
    <xf numFmtId="10" fontId="0" fillId="0" borderId="1" applyAlignment="1" pivotButton="0" quotePrefix="0" xfId="0">
      <alignment horizontal="left"/>
    </xf>
    <xf numFmtId="166" fontId="0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left"/>
    </xf>
    <xf numFmtId="10" fontId="0" fillId="5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168" fontId="0" fillId="5" borderId="1" applyAlignment="1" pivotButton="0" quotePrefix="0" xfId="0">
      <alignment horizontal="center"/>
    </xf>
    <xf numFmtId="168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10" fontId="0" fillId="6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168" fontId="0" fillId="6" borderId="1" applyAlignment="1" pivotButton="0" quotePrefix="0" xfId="0">
      <alignment horizontal="center"/>
    </xf>
    <xf numFmtId="168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10" fontId="0" fillId="7" borderId="1" applyAlignment="1" pivotButton="0" quotePrefix="0" xfId="0">
      <alignment horizontal="center"/>
    </xf>
    <xf numFmtId="2" fontId="0" fillId="7" borderId="1" applyAlignment="1" pivotButton="0" quotePrefix="0" xfId="0">
      <alignment horizontal="center"/>
    </xf>
    <xf numFmtId="168" fontId="0" fillId="7" borderId="1" applyAlignment="1" pivotButton="0" quotePrefix="0" xfId="0">
      <alignment horizontal="center"/>
    </xf>
    <xf numFmtId="168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10" fontId="0" fillId="8" borderId="1" applyAlignment="1" pivotButton="0" quotePrefix="0" xfId="0">
      <alignment horizontal="center"/>
    </xf>
    <xf numFmtId="2" fontId="0" fillId="8" borderId="1" applyAlignment="1" pivotButton="0" quotePrefix="0" xfId="0">
      <alignment horizontal="center"/>
    </xf>
    <xf numFmtId="168" fontId="0" fillId="8" borderId="1" applyAlignment="1" pivotButton="0" quotePrefix="0" xfId="0">
      <alignment horizontal="center"/>
    </xf>
    <xf numFmtId="168" fontId="3" fillId="8" borderId="1" applyAlignment="1" pivotButton="0" quotePrefix="0" xfId="0">
      <alignment horizontal="center"/>
    </xf>
    <xf numFmtId="0" fontId="3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0" borderId="1" pivotButton="0" quotePrefix="0" xfId="0"/>
    <xf numFmtId="0" fontId="3" fillId="6" borderId="1" pivotButton="0" quotePrefix="0" xfId="0"/>
    <xf numFmtId="0" fontId="0" fillId="6" borderId="1" applyAlignment="1" pivotButton="0" quotePrefix="0" xfId="0">
      <alignment vertical="top" wrapText="1"/>
    </xf>
    <xf numFmtId="0" fontId="3" fillId="7" borderId="1" pivotButton="0" quotePrefix="0" xfId="0"/>
    <xf numFmtId="0" fontId="0" fillId="7" borderId="1" applyAlignment="1" pivotButton="0" quotePrefix="0" xfId="0">
      <alignment vertical="top" wrapText="1"/>
    </xf>
    <xf numFmtId="0" fontId="3" fillId="8" borderId="1" pivotButton="0" quotePrefix="0" xfId="0"/>
    <xf numFmtId="0" fontId="0" fillId="8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wrapText="1"/>
    </xf>
    <xf numFmtId="16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168" fontId="3" fillId="9" borderId="1" applyAlignment="1" pivotButton="0" quotePrefix="0" xfId="0">
      <alignment horizontal="center"/>
    </xf>
    <xf numFmtId="4" fontId="3" fillId="9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165" fontId="3" fillId="4" borderId="1" applyAlignment="1" pivotButton="0" quotePrefix="0" xfId="0">
      <alignment horizontal="center"/>
    </xf>
    <xf numFmtId="1" fontId="3" fillId="4" borderId="1" applyAlignment="1" pivotButton="0" quotePrefix="0" xfId="0">
      <alignment horizontal="center"/>
    </xf>
    <xf numFmtId="10" fontId="3" fillId="4" borderId="1" applyAlignment="1" pivotButton="0" quotePrefix="0" xfId="0">
      <alignment horizontal="center"/>
    </xf>
    <xf numFmtId="166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aFRR scenarios — Current vs PICASSO vs Mature vs Bear  |  2025-05-01 → 2026-05-01 (formula-driven)</t>
        </is>
      </c>
    </row>
    <row r="3">
      <c r="A3" s="2" t="inlineStr">
        <is>
          <t>Battery configuration (common to all 4 scenarios — see Inputs sheet)</t>
        </is>
      </c>
    </row>
    <row r="4">
      <c r="A4" s="3" t="inlineStr">
        <is>
          <t>Power (MW)</t>
        </is>
      </c>
      <c r="B4" s="4">
        <f>power_mw</f>
        <v/>
      </c>
      <c r="C4" s="5" t="inlineStr">
        <is>
          <t>Battery rated power</t>
        </is>
      </c>
      <c r="D4" s="5" t="n"/>
      <c r="E4" s="5" t="n"/>
      <c r="F4" s="5" t="n"/>
      <c r="G4" s="5" t="n"/>
    </row>
    <row r="5">
      <c r="A5" s="3" t="inlineStr">
        <is>
          <t>Energy capacity (MWh)</t>
        </is>
      </c>
      <c r="B5" s="6">
        <f>capacity_mwh</f>
        <v/>
      </c>
      <c r="C5" s="5" t="inlineStr">
        <is>
          <t>Daily throughput cap (1 cycle/day)</t>
        </is>
      </c>
      <c r="D5" s="5" t="n"/>
      <c r="E5" s="5" t="n"/>
      <c r="F5" s="5" t="n"/>
      <c r="G5" s="5" t="n"/>
    </row>
    <row r="6">
      <c r="A6" s="3" t="inlineStr">
        <is>
          <t>Acceptance rate</t>
        </is>
      </c>
      <c r="B6" s="7">
        <f>acceptance_rate</f>
        <v/>
      </c>
      <c r="C6" s="5" t="inlineStr">
        <is>
          <t>Balanced strategy</t>
        </is>
      </c>
      <c r="D6" s="5" t="n"/>
      <c r="E6" s="5" t="n"/>
      <c r="F6" s="5" t="n"/>
      <c r="G6" s="5" t="n"/>
    </row>
    <row r="7">
      <c r="A7" s="3" t="inlineStr">
        <is>
          <t>Real DAMAS aFRR+ (€/MW/h)</t>
        </is>
      </c>
      <c r="B7" s="8">
        <f>damas_afrr_up</f>
        <v/>
      </c>
      <c r="C7" s="5" t="inlineStr">
        <is>
          <t>Edit on Inputs sheet</t>
        </is>
      </c>
      <c r="D7" s="5" t="n"/>
      <c r="E7" s="5" t="n"/>
      <c r="F7" s="5" t="n"/>
      <c r="G7" s="5" t="n"/>
    </row>
    <row r="8">
      <c r="A8" s="3" t="inlineStr">
        <is>
          <t>Real DAMAS aFRR- (€/MW/h)</t>
        </is>
      </c>
      <c r="B8" s="8">
        <f>damas_afrr_down</f>
        <v/>
      </c>
      <c r="C8" s="5" t="inlineStr">
        <is>
          <t>Edit on Inputs sheet</t>
        </is>
      </c>
      <c r="D8" s="5" t="n"/>
      <c r="E8" s="5" t="n"/>
      <c r="F8" s="5" t="n"/>
      <c r="G8" s="5" t="n"/>
    </row>
    <row r="9">
      <c r="A9" s="3" t="inlineStr">
        <is>
          <t>Stacking — capacity</t>
        </is>
      </c>
      <c r="B9" s="7">
        <f>stack_capacity</f>
        <v/>
      </c>
      <c r="C9" s="5" t="inlineStr">
        <is>
          <t>Physical constraint</t>
        </is>
      </c>
      <c r="D9" s="5" t="n"/>
      <c r="E9" s="5" t="n"/>
      <c r="F9" s="5" t="n"/>
      <c r="G9" s="5" t="n"/>
    </row>
    <row r="10">
      <c r="A10" s="3" t="inlineStr">
        <is>
          <t>Stacking — activation</t>
        </is>
      </c>
      <c r="B10" s="7">
        <f>stack_activation</f>
        <v/>
      </c>
      <c r="C10" s="5" t="inlineStr">
        <is>
          <t>Physical constraint</t>
        </is>
      </c>
      <c r="D10" s="5" t="n"/>
      <c r="E10" s="5" t="n"/>
      <c r="F10" s="5" t="n"/>
      <c r="G10" s="5" t="n"/>
    </row>
    <row r="12">
      <c r="A12" s="2" t="inlineStr">
        <is>
          <t>Scenario definitions + LIVE annual totals (formulas pull from each scenario sheet's TOTAL row)</t>
        </is>
      </c>
    </row>
    <row r="13" ht="30" customHeight="1">
      <c r="A13" s="9" t="inlineStr">
        <is>
          <t>Scenario</t>
        </is>
      </c>
      <c r="B13" s="9" t="inlineStr">
        <is>
          <t>Market share</t>
        </is>
      </c>
      <c r="C13" s="9" t="inlineStr">
        <is>
          <t>Capacity ×</t>
        </is>
      </c>
      <c r="D13" s="9" t="inlineStr">
        <is>
          <t>Activation ×</t>
        </is>
      </c>
      <c r="E13" s="9" t="inlineStr">
        <is>
          <t>Capacity rev (€)</t>
        </is>
      </c>
      <c r="F13" s="9" t="inlineStr">
        <is>
          <t>Activation rev (€)</t>
        </is>
      </c>
      <c r="G13" s="9" t="inlineStr">
        <is>
          <t>Total annual (€)</t>
        </is>
      </c>
    </row>
    <row r="14">
      <c r="A14" s="10" t="inlineStr">
        <is>
          <t>A. Current (10%, pre-PICASSO)</t>
        </is>
      </c>
      <c r="B14" s="11">
        <f>market_share_A</f>
        <v/>
      </c>
      <c r="C14" s="12">
        <f>capacity_mult_A</f>
        <v/>
      </c>
      <c r="D14" s="12">
        <f>activation_mult_A</f>
        <v/>
      </c>
      <c r="E14" s="13">
        <f>'Scenario_A_Current'!F368</f>
        <v/>
      </c>
      <c r="F14" s="13">
        <f>'Scenario_A_Current'!M368</f>
        <v/>
      </c>
      <c r="G14" s="14">
        <f>'Scenario_A_Current'!N368</f>
        <v/>
      </c>
    </row>
    <row r="15">
      <c r="A15" s="15" t="inlineStr">
        <is>
          <t>B. PICASSO go-live (−25%)</t>
        </is>
      </c>
      <c r="B15" s="16">
        <f>market_share_B</f>
        <v/>
      </c>
      <c r="C15" s="17">
        <f>capacity_mult_B</f>
        <v/>
      </c>
      <c r="D15" s="17">
        <f>activation_mult_B</f>
        <v/>
      </c>
      <c r="E15" s="18">
        <f>'Scenario_B_PICASSO'!F368</f>
        <v/>
      </c>
      <c r="F15" s="18">
        <f>'Scenario_B_PICASSO'!M368</f>
        <v/>
      </c>
      <c r="G15" s="19">
        <f>'Scenario_B_PICASSO'!N368</f>
        <v/>
      </c>
    </row>
    <row r="16">
      <c r="A16" s="20" t="inlineStr">
        <is>
          <t>C. Mature market (5% share, −40%)</t>
        </is>
      </c>
      <c r="B16" s="21">
        <f>market_share_C</f>
        <v/>
      </c>
      <c r="C16" s="22">
        <f>capacity_mult_C</f>
        <v/>
      </c>
      <c r="D16" s="22">
        <f>activation_mult_C</f>
        <v/>
      </c>
      <c r="E16" s="23">
        <f>'Scenario_C_Mature'!F368</f>
        <v/>
      </c>
      <c r="F16" s="23">
        <f>'Scenario_C_Mature'!M368</f>
        <v/>
      </c>
      <c r="G16" s="24">
        <f>'Scenario_C_Mature'!N368</f>
        <v/>
      </c>
    </row>
    <row r="17">
      <c r="A17" s="25" t="inlineStr">
        <is>
          <t>D. Bear case (2%, full saturation)</t>
        </is>
      </c>
      <c r="B17" s="26">
        <f>market_share_D</f>
        <v/>
      </c>
      <c r="C17" s="27">
        <f>capacity_mult_D</f>
        <v/>
      </c>
      <c r="D17" s="27">
        <f>activation_mult_D</f>
        <v/>
      </c>
      <c r="E17" s="28">
        <f>'Scenario_D_Bear'!F368</f>
        <v/>
      </c>
      <c r="F17" s="28">
        <f>'Scenario_D_Bear'!M368</f>
        <v/>
      </c>
      <c r="G17" s="29">
        <f>'Scenario_D_Bear'!N368</f>
        <v/>
      </c>
    </row>
    <row r="19">
      <c r="A19" s="2" t="inlineStr">
        <is>
          <t>Scenario descriptions</t>
        </is>
      </c>
    </row>
    <row r="20" ht="80" customHeight="1">
      <c r="A20" s="30" t="inlineStr">
        <is>
          <t>A. Current (10%, pre-PICASSO)</t>
        </is>
      </c>
      <c r="B20" s="31" t="inlineStr">
        <is>
          <t>Today's Romanian aFRR market. PICASSO platform NOT yet connected (Romania waiting on Hungary/MAVIR). Battery operator captures 10% of TSO activations (small new entrant in a sparse BESS market — only ~50 MW deployed Romania-wide). Real DAMAS capacity clearing prices apply. Activation revenue uses real per-slot DAMAS settlement prices.</t>
        </is>
      </c>
      <c r="C20" s="32" t="n"/>
      <c r="D20" s="32" t="n"/>
      <c r="E20" s="32" t="n"/>
      <c r="F20" s="32" t="n"/>
      <c r="G20" s="32" t="n"/>
    </row>
    <row r="21" ht="80" customHeight="1">
      <c r="A21" s="33" t="inlineStr">
        <is>
          <t>B. PICASSO go-live (−25%)</t>
        </is>
      </c>
      <c r="B21" s="34" t="inlineStr">
        <is>
          <t>PICASSO platform activates Romania (expected 2026-2027 once Hungary/MAVIR connects). Cross-border aFRR-energy bid stack caps Romanian extreme activation prices toward European average; capacity prices compress in parallel. Conservative step-down applied: −25% on BOTH capacity bid AND per-slot activation revenue.</t>
        </is>
      </c>
      <c r="C21" s="32" t="n"/>
      <c r="D21" s="32" t="n"/>
      <c r="E21" s="32" t="n"/>
      <c r="F21" s="32" t="n"/>
      <c r="G21" s="32" t="n"/>
    </row>
    <row r="22" ht="80" customHeight="1">
      <c r="A22" s="35" t="inlineStr">
        <is>
          <t>C. Mature market (5% share, −40%)</t>
        </is>
      </c>
      <c r="B22" s="36" t="inlineStr">
        <is>
          <t>Romanian BESS pipeline (1+ GW announced) materializes through 2027-2028. Market share compresses from 10% to 5% as new BESS deployments compete for the same activation volumes. aFRR capacity prices compress 40% to ~€5/MW/h (matching Germany's current level). Steady-state realistic case for years Y3-Y8.</t>
        </is>
      </c>
      <c r="C22" s="32" t="n"/>
      <c r="D22" s="32" t="n"/>
      <c r="E22" s="32" t="n"/>
      <c r="F22" s="32" t="n"/>
      <c r="G22" s="32" t="n"/>
    </row>
    <row r="23" ht="80" customHeight="1">
      <c r="A23" s="37" t="inlineStr">
        <is>
          <t>D. Bear case (2%, full saturation)</t>
        </is>
      </c>
      <c r="B23" s="38" t="inlineStr">
        <is>
          <t>Long-term steady state (2030+). Romanian BESS deploys 2-3 GW matching Germany's current density. Market share collapses to 2% per operator. aFRR capacity prices fall 60%. Activation prices fall 50% as PICASSO + thick bid stack normalize Romanian prices to European average. Bankability stress case used by lenders for late-life (Y8-Y15) cashflow projections.</t>
        </is>
      </c>
      <c r="C23" s="32" t="n"/>
      <c r="D23" s="32" t="n"/>
      <c r="E23" s="32" t="n"/>
      <c r="F23" s="32" t="n"/>
      <c r="G23" s="32" t="n"/>
    </row>
    <row r="25">
      <c r="A25" s="2" t="inlineStr">
        <is>
          <t>Notes</t>
        </is>
      </c>
    </row>
    <row r="26" ht="32" customHeight="1">
      <c r="A26" s="39" t="inlineStr">
        <is>
          <t>• FORMULA-DRIVEN VERSION. Edit any yellow cell on Inputs to recompute every scenario instantly.</t>
        </is>
      </c>
    </row>
    <row r="27" ht="32" customHeight="1">
      <c r="A27" s="39" t="inlineStr">
        <is>
          <t>• All four scenarios run the SAME 10 MW / 20 MWh battery on the SAME real DAMAS market data (366 days × 96 slots/day) — only the market_share, capacity_mult, and activation_mult parameters differ.</t>
        </is>
      </c>
    </row>
    <row r="28" ht="32" customHeight="1">
      <c r="A28" s="39" t="inlineStr">
        <is>
          <t>• Capacity revenue per day = power × 24h × bid × acceptance × stack_capacity, where bid = MAX(damas_up, damas_down) × capacity_mult per scenario.</t>
        </is>
      </c>
    </row>
    <row r="29" ht="32" customHeight="1">
      <c r="A29" s="39" t="inlineStr">
        <is>
          <t>• Activation revenue per day = MIN(market × share × acceptance × stack_activation, power × hours, capacity) × actual_avg_settlement_price × activation_mult.</t>
        </is>
      </c>
    </row>
    <row r="30" ht="32" customHeight="1">
      <c r="A30" s="39" t="inlineStr">
        <is>
          <t>• PICASSO assumption (-25% step-down): conservative read of ENTSO-E PICASSO go-live data from DE/AT/CZ which saw 20-40% reduction in extreme tail prices. Romania expected to connect 2026-2027.</t>
        </is>
      </c>
    </row>
    <row r="31" ht="32" customHeight="1">
      <c r="A31" s="39" t="inlineStr">
        <is>
          <t>• Mature market (5% share, -40% capacity): extrapolation from Germany's BESS build-out 2022-2024 and current ~€3-4/MW/h aFRR clearing.</t>
        </is>
      </c>
    </row>
    <row r="32" ht="32" customHeight="1">
      <c r="A32" s="39" t="inlineStr">
        <is>
          <t>• Bear case (2% share, -60% capacity): long-term steady state matching Germany today after their compression, applied to Romania for Y8-Y15 cashflow stress testing.</t>
        </is>
      </c>
    </row>
    <row r="33" ht="32" customHeight="1">
      <c r="A33" s="39" t="inlineStr">
        <is>
          <t>• Numbers are SIMULATED on real DAMAS data — NOT bankable. Compliance gates (ANRE / OPCOM / PRE / BRP / BSP / FSE) and tariff exemption math apply downstream in investment_service.analyze().</t>
        </is>
      </c>
    </row>
  </sheetData>
  <mergeCells count="24">
    <mergeCell ref="A32:G32"/>
    <mergeCell ref="C6:G6"/>
    <mergeCell ref="B23:G23"/>
    <mergeCell ref="C5:G5"/>
    <mergeCell ref="A29:G29"/>
    <mergeCell ref="A19:G19"/>
    <mergeCell ref="A28:G28"/>
    <mergeCell ref="C4:G4"/>
    <mergeCell ref="A31:G31"/>
    <mergeCell ref="C10:G10"/>
    <mergeCell ref="A30:G30"/>
    <mergeCell ref="C9:G9"/>
    <mergeCell ref="B20:G20"/>
    <mergeCell ref="A1:G1"/>
    <mergeCell ref="A25:G25"/>
    <mergeCell ref="C8:G8"/>
    <mergeCell ref="C7:G7"/>
    <mergeCell ref="B22:G22"/>
    <mergeCell ref="A27:G27"/>
    <mergeCell ref="A3:G3"/>
    <mergeCell ref="A12:G12"/>
    <mergeCell ref="A26:G26"/>
    <mergeCell ref="B21:G21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</cols>
  <sheetData>
    <row r="1" ht="42" customHeight="1">
      <c r="A1" s="40" t="inlineStr">
        <is>
          <t>Date</t>
        </is>
      </c>
      <c r="B1" s="40" t="inlineStr">
        <is>
          <t>Weekday</t>
        </is>
      </c>
      <c r="C1" s="40" t="inlineStr">
        <is>
          <t>Selected</t>
        </is>
      </c>
      <c r="D1" s="40" t="inlineStr">
        <is>
          <t>Recommended bid (€/MW/h)</t>
        </is>
      </c>
      <c r="E1" s="40" t="inlineStr">
        <is>
          <t>Acceptance rate</t>
        </is>
      </c>
      <c r="F1" s="40" t="inlineStr">
        <is>
          <t>Capacity revenue (€)</t>
        </is>
      </c>
      <c r="G1" s="40" t="inlineStr">
        <is>
          <t>Slots activated (#/96)</t>
        </is>
      </c>
      <c r="H1" s="40" t="inlineStr">
        <is>
          <t>Avg activation price (€/MWh)</t>
        </is>
      </c>
      <c r="I1" s="40" t="inlineStr">
        <is>
          <t>Max activation price (€/MWh)</t>
        </is>
      </c>
      <c r="J1" s="40" t="inlineStr">
        <is>
          <t>Market activations (MWh)</t>
        </is>
      </c>
      <c r="K1" s="40" t="inlineStr">
        <is>
          <t>Captured energy (MWh)</t>
        </is>
      </c>
      <c r="L1" s="40" t="inlineStr">
        <is>
          <t>Battery cap binding</t>
        </is>
      </c>
      <c r="M1" s="40" t="inlineStr">
        <is>
          <t>Activation revenue (€)</t>
        </is>
      </c>
      <c r="N1" s="40" t="inlineStr">
        <is>
          <t>Daily revenue (€)</t>
        </is>
      </c>
    </row>
    <row r="2">
      <c r="A2" s="41">
        <f>DAMAS_Daily!A2</f>
        <v/>
      </c>
      <c r="B2" s="42">
        <f>DAMAS_Daily!B2</f>
        <v/>
      </c>
      <c r="C2" s="42">
        <f>IF((power_mw*hours_per_day*damas_afrr_up*capacity_mult_A*stack_capacity*acceptance_rate+(MIN(DAMAS_Daily!C2*market_share_A*acceptance_rate*stack_activation,power_mw*hours_per_day,capacity_mwh))*DAMAS_Daily!E2*activation_mult_A)&gt;=(power_mw*hours_per_day*damas_afrr_down*capacity_mult_A*stack_capacity*acceptance_rate+(MIN(DAMAS_Daily!D2*market_share_A*acceptance_rate*stack_activation,power_mw*hours_per_day,capacity_mwh))*DAMAS_Daily!F2*activation_mult_A),"aFRR+","aFRR-")</f>
        <v/>
      </c>
      <c r="D2" s="43">
        <f>IF(C2="aFRR+",damas_afrr_up*capacity_mult_A,damas_afrr_down*capacity_mult_A)</f>
        <v/>
      </c>
      <c r="E2" s="44">
        <f>acceptance_rate</f>
        <v/>
      </c>
      <c r="F2" s="13">
        <f>IF(C2="aFRR+",power_mw*hours_per_day*damas_afrr_up*capacity_mult_A*stack_capacity*acceptance_rate,power_mw*hours_per_day*damas_afrr_down*capacity_mult_A*stack_capacity*acceptance_rate)</f>
        <v/>
      </c>
      <c r="G2" s="42">
        <f>IF(C2="aFRR+",DAMAS_Daily!I2,DAMAS_Daily!J2)</f>
        <v/>
      </c>
      <c r="H2" s="43">
        <f>IF(C2="aFRR+",DAMAS_Daily!E2,DAMAS_Daily!F2)</f>
        <v/>
      </c>
      <c r="I2" s="43">
        <f>IF(C2="aFRR+",DAMAS_Daily!G2,DAMAS_Daily!H2)</f>
        <v/>
      </c>
      <c r="J2" s="45">
        <f>IF(C2="aFRR+",DAMAS_Daily!C2,DAMAS_Daily!D2)</f>
        <v/>
      </c>
      <c r="K2" s="45">
        <f>IF(C2="aFRR+",MIN(DAMAS_Daily!C2*market_share_A*acceptance_rate*stack_activation,power_mw*hours_per_day,capacity_mwh),MIN(DAMAS_Daily!D2*market_share_A*acceptance_rate*stack_activation,power_mw*hours_per_day,capacity_mwh))</f>
        <v/>
      </c>
      <c r="L2" s="42">
        <f>IF(K2&gt;=capacity_mwh-0.01,"yes","no")</f>
        <v/>
      </c>
      <c r="M2" s="13">
        <f>IF(C2="aFRR+",(MIN(DAMAS_Daily!C2*market_share_A*acceptance_rate*stack_activation,power_mw*hours_per_day,capacity_mwh))*DAMAS_Daily!E2*activation_mult_A,(MIN(DAMAS_Daily!D2*market_share_A*acceptance_rate*stack_activation,power_mw*hours_per_day,capacity_mwh))*DAMAS_Daily!F2*activation_mult_A)</f>
        <v/>
      </c>
      <c r="N2" s="14">
        <f>F2+M2</f>
        <v/>
      </c>
    </row>
    <row r="3">
      <c r="A3" s="41">
        <f>DAMAS_Daily!A3</f>
        <v/>
      </c>
      <c r="B3" s="42">
        <f>DAMAS_Daily!B3</f>
        <v/>
      </c>
      <c r="C3" s="42">
        <f>IF((power_mw*hours_per_day*damas_afrr_up*capacity_mult_A*stack_capacity*acceptance_rate+(MIN(DAMAS_Daily!C3*market_share_A*acceptance_rate*stack_activation,power_mw*hours_per_day,capacity_mwh))*DAMAS_Daily!E3*activation_mult_A)&gt;=(power_mw*hours_per_day*damas_afrr_down*capacity_mult_A*stack_capacity*acceptance_rate+(MIN(DAMAS_Daily!D3*market_share_A*acceptance_rate*stack_activation,power_mw*hours_per_day,capacity_mwh))*DAMAS_Daily!F3*activation_mult_A),"aFRR+","aFRR-")</f>
        <v/>
      </c>
      <c r="D3" s="43">
        <f>IF(C3="aFRR+",damas_afrr_up*capacity_mult_A,damas_afrr_down*capacity_mult_A)</f>
        <v/>
      </c>
      <c r="E3" s="44">
        <f>acceptance_rate</f>
        <v/>
      </c>
      <c r="F3" s="13">
        <f>IF(C3="aFRR+",power_mw*hours_per_day*damas_afrr_up*capacity_mult_A*stack_capacity*acceptance_rate,power_mw*hours_per_day*damas_afrr_down*capacity_mult_A*stack_capacity*acceptance_rate)</f>
        <v/>
      </c>
      <c r="G3" s="42">
        <f>IF(C3="aFRR+",DAMAS_Daily!I3,DAMAS_Daily!J3)</f>
        <v/>
      </c>
      <c r="H3" s="43">
        <f>IF(C3="aFRR+",DAMAS_Daily!E3,DAMAS_Daily!F3)</f>
        <v/>
      </c>
      <c r="I3" s="43">
        <f>IF(C3="aFRR+",DAMAS_Daily!G3,DAMAS_Daily!H3)</f>
        <v/>
      </c>
      <c r="J3" s="45">
        <f>IF(C3="aFRR+",DAMAS_Daily!C3,DAMAS_Daily!D3)</f>
        <v/>
      </c>
      <c r="K3" s="45">
        <f>IF(C3="aFRR+",MIN(DAMAS_Daily!C3*market_share_A*acceptance_rate*stack_activation,power_mw*hours_per_day,capacity_mwh),MIN(DAMAS_Daily!D3*market_share_A*acceptance_rate*stack_activation,power_mw*hours_per_day,capacity_mwh))</f>
        <v/>
      </c>
      <c r="L3" s="42">
        <f>IF(K3&gt;=capacity_mwh-0.01,"yes","no")</f>
        <v/>
      </c>
      <c r="M3" s="13">
        <f>IF(C3="aFRR+",(MIN(DAMAS_Daily!C3*market_share_A*acceptance_rate*stack_activation,power_mw*hours_per_day,capacity_mwh))*DAMAS_Daily!E3*activation_mult_A,(MIN(DAMAS_Daily!D3*market_share_A*acceptance_rate*stack_activation,power_mw*hours_per_day,capacity_mwh))*DAMAS_Daily!F3*activation_mult_A)</f>
        <v/>
      </c>
      <c r="N3" s="14">
        <f>F3+M3</f>
        <v/>
      </c>
    </row>
    <row r="4">
      <c r="A4" s="41">
        <f>DAMAS_Daily!A4</f>
        <v/>
      </c>
      <c r="B4" s="42">
        <f>DAMAS_Daily!B4</f>
        <v/>
      </c>
      <c r="C4" s="42">
        <f>IF((power_mw*hours_per_day*damas_afrr_up*capacity_mult_A*stack_capacity*acceptance_rate+(MIN(DAMAS_Daily!C4*market_share_A*acceptance_rate*stack_activation,power_mw*hours_per_day,capacity_mwh))*DAMAS_Daily!E4*activation_mult_A)&gt;=(power_mw*hours_per_day*damas_afrr_down*capacity_mult_A*stack_capacity*acceptance_rate+(MIN(DAMAS_Daily!D4*market_share_A*acceptance_rate*stack_activation,power_mw*hours_per_day,capacity_mwh))*DAMAS_Daily!F4*activation_mult_A),"aFRR+","aFRR-")</f>
        <v/>
      </c>
      <c r="D4" s="43">
        <f>IF(C4="aFRR+",damas_afrr_up*capacity_mult_A,damas_afrr_down*capacity_mult_A)</f>
        <v/>
      </c>
      <c r="E4" s="44">
        <f>acceptance_rate</f>
        <v/>
      </c>
      <c r="F4" s="13">
        <f>IF(C4="aFRR+",power_mw*hours_per_day*damas_afrr_up*capacity_mult_A*stack_capacity*acceptance_rate,power_mw*hours_per_day*damas_afrr_down*capacity_mult_A*stack_capacity*acceptance_rate)</f>
        <v/>
      </c>
      <c r="G4" s="42">
        <f>IF(C4="aFRR+",DAMAS_Daily!I4,DAMAS_Daily!J4)</f>
        <v/>
      </c>
      <c r="H4" s="43">
        <f>IF(C4="aFRR+",DAMAS_Daily!E4,DAMAS_Daily!F4)</f>
        <v/>
      </c>
      <c r="I4" s="43">
        <f>IF(C4="aFRR+",DAMAS_Daily!G4,DAMAS_Daily!H4)</f>
        <v/>
      </c>
      <c r="J4" s="45">
        <f>IF(C4="aFRR+",DAMAS_Daily!C4,DAMAS_Daily!D4)</f>
        <v/>
      </c>
      <c r="K4" s="45">
        <f>IF(C4="aFRR+",MIN(DAMAS_Daily!C4*market_share_A*acceptance_rate*stack_activation,power_mw*hours_per_day,capacity_mwh),MIN(DAMAS_Daily!D4*market_share_A*acceptance_rate*stack_activation,power_mw*hours_per_day,capacity_mwh))</f>
        <v/>
      </c>
      <c r="L4" s="42">
        <f>IF(K4&gt;=capacity_mwh-0.01,"yes","no")</f>
        <v/>
      </c>
      <c r="M4" s="13">
        <f>IF(C4="aFRR+",(MIN(DAMAS_Daily!C4*market_share_A*acceptance_rate*stack_activation,power_mw*hours_per_day,capacity_mwh))*DAMAS_Daily!E4*activation_mult_A,(MIN(DAMAS_Daily!D4*market_share_A*acceptance_rate*stack_activation,power_mw*hours_per_day,capacity_mwh))*DAMAS_Daily!F4*activation_mult_A)</f>
        <v/>
      </c>
      <c r="N4" s="14">
        <f>F4+M4</f>
        <v/>
      </c>
    </row>
    <row r="5">
      <c r="A5" s="41">
        <f>DAMAS_Daily!A5</f>
        <v/>
      </c>
      <c r="B5" s="42">
        <f>DAMAS_Daily!B5</f>
        <v/>
      </c>
      <c r="C5" s="42">
        <f>IF((power_mw*hours_per_day*damas_afrr_up*capacity_mult_A*stack_capacity*acceptance_rate+(MIN(DAMAS_Daily!C5*market_share_A*acceptance_rate*stack_activation,power_mw*hours_per_day,capacity_mwh))*DAMAS_Daily!E5*activation_mult_A)&gt;=(power_mw*hours_per_day*damas_afrr_down*capacity_mult_A*stack_capacity*acceptance_rate+(MIN(DAMAS_Daily!D5*market_share_A*acceptance_rate*stack_activation,power_mw*hours_per_day,capacity_mwh))*DAMAS_Daily!F5*activation_mult_A),"aFRR+","aFRR-")</f>
        <v/>
      </c>
      <c r="D5" s="43">
        <f>IF(C5="aFRR+",damas_afrr_up*capacity_mult_A,damas_afrr_down*capacity_mult_A)</f>
        <v/>
      </c>
      <c r="E5" s="44">
        <f>acceptance_rate</f>
        <v/>
      </c>
      <c r="F5" s="13">
        <f>IF(C5="aFRR+",power_mw*hours_per_day*damas_afrr_up*capacity_mult_A*stack_capacity*acceptance_rate,power_mw*hours_per_day*damas_afrr_down*capacity_mult_A*stack_capacity*acceptance_rate)</f>
        <v/>
      </c>
      <c r="G5" s="42">
        <f>IF(C5="aFRR+",DAMAS_Daily!I5,DAMAS_Daily!J5)</f>
        <v/>
      </c>
      <c r="H5" s="43">
        <f>IF(C5="aFRR+",DAMAS_Daily!E5,DAMAS_Daily!F5)</f>
        <v/>
      </c>
      <c r="I5" s="43">
        <f>IF(C5="aFRR+",DAMAS_Daily!G5,DAMAS_Daily!H5)</f>
        <v/>
      </c>
      <c r="J5" s="45">
        <f>IF(C5="aFRR+",DAMAS_Daily!C5,DAMAS_Daily!D5)</f>
        <v/>
      </c>
      <c r="K5" s="45">
        <f>IF(C5="aFRR+",MIN(DAMAS_Daily!C5*market_share_A*acceptance_rate*stack_activation,power_mw*hours_per_day,capacity_mwh),MIN(DAMAS_Daily!D5*market_share_A*acceptance_rate*stack_activation,power_mw*hours_per_day,capacity_mwh))</f>
        <v/>
      </c>
      <c r="L5" s="42">
        <f>IF(K5&gt;=capacity_mwh-0.01,"yes","no")</f>
        <v/>
      </c>
      <c r="M5" s="13">
        <f>IF(C5="aFRR+",(MIN(DAMAS_Daily!C5*market_share_A*acceptance_rate*stack_activation,power_mw*hours_per_day,capacity_mwh))*DAMAS_Daily!E5*activation_mult_A,(MIN(DAMAS_Daily!D5*market_share_A*acceptance_rate*stack_activation,power_mw*hours_per_day,capacity_mwh))*DAMAS_Daily!F5*activation_mult_A)</f>
        <v/>
      </c>
      <c r="N5" s="14">
        <f>F5+M5</f>
        <v/>
      </c>
    </row>
    <row r="6">
      <c r="A6" s="41">
        <f>DAMAS_Daily!A6</f>
        <v/>
      </c>
      <c r="B6" s="42">
        <f>DAMAS_Daily!B6</f>
        <v/>
      </c>
      <c r="C6" s="42">
        <f>IF((power_mw*hours_per_day*damas_afrr_up*capacity_mult_A*stack_capacity*acceptance_rate+(MIN(DAMAS_Daily!C6*market_share_A*acceptance_rate*stack_activation,power_mw*hours_per_day,capacity_mwh))*DAMAS_Daily!E6*activation_mult_A)&gt;=(power_mw*hours_per_day*damas_afrr_down*capacity_mult_A*stack_capacity*acceptance_rate+(MIN(DAMAS_Daily!D6*market_share_A*acceptance_rate*stack_activation,power_mw*hours_per_day,capacity_mwh))*DAMAS_Daily!F6*activation_mult_A),"aFRR+","aFRR-")</f>
        <v/>
      </c>
      <c r="D6" s="43">
        <f>IF(C6="aFRR+",damas_afrr_up*capacity_mult_A,damas_afrr_down*capacity_mult_A)</f>
        <v/>
      </c>
      <c r="E6" s="44">
        <f>acceptance_rate</f>
        <v/>
      </c>
      <c r="F6" s="13">
        <f>IF(C6="aFRR+",power_mw*hours_per_day*damas_afrr_up*capacity_mult_A*stack_capacity*acceptance_rate,power_mw*hours_per_day*damas_afrr_down*capacity_mult_A*stack_capacity*acceptance_rate)</f>
        <v/>
      </c>
      <c r="G6" s="42">
        <f>IF(C6="aFRR+",DAMAS_Daily!I6,DAMAS_Daily!J6)</f>
        <v/>
      </c>
      <c r="H6" s="43">
        <f>IF(C6="aFRR+",DAMAS_Daily!E6,DAMAS_Daily!F6)</f>
        <v/>
      </c>
      <c r="I6" s="43">
        <f>IF(C6="aFRR+",DAMAS_Daily!G6,DAMAS_Daily!H6)</f>
        <v/>
      </c>
      <c r="J6" s="45">
        <f>IF(C6="aFRR+",DAMAS_Daily!C6,DAMAS_Daily!D6)</f>
        <v/>
      </c>
      <c r="K6" s="45">
        <f>IF(C6="aFRR+",MIN(DAMAS_Daily!C6*market_share_A*acceptance_rate*stack_activation,power_mw*hours_per_day,capacity_mwh),MIN(DAMAS_Daily!D6*market_share_A*acceptance_rate*stack_activation,power_mw*hours_per_day,capacity_mwh))</f>
        <v/>
      </c>
      <c r="L6" s="42">
        <f>IF(K6&gt;=capacity_mwh-0.01,"yes","no")</f>
        <v/>
      </c>
      <c r="M6" s="13">
        <f>IF(C6="aFRR+",(MIN(DAMAS_Daily!C6*market_share_A*acceptance_rate*stack_activation,power_mw*hours_per_day,capacity_mwh))*DAMAS_Daily!E6*activation_mult_A,(MIN(DAMAS_Daily!D6*market_share_A*acceptance_rate*stack_activation,power_mw*hours_per_day,capacity_mwh))*DAMAS_Daily!F6*activation_mult_A)</f>
        <v/>
      </c>
      <c r="N6" s="14">
        <f>F6+M6</f>
        <v/>
      </c>
    </row>
    <row r="7">
      <c r="A7" s="41">
        <f>DAMAS_Daily!A7</f>
        <v/>
      </c>
      <c r="B7" s="42">
        <f>DAMAS_Daily!B7</f>
        <v/>
      </c>
      <c r="C7" s="42">
        <f>IF((power_mw*hours_per_day*damas_afrr_up*capacity_mult_A*stack_capacity*acceptance_rate+(MIN(DAMAS_Daily!C7*market_share_A*acceptance_rate*stack_activation,power_mw*hours_per_day,capacity_mwh))*DAMAS_Daily!E7*activation_mult_A)&gt;=(power_mw*hours_per_day*damas_afrr_down*capacity_mult_A*stack_capacity*acceptance_rate+(MIN(DAMAS_Daily!D7*market_share_A*acceptance_rate*stack_activation,power_mw*hours_per_day,capacity_mwh))*DAMAS_Daily!F7*activation_mult_A),"aFRR+","aFRR-")</f>
        <v/>
      </c>
      <c r="D7" s="43">
        <f>IF(C7="aFRR+",damas_afrr_up*capacity_mult_A,damas_afrr_down*capacity_mult_A)</f>
        <v/>
      </c>
      <c r="E7" s="44">
        <f>acceptance_rate</f>
        <v/>
      </c>
      <c r="F7" s="13">
        <f>IF(C7="aFRR+",power_mw*hours_per_day*damas_afrr_up*capacity_mult_A*stack_capacity*acceptance_rate,power_mw*hours_per_day*damas_afrr_down*capacity_mult_A*stack_capacity*acceptance_rate)</f>
        <v/>
      </c>
      <c r="G7" s="42">
        <f>IF(C7="aFRR+",DAMAS_Daily!I7,DAMAS_Daily!J7)</f>
        <v/>
      </c>
      <c r="H7" s="43">
        <f>IF(C7="aFRR+",DAMAS_Daily!E7,DAMAS_Daily!F7)</f>
        <v/>
      </c>
      <c r="I7" s="43">
        <f>IF(C7="aFRR+",DAMAS_Daily!G7,DAMAS_Daily!H7)</f>
        <v/>
      </c>
      <c r="J7" s="45">
        <f>IF(C7="aFRR+",DAMAS_Daily!C7,DAMAS_Daily!D7)</f>
        <v/>
      </c>
      <c r="K7" s="45">
        <f>IF(C7="aFRR+",MIN(DAMAS_Daily!C7*market_share_A*acceptance_rate*stack_activation,power_mw*hours_per_day,capacity_mwh),MIN(DAMAS_Daily!D7*market_share_A*acceptance_rate*stack_activation,power_mw*hours_per_day,capacity_mwh))</f>
        <v/>
      </c>
      <c r="L7" s="42">
        <f>IF(K7&gt;=capacity_mwh-0.01,"yes","no")</f>
        <v/>
      </c>
      <c r="M7" s="13">
        <f>IF(C7="aFRR+",(MIN(DAMAS_Daily!C7*market_share_A*acceptance_rate*stack_activation,power_mw*hours_per_day,capacity_mwh))*DAMAS_Daily!E7*activation_mult_A,(MIN(DAMAS_Daily!D7*market_share_A*acceptance_rate*stack_activation,power_mw*hours_per_day,capacity_mwh))*DAMAS_Daily!F7*activation_mult_A)</f>
        <v/>
      </c>
      <c r="N7" s="14">
        <f>F7+M7</f>
        <v/>
      </c>
    </row>
    <row r="8">
      <c r="A8" s="41">
        <f>DAMAS_Daily!A8</f>
        <v/>
      </c>
      <c r="B8" s="42">
        <f>DAMAS_Daily!B8</f>
        <v/>
      </c>
      <c r="C8" s="42">
        <f>IF((power_mw*hours_per_day*damas_afrr_up*capacity_mult_A*stack_capacity*acceptance_rate+(MIN(DAMAS_Daily!C8*market_share_A*acceptance_rate*stack_activation,power_mw*hours_per_day,capacity_mwh))*DAMAS_Daily!E8*activation_mult_A)&gt;=(power_mw*hours_per_day*damas_afrr_down*capacity_mult_A*stack_capacity*acceptance_rate+(MIN(DAMAS_Daily!D8*market_share_A*acceptance_rate*stack_activation,power_mw*hours_per_day,capacity_mwh))*DAMAS_Daily!F8*activation_mult_A),"aFRR+","aFRR-")</f>
        <v/>
      </c>
      <c r="D8" s="43">
        <f>IF(C8="aFRR+",damas_afrr_up*capacity_mult_A,damas_afrr_down*capacity_mult_A)</f>
        <v/>
      </c>
      <c r="E8" s="44">
        <f>acceptance_rate</f>
        <v/>
      </c>
      <c r="F8" s="13">
        <f>IF(C8="aFRR+",power_mw*hours_per_day*damas_afrr_up*capacity_mult_A*stack_capacity*acceptance_rate,power_mw*hours_per_day*damas_afrr_down*capacity_mult_A*stack_capacity*acceptance_rate)</f>
        <v/>
      </c>
      <c r="G8" s="42">
        <f>IF(C8="aFRR+",DAMAS_Daily!I8,DAMAS_Daily!J8)</f>
        <v/>
      </c>
      <c r="H8" s="43">
        <f>IF(C8="aFRR+",DAMAS_Daily!E8,DAMAS_Daily!F8)</f>
        <v/>
      </c>
      <c r="I8" s="43">
        <f>IF(C8="aFRR+",DAMAS_Daily!G8,DAMAS_Daily!H8)</f>
        <v/>
      </c>
      <c r="J8" s="45">
        <f>IF(C8="aFRR+",DAMAS_Daily!C8,DAMAS_Daily!D8)</f>
        <v/>
      </c>
      <c r="K8" s="45">
        <f>IF(C8="aFRR+",MIN(DAMAS_Daily!C8*market_share_A*acceptance_rate*stack_activation,power_mw*hours_per_day,capacity_mwh),MIN(DAMAS_Daily!D8*market_share_A*acceptance_rate*stack_activation,power_mw*hours_per_day,capacity_mwh))</f>
        <v/>
      </c>
      <c r="L8" s="42">
        <f>IF(K8&gt;=capacity_mwh-0.01,"yes","no")</f>
        <v/>
      </c>
      <c r="M8" s="13">
        <f>IF(C8="aFRR+",(MIN(DAMAS_Daily!C8*market_share_A*acceptance_rate*stack_activation,power_mw*hours_per_day,capacity_mwh))*DAMAS_Daily!E8*activation_mult_A,(MIN(DAMAS_Daily!D8*market_share_A*acceptance_rate*stack_activation,power_mw*hours_per_day,capacity_mwh))*DAMAS_Daily!F8*activation_mult_A)</f>
        <v/>
      </c>
      <c r="N8" s="14">
        <f>F8+M8</f>
        <v/>
      </c>
    </row>
    <row r="9">
      <c r="A9" s="41">
        <f>DAMAS_Daily!A9</f>
        <v/>
      </c>
      <c r="B9" s="42">
        <f>DAMAS_Daily!B9</f>
        <v/>
      </c>
      <c r="C9" s="42">
        <f>IF((power_mw*hours_per_day*damas_afrr_up*capacity_mult_A*stack_capacity*acceptance_rate+(MIN(DAMAS_Daily!C9*market_share_A*acceptance_rate*stack_activation,power_mw*hours_per_day,capacity_mwh))*DAMAS_Daily!E9*activation_mult_A)&gt;=(power_mw*hours_per_day*damas_afrr_down*capacity_mult_A*stack_capacity*acceptance_rate+(MIN(DAMAS_Daily!D9*market_share_A*acceptance_rate*stack_activation,power_mw*hours_per_day,capacity_mwh))*DAMAS_Daily!F9*activation_mult_A),"aFRR+","aFRR-")</f>
        <v/>
      </c>
      <c r="D9" s="43">
        <f>IF(C9="aFRR+",damas_afrr_up*capacity_mult_A,damas_afrr_down*capacity_mult_A)</f>
        <v/>
      </c>
      <c r="E9" s="44">
        <f>acceptance_rate</f>
        <v/>
      </c>
      <c r="F9" s="13">
        <f>IF(C9="aFRR+",power_mw*hours_per_day*damas_afrr_up*capacity_mult_A*stack_capacity*acceptance_rate,power_mw*hours_per_day*damas_afrr_down*capacity_mult_A*stack_capacity*acceptance_rate)</f>
        <v/>
      </c>
      <c r="G9" s="42">
        <f>IF(C9="aFRR+",DAMAS_Daily!I9,DAMAS_Daily!J9)</f>
        <v/>
      </c>
      <c r="H9" s="43">
        <f>IF(C9="aFRR+",DAMAS_Daily!E9,DAMAS_Daily!F9)</f>
        <v/>
      </c>
      <c r="I9" s="43">
        <f>IF(C9="aFRR+",DAMAS_Daily!G9,DAMAS_Daily!H9)</f>
        <v/>
      </c>
      <c r="J9" s="45">
        <f>IF(C9="aFRR+",DAMAS_Daily!C9,DAMAS_Daily!D9)</f>
        <v/>
      </c>
      <c r="K9" s="45">
        <f>IF(C9="aFRR+",MIN(DAMAS_Daily!C9*market_share_A*acceptance_rate*stack_activation,power_mw*hours_per_day,capacity_mwh),MIN(DAMAS_Daily!D9*market_share_A*acceptance_rate*stack_activation,power_mw*hours_per_day,capacity_mwh))</f>
        <v/>
      </c>
      <c r="L9" s="42">
        <f>IF(K9&gt;=capacity_mwh-0.01,"yes","no")</f>
        <v/>
      </c>
      <c r="M9" s="13">
        <f>IF(C9="aFRR+",(MIN(DAMAS_Daily!C9*market_share_A*acceptance_rate*stack_activation,power_mw*hours_per_day,capacity_mwh))*DAMAS_Daily!E9*activation_mult_A,(MIN(DAMAS_Daily!D9*market_share_A*acceptance_rate*stack_activation,power_mw*hours_per_day,capacity_mwh))*DAMAS_Daily!F9*activation_mult_A)</f>
        <v/>
      </c>
      <c r="N9" s="14">
        <f>F9+M9</f>
        <v/>
      </c>
    </row>
    <row r="10">
      <c r="A10" s="41">
        <f>DAMAS_Daily!A10</f>
        <v/>
      </c>
      <c r="B10" s="42">
        <f>DAMAS_Daily!B10</f>
        <v/>
      </c>
      <c r="C10" s="42">
        <f>IF((power_mw*hours_per_day*damas_afrr_up*capacity_mult_A*stack_capacity*acceptance_rate+(MIN(DAMAS_Daily!C10*market_share_A*acceptance_rate*stack_activation,power_mw*hours_per_day,capacity_mwh))*DAMAS_Daily!E10*activation_mult_A)&gt;=(power_mw*hours_per_day*damas_afrr_down*capacity_mult_A*stack_capacity*acceptance_rate+(MIN(DAMAS_Daily!D10*market_share_A*acceptance_rate*stack_activation,power_mw*hours_per_day,capacity_mwh))*DAMAS_Daily!F10*activation_mult_A),"aFRR+","aFRR-")</f>
        <v/>
      </c>
      <c r="D10" s="43">
        <f>IF(C10="aFRR+",damas_afrr_up*capacity_mult_A,damas_afrr_down*capacity_mult_A)</f>
        <v/>
      </c>
      <c r="E10" s="44">
        <f>acceptance_rate</f>
        <v/>
      </c>
      <c r="F10" s="13">
        <f>IF(C10="aFRR+",power_mw*hours_per_day*damas_afrr_up*capacity_mult_A*stack_capacity*acceptance_rate,power_mw*hours_per_day*damas_afrr_down*capacity_mult_A*stack_capacity*acceptance_rate)</f>
        <v/>
      </c>
      <c r="G10" s="42">
        <f>IF(C10="aFRR+",DAMAS_Daily!I10,DAMAS_Daily!J10)</f>
        <v/>
      </c>
      <c r="H10" s="43">
        <f>IF(C10="aFRR+",DAMAS_Daily!E10,DAMAS_Daily!F10)</f>
        <v/>
      </c>
      <c r="I10" s="43">
        <f>IF(C10="aFRR+",DAMAS_Daily!G10,DAMAS_Daily!H10)</f>
        <v/>
      </c>
      <c r="J10" s="45">
        <f>IF(C10="aFRR+",DAMAS_Daily!C10,DAMAS_Daily!D10)</f>
        <v/>
      </c>
      <c r="K10" s="45">
        <f>IF(C10="aFRR+",MIN(DAMAS_Daily!C10*market_share_A*acceptance_rate*stack_activation,power_mw*hours_per_day,capacity_mwh),MIN(DAMAS_Daily!D10*market_share_A*acceptance_rate*stack_activation,power_mw*hours_per_day,capacity_mwh))</f>
        <v/>
      </c>
      <c r="L10" s="42">
        <f>IF(K10&gt;=capacity_mwh-0.01,"yes","no")</f>
        <v/>
      </c>
      <c r="M10" s="13">
        <f>IF(C10="aFRR+",(MIN(DAMAS_Daily!C10*market_share_A*acceptance_rate*stack_activation,power_mw*hours_per_day,capacity_mwh))*DAMAS_Daily!E10*activation_mult_A,(MIN(DAMAS_Daily!D10*market_share_A*acceptance_rate*stack_activation,power_mw*hours_per_day,capacity_mwh))*DAMAS_Daily!F10*activation_mult_A)</f>
        <v/>
      </c>
      <c r="N10" s="14">
        <f>F10+M10</f>
        <v/>
      </c>
    </row>
    <row r="11">
      <c r="A11" s="41">
        <f>DAMAS_Daily!A11</f>
        <v/>
      </c>
      <c r="B11" s="42">
        <f>DAMAS_Daily!B11</f>
        <v/>
      </c>
      <c r="C11" s="42">
        <f>IF((power_mw*hours_per_day*damas_afrr_up*capacity_mult_A*stack_capacity*acceptance_rate+(MIN(DAMAS_Daily!C11*market_share_A*acceptance_rate*stack_activation,power_mw*hours_per_day,capacity_mwh))*DAMAS_Daily!E11*activation_mult_A)&gt;=(power_mw*hours_per_day*damas_afrr_down*capacity_mult_A*stack_capacity*acceptance_rate+(MIN(DAMAS_Daily!D11*market_share_A*acceptance_rate*stack_activation,power_mw*hours_per_day,capacity_mwh))*DAMAS_Daily!F11*activation_mult_A),"aFRR+","aFRR-")</f>
        <v/>
      </c>
      <c r="D11" s="43">
        <f>IF(C11="aFRR+",damas_afrr_up*capacity_mult_A,damas_afrr_down*capacity_mult_A)</f>
        <v/>
      </c>
      <c r="E11" s="44">
        <f>acceptance_rate</f>
        <v/>
      </c>
      <c r="F11" s="13">
        <f>IF(C11="aFRR+",power_mw*hours_per_day*damas_afrr_up*capacity_mult_A*stack_capacity*acceptance_rate,power_mw*hours_per_day*damas_afrr_down*capacity_mult_A*stack_capacity*acceptance_rate)</f>
        <v/>
      </c>
      <c r="G11" s="42">
        <f>IF(C11="aFRR+",DAMAS_Daily!I11,DAMAS_Daily!J11)</f>
        <v/>
      </c>
      <c r="H11" s="43">
        <f>IF(C11="aFRR+",DAMAS_Daily!E11,DAMAS_Daily!F11)</f>
        <v/>
      </c>
      <c r="I11" s="43">
        <f>IF(C11="aFRR+",DAMAS_Daily!G11,DAMAS_Daily!H11)</f>
        <v/>
      </c>
      <c r="J11" s="45">
        <f>IF(C11="aFRR+",DAMAS_Daily!C11,DAMAS_Daily!D11)</f>
        <v/>
      </c>
      <c r="K11" s="45">
        <f>IF(C11="aFRR+",MIN(DAMAS_Daily!C11*market_share_A*acceptance_rate*stack_activation,power_mw*hours_per_day,capacity_mwh),MIN(DAMAS_Daily!D11*market_share_A*acceptance_rate*stack_activation,power_mw*hours_per_day,capacity_mwh))</f>
        <v/>
      </c>
      <c r="L11" s="42">
        <f>IF(K11&gt;=capacity_mwh-0.01,"yes","no")</f>
        <v/>
      </c>
      <c r="M11" s="13">
        <f>IF(C11="aFRR+",(MIN(DAMAS_Daily!C11*market_share_A*acceptance_rate*stack_activation,power_mw*hours_per_day,capacity_mwh))*DAMAS_Daily!E11*activation_mult_A,(MIN(DAMAS_Daily!D11*market_share_A*acceptance_rate*stack_activation,power_mw*hours_per_day,capacity_mwh))*DAMAS_Daily!F11*activation_mult_A)</f>
        <v/>
      </c>
      <c r="N11" s="14">
        <f>F11+M11</f>
        <v/>
      </c>
    </row>
    <row r="12">
      <c r="A12" s="41">
        <f>DAMAS_Daily!A12</f>
        <v/>
      </c>
      <c r="B12" s="42">
        <f>DAMAS_Daily!B12</f>
        <v/>
      </c>
      <c r="C12" s="42">
        <f>IF((power_mw*hours_per_day*damas_afrr_up*capacity_mult_A*stack_capacity*acceptance_rate+(MIN(DAMAS_Daily!C12*market_share_A*acceptance_rate*stack_activation,power_mw*hours_per_day,capacity_mwh))*DAMAS_Daily!E12*activation_mult_A)&gt;=(power_mw*hours_per_day*damas_afrr_down*capacity_mult_A*stack_capacity*acceptance_rate+(MIN(DAMAS_Daily!D12*market_share_A*acceptance_rate*stack_activation,power_mw*hours_per_day,capacity_mwh))*DAMAS_Daily!F12*activation_mult_A),"aFRR+","aFRR-")</f>
        <v/>
      </c>
      <c r="D12" s="43">
        <f>IF(C12="aFRR+",damas_afrr_up*capacity_mult_A,damas_afrr_down*capacity_mult_A)</f>
        <v/>
      </c>
      <c r="E12" s="44">
        <f>acceptance_rate</f>
        <v/>
      </c>
      <c r="F12" s="13">
        <f>IF(C12="aFRR+",power_mw*hours_per_day*damas_afrr_up*capacity_mult_A*stack_capacity*acceptance_rate,power_mw*hours_per_day*damas_afrr_down*capacity_mult_A*stack_capacity*acceptance_rate)</f>
        <v/>
      </c>
      <c r="G12" s="42">
        <f>IF(C12="aFRR+",DAMAS_Daily!I12,DAMAS_Daily!J12)</f>
        <v/>
      </c>
      <c r="H12" s="43">
        <f>IF(C12="aFRR+",DAMAS_Daily!E12,DAMAS_Daily!F12)</f>
        <v/>
      </c>
      <c r="I12" s="43">
        <f>IF(C12="aFRR+",DAMAS_Daily!G12,DAMAS_Daily!H12)</f>
        <v/>
      </c>
      <c r="J12" s="45">
        <f>IF(C12="aFRR+",DAMAS_Daily!C12,DAMAS_Daily!D12)</f>
        <v/>
      </c>
      <c r="K12" s="45">
        <f>IF(C12="aFRR+",MIN(DAMAS_Daily!C12*market_share_A*acceptance_rate*stack_activation,power_mw*hours_per_day,capacity_mwh),MIN(DAMAS_Daily!D12*market_share_A*acceptance_rate*stack_activation,power_mw*hours_per_day,capacity_mwh))</f>
        <v/>
      </c>
      <c r="L12" s="42">
        <f>IF(K12&gt;=capacity_mwh-0.01,"yes","no")</f>
        <v/>
      </c>
      <c r="M12" s="13">
        <f>IF(C12="aFRR+",(MIN(DAMAS_Daily!C12*market_share_A*acceptance_rate*stack_activation,power_mw*hours_per_day,capacity_mwh))*DAMAS_Daily!E12*activation_mult_A,(MIN(DAMAS_Daily!D12*market_share_A*acceptance_rate*stack_activation,power_mw*hours_per_day,capacity_mwh))*DAMAS_Daily!F12*activation_mult_A)</f>
        <v/>
      </c>
      <c r="N12" s="14">
        <f>F12+M12</f>
        <v/>
      </c>
    </row>
    <row r="13">
      <c r="A13" s="41">
        <f>DAMAS_Daily!A13</f>
        <v/>
      </c>
      <c r="B13" s="42">
        <f>DAMAS_Daily!B13</f>
        <v/>
      </c>
      <c r="C13" s="42">
        <f>IF((power_mw*hours_per_day*damas_afrr_up*capacity_mult_A*stack_capacity*acceptance_rate+(MIN(DAMAS_Daily!C13*market_share_A*acceptance_rate*stack_activation,power_mw*hours_per_day,capacity_mwh))*DAMAS_Daily!E13*activation_mult_A)&gt;=(power_mw*hours_per_day*damas_afrr_down*capacity_mult_A*stack_capacity*acceptance_rate+(MIN(DAMAS_Daily!D13*market_share_A*acceptance_rate*stack_activation,power_mw*hours_per_day,capacity_mwh))*DAMAS_Daily!F13*activation_mult_A),"aFRR+","aFRR-")</f>
        <v/>
      </c>
      <c r="D13" s="43">
        <f>IF(C13="aFRR+",damas_afrr_up*capacity_mult_A,damas_afrr_down*capacity_mult_A)</f>
        <v/>
      </c>
      <c r="E13" s="44">
        <f>acceptance_rate</f>
        <v/>
      </c>
      <c r="F13" s="13">
        <f>IF(C13="aFRR+",power_mw*hours_per_day*damas_afrr_up*capacity_mult_A*stack_capacity*acceptance_rate,power_mw*hours_per_day*damas_afrr_down*capacity_mult_A*stack_capacity*acceptance_rate)</f>
        <v/>
      </c>
      <c r="G13" s="42">
        <f>IF(C13="aFRR+",DAMAS_Daily!I13,DAMAS_Daily!J13)</f>
        <v/>
      </c>
      <c r="H13" s="43">
        <f>IF(C13="aFRR+",DAMAS_Daily!E13,DAMAS_Daily!F13)</f>
        <v/>
      </c>
      <c r="I13" s="43">
        <f>IF(C13="aFRR+",DAMAS_Daily!G13,DAMAS_Daily!H13)</f>
        <v/>
      </c>
      <c r="J13" s="45">
        <f>IF(C13="aFRR+",DAMAS_Daily!C13,DAMAS_Daily!D13)</f>
        <v/>
      </c>
      <c r="K13" s="45">
        <f>IF(C13="aFRR+",MIN(DAMAS_Daily!C13*market_share_A*acceptance_rate*stack_activation,power_mw*hours_per_day,capacity_mwh),MIN(DAMAS_Daily!D13*market_share_A*acceptance_rate*stack_activation,power_mw*hours_per_day,capacity_mwh))</f>
        <v/>
      </c>
      <c r="L13" s="42">
        <f>IF(K13&gt;=capacity_mwh-0.01,"yes","no")</f>
        <v/>
      </c>
      <c r="M13" s="13">
        <f>IF(C13="aFRR+",(MIN(DAMAS_Daily!C13*market_share_A*acceptance_rate*stack_activation,power_mw*hours_per_day,capacity_mwh))*DAMAS_Daily!E13*activation_mult_A,(MIN(DAMAS_Daily!D13*market_share_A*acceptance_rate*stack_activation,power_mw*hours_per_day,capacity_mwh))*DAMAS_Daily!F13*activation_mult_A)</f>
        <v/>
      </c>
      <c r="N13" s="14">
        <f>F13+M13</f>
        <v/>
      </c>
    </row>
    <row r="14">
      <c r="A14" s="41">
        <f>DAMAS_Daily!A14</f>
        <v/>
      </c>
      <c r="B14" s="42">
        <f>DAMAS_Daily!B14</f>
        <v/>
      </c>
      <c r="C14" s="42">
        <f>IF((power_mw*hours_per_day*damas_afrr_up*capacity_mult_A*stack_capacity*acceptance_rate+(MIN(DAMAS_Daily!C14*market_share_A*acceptance_rate*stack_activation,power_mw*hours_per_day,capacity_mwh))*DAMAS_Daily!E14*activation_mult_A)&gt;=(power_mw*hours_per_day*damas_afrr_down*capacity_mult_A*stack_capacity*acceptance_rate+(MIN(DAMAS_Daily!D14*market_share_A*acceptance_rate*stack_activation,power_mw*hours_per_day,capacity_mwh))*DAMAS_Daily!F14*activation_mult_A),"aFRR+","aFRR-")</f>
        <v/>
      </c>
      <c r="D14" s="43">
        <f>IF(C14="aFRR+",damas_afrr_up*capacity_mult_A,damas_afrr_down*capacity_mult_A)</f>
        <v/>
      </c>
      <c r="E14" s="44">
        <f>acceptance_rate</f>
        <v/>
      </c>
      <c r="F14" s="13">
        <f>IF(C14="aFRR+",power_mw*hours_per_day*damas_afrr_up*capacity_mult_A*stack_capacity*acceptance_rate,power_mw*hours_per_day*damas_afrr_down*capacity_mult_A*stack_capacity*acceptance_rate)</f>
        <v/>
      </c>
      <c r="G14" s="42">
        <f>IF(C14="aFRR+",DAMAS_Daily!I14,DAMAS_Daily!J14)</f>
        <v/>
      </c>
      <c r="H14" s="43">
        <f>IF(C14="aFRR+",DAMAS_Daily!E14,DAMAS_Daily!F14)</f>
        <v/>
      </c>
      <c r="I14" s="43">
        <f>IF(C14="aFRR+",DAMAS_Daily!G14,DAMAS_Daily!H14)</f>
        <v/>
      </c>
      <c r="J14" s="45">
        <f>IF(C14="aFRR+",DAMAS_Daily!C14,DAMAS_Daily!D14)</f>
        <v/>
      </c>
      <c r="K14" s="45">
        <f>IF(C14="aFRR+",MIN(DAMAS_Daily!C14*market_share_A*acceptance_rate*stack_activation,power_mw*hours_per_day,capacity_mwh),MIN(DAMAS_Daily!D14*market_share_A*acceptance_rate*stack_activation,power_mw*hours_per_day,capacity_mwh))</f>
        <v/>
      </c>
      <c r="L14" s="42">
        <f>IF(K14&gt;=capacity_mwh-0.01,"yes","no")</f>
        <v/>
      </c>
      <c r="M14" s="13">
        <f>IF(C14="aFRR+",(MIN(DAMAS_Daily!C14*market_share_A*acceptance_rate*stack_activation,power_mw*hours_per_day,capacity_mwh))*DAMAS_Daily!E14*activation_mult_A,(MIN(DAMAS_Daily!D14*market_share_A*acceptance_rate*stack_activation,power_mw*hours_per_day,capacity_mwh))*DAMAS_Daily!F14*activation_mult_A)</f>
        <v/>
      </c>
      <c r="N14" s="14">
        <f>F14+M14</f>
        <v/>
      </c>
    </row>
    <row r="15">
      <c r="A15" s="41">
        <f>DAMAS_Daily!A15</f>
        <v/>
      </c>
      <c r="B15" s="42">
        <f>DAMAS_Daily!B15</f>
        <v/>
      </c>
      <c r="C15" s="42">
        <f>IF((power_mw*hours_per_day*damas_afrr_up*capacity_mult_A*stack_capacity*acceptance_rate+(MIN(DAMAS_Daily!C15*market_share_A*acceptance_rate*stack_activation,power_mw*hours_per_day,capacity_mwh))*DAMAS_Daily!E15*activation_mult_A)&gt;=(power_mw*hours_per_day*damas_afrr_down*capacity_mult_A*stack_capacity*acceptance_rate+(MIN(DAMAS_Daily!D15*market_share_A*acceptance_rate*stack_activation,power_mw*hours_per_day,capacity_mwh))*DAMAS_Daily!F15*activation_mult_A),"aFRR+","aFRR-")</f>
        <v/>
      </c>
      <c r="D15" s="43">
        <f>IF(C15="aFRR+",damas_afrr_up*capacity_mult_A,damas_afrr_down*capacity_mult_A)</f>
        <v/>
      </c>
      <c r="E15" s="44">
        <f>acceptance_rate</f>
        <v/>
      </c>
      <c r="F15" s="13">
        <f>IF(C15="aFRR+",power_mw*hours_per_day*damas_afrr_up*capacity_mult_A*stack_capacity*acceptance_rate,power_mw*hours_per_day*damas_afrr_down*capacity_mult_A*stack_capacity*acceptance_rate)</f>
        <v/>
      </c>
      <c r="G15" s="42">
        <f>IF(C15="aFRR+",DAMAS_Daily!I15,DAMAS_Daily!J15)</f>
        <v/>
      </c>
      <c r="H15" s="43">
        <f>IF(C15="aFRR+",DAMAS_Daily!E15,DAMAS_Daily!F15)</f>
        <v/>
      </c>
      <c r="I15" s="43">
        <f>IF(C15="aFRR+",DAMAS_Daily!G15,DAMAS_Daily!H15)</f>
        <v/>
      </c>
      <c r="J15" s="45">
        <f>IF(C15="aFRR+",DAMAS_Daily!C15,DAMAS_Daily!D15)</f>
        <v/>
      </c>
      <c r="K15" s="45">
        <f>IF(C15="aFRR+",MIN(DAMAS_Daily!C15*market_share_A*acceptance_rate*stack_activation,power_mw*hours_per_day,capacity_mwh),MIN(DAMAS_Daily!D15*market_share_A*acceptance_rate*stack_activation,power_mw*hours_per_day,capacity_mwh))</f>
        <v/>
      </c>
      <c r="L15" s="42">
        <f>IF(K15&gt;=capacity_mwh-0.01,"yes","no")</f>
        <v/>
      </c>
      <c r="M15" s="13">
        <f>IF(C15="aFRR+",(MIN(DAMAS_Daily!C15*market_share_A*acceptance_rate*stack_activation,power_mw*hours_per_day,capacity_mwh))*DAMAS_Daily!E15*activation_mult_A,(MIN(DAMAS_Daily!D15*market_share_A*acceptance_rate*stack_activation,power_mw*hours_per_day,capacity_mwh))*DAMAS_Daily!F15*activation_mult_A)</f>
        <v/>
      </c>
      <c r="N15" s="14">
        <f>F15+M15</f>
        <v/>
      </c>
    </row>
    <row r="16">
      <c r="A16" s="41">
        <f>DAMAS_Daily!A16</f>
        <v/>
      </c>
      <c r="B16" s="42">
        <f>DAMAS_Daily!B16</f>
        <v/>
      </c>
      <c r="C16" s="42">
        <f>IF((power_mw*hours_per_day*damas_afrr_up*capacity_mult_A*stack_capacity*acceptance_rate+(MIN(DAMAS_Daily!C16*market_share_A*acceptance_rate*stack_activation,power_mw*hours_per_day,capacity_mwh))*DAMAS_Daily!E16*activation_mult_A)&gt;=(power_mw*hours_per_day*damas_afrr_down*capacity_mult_A*stack_capacity*acceptance_rate+(MIN(DAMAS_Daily!D16*market_share_A*acceptance_rate*stack_activation,power_mw*hours_per_day,capacity_mwh))*DAMAS_Daily!F16*activation_mult_A),"aFRR+","aFRR-")</f>
        <v/>
      </c>
      <c r="D16" s="43">
        <f>IF(C16="aFRR+",damas_afrr_up*capacity_mult_A,damas_afrr_down*capacity_mult_A)</f>
        <v/>
      </c>
      <c r="E16" s="44">
        <f>acceptance_rate</f>
        <v/>
      </c>
      <c r="F16" s="13">
        <f>IF(C16="aFRR+",power_mw*hours_per_day*damas_afrr_up*capacity_mult_A*stack_capacity*acceptance_rate,power_mw*hours_per_day*damas_afrr_down*capacity_mult_A*stack_capacity*acceptance_rate)</f>
        <v/>
      </c>
      <c r="G16" s="42">
        <f>IF(C16="aFRR+",DAMAS_Daily!I16,DAMAS_Daily!J16)</f>
        <v/>
      </c>
      <c r="H16" s="43">
        <f>IF(C16="aFRR+",DAMAS_Daily!E16,DAMAS_Daily!F16)</f>
        <v/>
      </c>
      <c r="I16" s="43">
        <f>IF(C16="aFRR+",DAMAS_Daily!G16,DAMAS_Daily!H16)</f>
        <v/>
      </c>
      <c r="J16" s="45">
        <f>IF(C16="aFRR+",DAMAS_Daily!C16,DAMAS_Daily!D16)</f>
        <v/>
      </c>
      <c r="K16" s="45">
        <f>IF(C16="aFRR+",MIN(DAMAS_Daily!C16*market_share_A*acceptance_rate*stack_activation,power_mw*hours_per_day,capacity_mwh),MIN(DAMAS_Daily!D16*market_share_A*acceptance_rate*stack_activation,power_mw*hours_per_day,capacity_mwh))</f>
        <v/>
      </c>
      <c r="L16" s="42">
        <f>IF(K16&gt;=capacity_mwh-0.01,"yes","no")</f>
        <v/>
      </c>
      <c r="M16" s="13">
        <f>IF(C16="aFRR+",(MIN(DAMAS_Daily!C16*market_share_A*acceptance_rate*stack_activation,power_mw*hours_per_day,capacity_mwh))*DAMAS_Daily!E16*activation_mult_A,(MIN(DAMAS_Daily!D16*market_share_A*acceptance_rate*stack_activation,power_mw*hours_per_day,capacity_mwh))*DAMAS_Daily!F16*activation_mult_A)</f>
        <v/>
      </c>
      <c r="N16" s="14">
        <f>F16+M16</f>
        <v/>
      </c>
    </row>
    <row r="17">
      <c r="A17" s="41">
        <f>DAMAS_Daily!A17</f>
        <v/>
      </c>
      <c r="B17" s="42">
        <f>DAMAS_Daily!B17</f>
        <v/>
      </c>
      <c r="C17" s="42">
        <f>IF((power_mw*hours_per_day*damas_afrr_up*capacity_mult_A*stack_capacity*acceptance_rate+(MIN(DAMAS_Daily!C17*market_share_A*acceptance_rate*stack_activation,power_mw*hours_per_day,capacity_mwh))*DAMAS_Daily!E17*activation_mult_A)&gt;=(power_mw*hours_per_day*damas_afrr_down*capacity_mult_A*stack_capacity*acceptance_rate+(MIN(DAMAS_Daily!D17*market_share_A*acceptance_rate*stack_activation,power_mw*hours_per_day,capacity_mwh))*DAMAS_Daily!F17*activation_mult_A),"aFRR+","aFRR-")</f>
        <v/>
      </c>
      <c r="D17" s="43">
        <f>IF(C17="aFRR+",damas_afrr_up*capacity_mult_A,damas_afrr_down*capacity_mult_A)</f>
        <v/>
      </c>
      <c r="E17" s="44">
        <f>acceptance_rate</f>
        <v/>
      </c>
      <c r="F17" s="13">
        <f>IF(C17="aFRR+",power_mw*hours_per_day*damas_afrr_up*capacity_mult_A*stack_capacity*acceptance_rate,power_mw*hours_per_day*damas_afrr_down*capacity_mult_A*stack_capacity*acceptance_rate)</f>
        <v/>
      </c>
      <c r="G17" s="42">
        <f>IF(C17="aFRR+",DAMAS_Daily!I17,DAMAS_Daily!J17)</f>
        <v/>
      </c>
      <c r="H17" s="43">
        <f>IF(C17="aFRR+",DAMAS_Daily!E17,DAMAS_Daily!F17)</f>
        <v/>
      </c>
      <c r="I17" s="43">
        <f>IF(C17="aFRR+",DAMAS_Daily!G17,DAMAS_Daily!H17)</f>
        <v/>
      </c>
      <c r="J17" s="45">
        <f>IF(C17="aFRR+",DAMAS_Daily!C17,DAMAS_Daily!D17)</f>
        <v/>
      </c>
      <c r="K17" s="45">
        <f>IF(C17="aFRR+",MIN(DAMAS_Daily!C17*market_share_A*acceptance_rate*stack_activation,power_mw*hours_per_day,capacity_mwh),MIN(DAMAS_Daily!D17*market_share_A*acceptance_rate*stack_activation,power_mw*hours_per_day,capacity_mwh))</f>
        <v/>
      </c>
      <c r="L17" s="42">
        <f>IF(K17&gt;=capacity_mwh-0.01,"yes","no")</f>
        <v/>
      </c>
      <c r="M17" s="13">
        <f>IF(C17="aFRR+",(MIN(DAMAS_Daily!C17*market_share_A*acceptance_rate*stack_activation,power_mw*hours_per_day,capacity_mwh))*DAMAS_Daily!E17*activation_mult_A,(MIN(DAMAS_Daily!D17*market_share_A*acceptance_rate*stack_activation,power_mw*hours_per_day,capacity_mwh))*DAMAS_Daily!F17*activation_mult_A)</f>
        <v/>
      </c>
      <c r="N17" s="14">
        <f>F17+M17</f>
        <v/>
      </c>
    </row>
    <row r="18">
      <c r="A18" s="41">
        <f>DAMAS_Daily!A18</f>
        <v/>
      </c>
      <c r="B18" s="42">
        <f>DAMAS_Daily!B18</f>
        <v/>
      </c>
      <c r="C18" s="42">
        <f>IF((power_mw*hours_per_day*damas_afrr_up*capacity_mult_A*stack_capacity*acceptance_rate+(MIN(DAMAS_Daily!C18*market_share_A*acceptance_rate*stack_activation,power_mw*hours_per_day,capacity_mwh))*DAMAS_Daily!E18*activation_mult_A)&gt;=(power_mw*hours_per_day*damas_afrr_down*capacity_mult_A*stack_capacity*acceptance_rate+(MIN(DAMAS_Daily!D18*market_share_A*acceptance_rate*stack_activation,power_mw*hours_per_day,capacity_mwh))*DAMAS_Daily!F18*activation_mult_A),"aFRR+","aFRR-")</f>
        <v/>
      </c>
      <c r="D18" s="43">
        <f>IF(C18="aFRR+",damas_afrr_up*capacity_mult_A,damas_afrr_down*capacity_mult_A)</f>
        <v/>
      </c>
      <c r="E18" s="44">
        <f>acceptance_rate</f>
        <v/>
      </c>
      <c r="F18" s="13">
        <f>IF(C18="aFRR+",power_mw*hours_per_day*damas_afrr_up*capacity_mult_A*stack_capacity*acceptance_rate,power_mw*hours_per_day*damas_afrr_down*capacity_mult_A*stack_capacity*acceptance_rate)</f>
        <v/>
      </c>
      <c r="G18" s="42">
        <f>IF(C18="aFRR+",DAMAS_Daily!I18,DAMAS_Daily!J18)</f>
        <v/>
      </c>
      <c r="H18" s="43">
        <f>IF(C18="aFRR+",DAMAS_Daily!E18,DAMAS_Daily!F18)</f>
        <v/>
      </c>
      <c r="I18" s="43">
        <f>IF(C18="aFRR+",DAMAS_Daily!G18,DAMAS_Daily!H18)</f>
        <v/>
      </c>
      <c r="J18" s="45">
        <f>IF(C18="aFRR+",DAMAS_Daily!C18,DAMAS_Daily!D18)</f>
        <v/>
      </c>
      <c r="K18" s="45">
        <f>IF(C18="aFRR+",MIN(DAMAS_Daily!C18*market_share_A*acceptance_rate*stack_activation,power_mw*hours_per_day,capacity_mwh),MIN(DAMAS_Daily!D18*market_share_A*acceptance_rate*stack_activation,power_mw*hours_per_day,capacity_mwh))</f>
        <v/>
      </c>
      <c r="L18" s="42">
        <f>IF(K18&gt;=capacity_mwh-0.01,"yes","no")</f>
        <v/>
      </c>
      <c r="M18" s="13">
        <f>IF(C18="aFRR+",(MIN(DAMAS_Daily!C18*market_share_A*acceptance_rate*stack_activation,power_mw*hours_per_day,capacity_mwh))*DAMAS_Daily!E18*activation_mult_A,(MIN(DAMAS_Daily!D18*market_share_A*acceptance_rate*stack_activation,power_mw*hours_per_day,capacity_mwh))*DAMAS_Daily!F18*activation_mult_A)</f>
        <v/>
      </c>
      <c r="N18" s="14">
        <f>F18+M18</f>
        <v/>
      </c>
    </row>
    <row r="19">
      <c r="A19" s="41">
        <f>DAMAS_Daily!A19</f>
        <v/>
      </c>
      <c r="B19" s="42">
        <f>DAMAS_Daily!B19</f>
        <v/>
      </c>
      <c r="C19" s="42">
        <f>IF((power_mw*hours_per_day*damas_afrr_up*capacity_mult_A*stack_capacity*acceptance_rate+(MIN(DAMAS_Daily!C19*market_share_A*acceptance_rate*stack_activation,power_mw*hours_per_day,capacity_mwh))*DAMAS_Daily!E19*activation_mult_A)&gt;=(power_mw*hours_per_day*damas_afrr_down*capacity_mult_A*stack_capacity*acceptance_rate+(MIN(DAMAS_Daily!D19*market_share_A*acceptance_rate*stack_activation,power_mw*hours_per_day,capacity_mwh))*DAMAS_Daily!F19*activation_mult_A),"aFRR+","aFRR-")</f>
        <v/>
      </c>
      <c r="D19" s="43">
        <f>IF(C19="aFRR+",damas_afrr_up*capacity_mult_A,damas_afrr_down*capacity_mult_A)</f>
        <v/>
      </c>
      <c r="E19" s="44">
        <f>acceptance_rate</f>
        <v/>
      </c>
      <c r="F19" s="13">
        <f>IF(C19="aFRR+",power_mw*hours_per_day*damas_afrr_up*capacity_mult_A*stack_capacity*acceptance_rate,power_mw*hours_per_day*damas_afrr_down*capacity_mult_A*stack_capacity*acceptance_rate)</f>
        <v/>
      </c>
      <c r="G19" s="42">
        <f>IF(C19="aFRR+",DAMAS_Daily!I19,DAMAS_Daily!J19)</f>
        <v/>
      </c>
      <c r="H19" s="43">
        <f>IF(C19="aFRR+",DAMAS_Daily!E19,DAMAS_Daily!F19)</f>
        <v/>
      </c>
      <c r="I19" s="43">
        <f>IF(C19="aFRR+",DAMAS_Daily!G19,DAMAS_Daily!H19)</f>
        <v/>
      </c>
      <c r="J19" s="45">
        <f>IF(C19="aFRR+",DAMAS_Daily!C19,DAMAS_Daily!D19)</f>
        <v/>
      </c>
      <c r="K19" s="45">
        <f>IF(C19="aFRR+",MIN(DAMAS_Daily!C19*market_share_A*acceptance_rate*stack_activation,power_mw*hours_per_day,capacity_mwh),MIN(DAMAS_Daily!D19*market_share_A*acceptance_rate*stack_activation,power_mw*hours_per_day,capacity_mwh))</f>
        <v/>
      </c>
      <c r="L19" s="42">
        <f>IF(K19&gt;=capacity_mwh-0.01,"yes","no")</f>
        <v/>
      </c>
      <c r="M19" s="13">
        <f>IF(C19="aFRR+",(MIN(DAMAS_Daily!C19*market_share_A*acceptance_rate*stack_activation,power_mw*hours_per_day,capacity_mwh))*DAMAS_Daily!E19*activation_mult_A,(MIN(DAMAS_Daily!D19*market_share_A*acceptance_rate*stack_activation,power_mw*hours_per_day,capacity_mwh))*DAMAS_Daily!F19*activation_mult_A)</f>
        <v/>
      </c>
      <c r="N19" s="14">
        <f>F19+M19</f>
        <v/>
      </c>
    </row>
    <row r="20">
      <c r="A20" s="41">
        <f>DAMAS_Daily!A20</f>
        <v/>
      </c>
      <c r="B20" s="42">
        <f>DAMAS_Daily!B20</f>
        <v/>
      </c>
      <c r="C20" s="42">
        <f>IF((power_mw*hours_per_day*damas_afrr_up*capacity_mult_A*stack_capacity*acceptance_rate+(MIN(DAMAS_Daily!C20*market_share_A*acceptance_rate*stack_activation,power_mw*hours_per_day,capacity_mwh))*DAMAS_Daily!E20*activation_mult_A)&gt;=(power_mw*hours_per_day*damas_afrr_down*capacity_mult_A*stack_capacity*acceptance_rate+(MIN(DAMAS_Daily!D20*market_share_A*acceptance_rate*stack_activation,power_mw*hours_per_day,capacity_mwh))*DAMAS_Daily!F20*activation_mult_A),"aFRR+","aFRR-")</f>
        <v/>
      </c>
      <c r="D20" s="43">
        <f>IF(C20="aFRR+",damas_afrr_up*capacity_mult_A,damas_afrr_down*capacity_mult_A)</f>
        <v/>
      </c>
      <c r="E20" s="44">
        <f>acceptance_rate</f>
        <v/>
      </c>
      <c r="F20" s="13">
        <f>IF(C20="aFRR+",power_mw*hours_per_day*damas_afrr_up*capacity_mult_A*stack_capacity*acceptance_rate,power_mw*hours_per_day*damas_afrr_down*capacity_mult_A*stack_capacity*acceptance_rate)</f>
        <v/>
      </c>
      <c r="G20" s="42">
        <f>IF(C20="aFRR+",DAMAS_Daily!I20,DAMAS_Daily!J20)</f>
        <v/>
      </c>
      <c r="H20" s="43">
        <f>IF(C20="aFRR+",DAMAS_Daily!E20,DAMAS_Daily!F20)</f>
        <v/>
      </c>
      <c r="I20" s="43">
        <f>IF(C20="aFRR+",DAMAS_Daily!G20,DAMAS_Daily!H20)</f>
        <v/>
      </c>
      <c r="J20" s="45">
        <f>IF(C20="aFRR+",DAMAS_Daily!C20,DAMAS_Daily!D20)</f>
        <v/>
      </c>
      <c r="K20" s="45">
        <f>IF(C20="aFRR+",MIN(DAMAS_Daily!C20*market_share_A*acceptance_rate*stack_activation,power_mw*hours_per_day,capacity_mwh),MIN(DAMAS_Daily!D20*market_share_A*acceptance_rate*stack_activation,power_mw*hours_per_day,capacity_mwh))</f>
        <v/>
      </c>
      <c r="L20" s="42">
        <f>IF(K20&gt;=capacity_mwh-0.01,"yes","no")</f>
        <v/>
      </c>
      <c r="M20" s="13">
        <f>IF(C20="aFRR+",(MIN(DAMAS_Daily!C20*market_share_A*acceptance_rate*stack_activation,power_mw*hours_per_day,capacity_mwh))*DAMAS_Daily!E20*activation_mult_A,(MIN(DAMAS_Daily!D20*market_share_A*acceptance_rate*stack_activation,power_mw*hours_per_day,capacity_mwh))*DAMAS_Daily!F20*activation_mult_A)</f>
        <v/>
      </c>
      <c r="N20" s="14">
        <f>F20+M20</f>
        <v/>
      </c>
    </row>
    <row r="21">
      <c r="A21" s="41">
        <f>DAMAS_Daily!A21</f>
        <v/>
      </c>
      <c r="B21" s="42">
        <f>DAMAS_Daily!B21</f>
        <v/>
      </c>
      <c r="C21" s="42">
        <f>IF((power_mw*hours_per_day*damas_afrr_up*capacity_mult_A*stack_capacity*acceptance_rate+(MIN(DAMAS_Daily!C21*market_share_A*acceptance_rate*stack_activation,power_mw*hours_per_day,capacity_mwh))*DAMAS_Daily!E21*activation_mult_A)&gt;=(power_mw*hours_per_day*damas_afrr_down*capacity_mult_A*stack_capacity*acceptance_rate+(MIN(DAMAS_Daily!D21*market_share_A*acceptance_rate*stack_activation,power_mw*hours_per_day,capacity_mwh))*DAMAS_Daily!F21*activation_mult_A),"aFRR+","aFRR-")</f>
        <v/>
      </c>
      <c r="D21" s="43">
        <f>IF(C21="aFRR+",damas_afrr_up*capacity_mult_A,damas_afrr_down*capacity_mult_A)</f>
        <v/>
      </c>
      <c r="E21" s="44">
        <f>acceptance_rate</f>
        <v/>
      </c>
      <c r="F21" s="13">
        <f>IF(C21="aFRR+",power_mw*hours_per_day*damas_afrr_up*capacity_mult_A*stack_capacity*acceptance_rate,power_mw*hours_per_day*damas_afrr_down*capacity_mult_A*stack_capacity*acceptance_rate)</f>
        <v/>
      </c>
      <c r="G21" s="42">
        <f>IF(C21="aFRR+",DAMAS_Daily!I21,DAMAS_Daily!J21)</f>
        <v/>
      </c>
      <c r="H21" s="43">
        <f>IF(C21="aFRR+",DAMAS_Daily!E21,DAMAS_Daily!F21)</f>
        <v/>
      </c>
      <c r="I21" s="43">
        <f>IF(C21="aFRR+",DAMAS_Daily!G21,DAMAS_Daily!H21)</f>
        <v/>
      </c>
      <c r="J21" s="45">
        <f>IF(C21="aFRR+",DAMAS_Daily!C21,DAMAS_Daily!D21)</f>
        <v/>
      </c>
      <c r="K21" s="45">
        <f>IF(C21="aFRR+",MIN(DAMAS_Daily!C21*market_share_A*acceptance_rate*stack_activation,power_mw*hours_per_day,capacity_mwh),MIN(DAMAS_Daily!D21*market_share_A*acceptance_rate*stack_activation,power_mw*hours_per_day,capacity_mwh))</f>
        <v/>
      </c>
      <c r="L21" s="42">
        <f>IF(K21&gt;=capacity_mwh-0.01,"yes","no")</f>
        <v/>
      </c>
      <c r="M21" s="13">
        <f>IF(C21="aFRR+",(MIN(DAMAS_Daily!C21*market_share_A*acceptance_rate*stack_activation,power_mw*hours_per_day,capacity_mwh))*DAMAS_Daily!E21*activation_mult_A,(MIN(DAMAS_Daily!D21*market_share_A*acceptance_rate*stack_activation,power_mw*hours_per_day,capacity_mwh))*DAMAS_Daily!F21*activation_mult_A)</f>
        <v/>
      </c>
      <c r="N21" s="14">
        <f>F21+M21</f>
        <v/>
      </c>
    </row>
    <row r="22">
      <c r="A22" s="41">
        <f>DAMAS_Daily!A22</f>
        <v/>
      </c>
      <c r="B22" s="42">
        <f>DAMAS_Daily!B22</f>
        <v/>
      </c>
      <c r="C22" s="42">
        <f>IF((power_mw*hours_per_day*damas_afrr_up*capacity_mult_A*stack_capacity*acceptance_rate+(MIN(DAMAS_Daily!C22*market_share_A*acceptance_rate*stack_activation,power_mw*hours_per_day,capacity_mwh))*DAMAS_Daily!E22*activation_mult_A)&gt;=(power_mw*hours_per_day*damas_afrr_down*capacity_mult_A*stack_capacity*acceptance_rate+(MIN(DAMAS_Daily!D22*market_share_A*acceptance_rate*stack_activation,power_mw*hours_per_day,capacity_mwh))*DAMAS_Daily!F22*activation_mult_A),"aFRR+","aFRR-")</f>
        <v/>
      </c>
      <c r="D22" s="43">
        <f>IF(C22="aFRR+",damas_afrr_up*capacity_mult_A,damas_afrr_down*capacity_mult_A)</f>
        <v/>
      </c>
      <c r="E22" s="44">
        <f>acceptance_rate</f>
        <v/>
      </c>
      <c r="F22" s="13">
        <f>IF(C22="aFRR+",power_mw*hours_per_day*damas_afrr_up*capacity_mult_A*stack_capacity*acceptance_rate,power_mw*hours_per_day*damas_afrr_down*capacity_mult_A*stack_capacity*acceptance_rate)</f>
        <v/>
      </c>
      <c r="G22" s="42">
        <f>IF(C22="aFRR+",DAMAS_Daily!I22,DAMAS_Daily!J22)</f>
        <v/>
      </c>
      <c r="H22" s="43">
        <f>IF(C22="aFRR+",DAMAS_Daily!E22,DAMAS_Daily!F22)</f>
        <v/>
      </c>
      <c r="I22" s="43">
        <f>IF(C22="aFRR+",DAMAS_Daily!G22,DAMAS_Daily!H22)</f>
        <v/>
      </c>
      <c r="J22" s="45">
        <f>IF(C22="aFRR+",DAMAS_Daily!C22,DAMAS_Daily!D22)</f>
        <v/>
      </c>
      <c r="K22" s="45">
        <f>IF(C22="aFRR+",MIN(DAMAS_Daily!C22*market_share_A*acceptance_rate*stack_activation,power_mw*hours_per_day,capacity_mwh),MIN(DAMAS_Daily!D22*market_share_A*acceptance_rate*stack_activation,power_mw*hours_per_day,capacity_mwh))</f>
        <v/>
      </c>
      <c r="L22" s="42">
        <f>IF(K22&gt;=capacity_mwh-0.01,"yes","no")</f>
        <v/>
      </c>
      <c r="M22" s="13">
        <f>IF(C22="aFRR+",(MIN(DAMAS_Daily!C22*market_share_A*acceptance_rate*stack_activation,power_mw*hours_per_day,capacity_mwh))*DAMAS_Daily!E22*activation_mult_A,(MIN(DAMAS_Daily!D22*market_share_A*acceptance_rate*stack_activation,power_mw*hours_per_day,capacity_mwh))*DAMAS_Daily!F22*activation_mult_A)</f>
        <v/>
      </c>
      <c r="N22" s="14">
        <f>F22+M22</f>
        <v/>
      </c>
    </row>
    <row r="23">
      <c r="A23" s="41">
        <f>DAMAS_Daily!A23</f>
        <v/>
      </c>
      <c r="B23" s="42">
        <f>DAMAS_Daily!B23</f>
        <v/>
      </c>
      <c r="C23" s="42">
        <f>IF((power_mw*hours_per_day*damas_afrr_up*capacity_mult_A*stack_capacity*acceptance_rate+(MIN(DAMAS_Daily!C23*market_share_A*acceptance_rate*stack_activation,power_mw*hours_per_day,capacity_mwh))*DAMAS_Daily!E23*activation_mult_A)&gt;=(power_mw*hours_per_day*damas_afrr_down*capacity_mult_A*stack_capacity*acceptance_rate+(MIN(DAMAS_Daily!D23*market_share_A*acceptance_rate*stack_activation,power_mw*hours_per_day,capacity_mwh))*DAMAS_Daily!F23*activation_mult_A),"aFRR+","aFRR-")</f>
        <v/>
      </c>
      <c r="D23" s="43">
        <f>IF(C23="aFRR+",damas_afrr_up*capacity_mult_A,damas_afrr_down*capacity_mult_A)</f>
        <v/>
      </c>
      <c r="E23" s="44">
        <f>acceptance_rate</f>
        <v/>
      </c>
      <c r="F23" s="13">
        <f>IF(C23="aFRR+",power_mw*hours_per_day*damas_afrr_up*capacity_mult_A*stack_capacity*acceptance_rate,power_mw*hours_per_day*damas_afrr_down*capacity_mult_A*stack_capacity*acceptance_rate)</f>
        <v/>
      </c>
      <c r="G23" s="42">
        <f>IF(C23="aFRR+",DAMAS_Daily!I23,DAMAS_Daily!J23)</f>
        <v/>
      </c>
      <c r="H23" s="43">
        <f>IF(C23="aFRR+",DAMAS_Daily!E23,DAMAS_Daily!F23)</f>
        <v/>
      </c>
      <c r="I23" s="43">
        <f>IF(C23="aFRR+",DAMAS_Daily!G23,DAMAS_Daily!H23)</f>
        <v/>
      </c>
      <c r="J23" s="45">
        <f>IF(C23="aFRR+",DAMAS_Daily!C23,DAMAS_Daily!D23)</f>
        <v/>
      </c>
      <c r="K23" s="45">
        <f>IF(C23="aFRR+",MIN(DAMAS_Daily!C23*market_share_A*acceptance_rate*stack_activation,power_mw*hours_per_day,capacity_mwh),MIN(DAMAS_Daily!D23*market_share_A*acceptance_rate*stack_activation,power_mw*hours_per_day,capacity_mwh))</f>
        <v/>
      </c>
      <c r="L23" s="42">
        <f>IF(K23&gt;=capacity_mwh-0.01,"yes","no")</f>
        <v/>
      </c>
      <c r="M23" s="13">
        <f>IF(C23="aFRR+",(MIN(DAMAS_Daily!C23*market_share_A*acceptance_rate*stack_activation,power_mw*hours_per_day,capacity_mwh))*DAMAS_Daily!E23*activation_mult_A,(MIN(DAMAS_Daily!D23*market_share_A*acceptance_rate*stack_activation,power_mw*hours_per_day,capacity_mwh))*DAMAS_Daily!F23*activation_mult_A)</f>
        <v/>
      </c>
      <c r="N23" s="14">
        <f>F23+M23</f>
        <v/>
      </c>
    </row>
    <row r="24">
      <c r="A24" s="41">
        <f>DAMAS_Daily!A24</f>
        <v/>
      </c>
      <c r="B24" s="42">
        <f>DAMAS_Daily!B24</f>
        <v/>
      </c>
      <c r="C24" s="42">
        <f>IF((power_mw*hours_per_day*damas_afrr_up*capacity_mult_A*stack_capacity*acceptance_rate+(MIN(DAMAS_Daily!C24*market_share_A*acceptance_rate*stack_activation,power_mw*hours_per_day,capacity_mwh))*DAMAS_Daily!E24*activation_mult_A)&gt;=(power_mw*hours_per_day*damas_afrr_down*capacity_mult_A*stack_capacity*acceptance_rate+(MIN(DAMAS_Daily!D24*market_share_A*acceptance_rate*stack_activation,power_mw*hours_per_day,capacity_mwh))*DAMAS_Daily!F24*activation_mult_A),"aFRR+","aFRR-")</f>
        <v/>
      </c>
      <c r="D24" s="43">
        <f>IF(C24="aFRR+",damas_afrr_up*capacity_mult_A,damas_afrr_down*capacity_mult_A)</f>
        <v/>
      </c>
      <c r="E24" s="44">
        <f>acceptance_rate</f>
        <v/>
      </c>
      <c r="F24" s="13">
        <f>IF(C24="aFRR+",power_mw*hours_per_day*damas_afrr_up*capacity_mult_A*stack_capacity*acceptance_rate,power_mw*hours_per_day*damas_afrr_down*capacity_mult_A*stack_capacity*acceptance_rate)</f>
        <v/>
      </c>
      <c r="G24" s="42">
        <f>IF(C24="aFRR+",DAMAS_Daily!I24,DAMAS_Daily!J24)</f>
        <v/>
      </c>
      <c r="H24" s="43">
        <f>IF(C24="aFRR+",DAMAS_Daily!E24,DAMAS_Daily!F24)</f>
        <v/>
      </c>
      <c r="I24" s="43">
        <f>IF(C24="aFRR+",DAMAS_Daily!G24,DAMAS_Daily!H24)</f>
        <v/>
      </c>
      <c r="J24" s="45">
        <f>IF(C24="aFRR+",DAMAS_Daily!C24,DAMAS_Daily!D24)</f>
        <v/>
      </c>
      <c r="K24" s="45">
        <f>IF(C24="aFRR+",MIN(DAMAS_Daily!C24*market_share_A*acceptance_rate*stack_activation,power_mw*hours_per_day,capacity_mwh),MIN(DAMAS_Daily!D24*market_share_A*acceptance_rate*stack_activation,power_mw*hours_per_day,capacity_mwh))</f>
        <v/>
      </c>
      <c r="L24" s="42">
        <f>IF(K24&gt;=capacity_mwh-0.01,"yes","no")</f>
        <v/>
      </c>
      <c r="M24" s="13">
        <f>IF(C24="aFRR+",(MIN(DAMAS_Daily!C24*market_share_A*acceptance_rate*stack_activation,power_mw*hours_per_day,capacity_mwh))*DAMAS_Daily!E24*activation_mult_A,(MIN(DAMAS_Daily!D24*market_share_A*acceptance_rate*stack_activation,power_mw*hours_per_day,capacity_mwh))*DAMAS_Daily!F24*activation_mult_A)</f>
        <v/>
      </c>
      <c r="N24" s="14">
        <f>F24+M24</f>
        <v/>
      </c>
    </row>
    <row r="25">
      <c r="A25" s="41">
        <f>DAMAS_Daily!A25</f>
        <v/>
      </c>
      <c r="B25" s="42">
        <f>DAMAS_Daily!B25</f>
        <v/>
      </c>
      <c r="C25" s="42">
        <f>IF((power_mw*hours_per_day*damas_afrr_up*capacity_mult_A*stack_capacity*acceptance_rate+(MIN(DAMAS_Daily!C25*market_share_A*acceptance_rate*stack_activation,power_mw*hours_per_day,capacity_mwh))*DAMAS_Daily!E25*activation_mult_A)&gt;=(power_mw*hours_per_day*damas_afrr_down*capacity_mult_A*stack_capacity*acceptance_rate+(MIN(DAMAS_Daily!D25*market_share_A*acceptance_rate*stack_activation,power_mw*hours_per_day,capacity_mwh))*DAMAS_Daily!F25*activation_mult_A),"aFRR+","aFRR-")</f>
        <v/>
      </c>
      <c r="D25" s="43">
        <f>IF(C25="aFRR+",damas_afrr_up*capacity_mult_A,damas_afrr_down*capacity_mult_A)</f>
        <v/>
      </c>
      <c r="E25" s="44">
        <f>acceptance_rate</f>
        <v/>
      </c>
      <c r="F25" s="13">
        <f>IF(C25="aFRR+",power_mw*hours_per_day*damas_afrr_up*capacity_mult_A*stack_capacity*acceptance_rate,power_mw*hours_per_day*damas_afrr_down*capacity_mult_A*stack_capacity*acceptance_rate)</f>
        <v/>
      </c>
      <c r="G25" s="42">
        <f>IF(C25="aFRR+",DAMAS_Daily!I25,DAMAS_Daily!J25)</f>
        <v/>
      </c>
      <c r="H25" s="43">
        <f>IF(C25="aFRR+",DAMAS_Daily!E25,DAMAS_Daily!F25)</f>
        <v/>
      </c>
      <c r="I25" s="43">
        <f>IF(C25="aFRR+",DAMAS_Daily!G25,DAMAS_Daily!H25)</f>
        <v/>
      </c>
      <c r="J25" s="45">
        <f>IF(C25="aFRR+",DAMAS_Daily!C25,DAMAS_Daily!D25)</f>
        <v/>
      </c>
      <c r="K25" s="45">
        <f>IF(C25="aFRR+",MIN(DAMAS_Daily!C25*market_share_A*acceptance_rate*stack_activation,power_mw*hours_per_day,capacity_mwh),MIN(DAMAS_Daily!D25*market_share_A*acceptance_rate*stack_activation,power_mw*hours_per_day,capacity_mwh))</f>
        <v/>
      </c>
      <c r="L25" s="42">
        <f>IF(K25&gt;=capacity_mwh-0.01,"yes","no")</f>
        <v/>
      </c>
      <c r="M25" s="13">
        <f>IF(C25="aFRR+",(MIN(DAMAS_Daily!C25*market_share_A*acceptance_rate*stack_activation,power_mw*hours_per_day,capacity_mwh))*DAMAS_Daily!E25*activation_mult_A,(MIN(DAMAS_Daily!D25*market_share_A*acceptance_rate*stack_activation,power_mw*hours_per_day,capacity_mwh))*DAMAS_Daily!F25*activation_mult_A)</f>
        <v/>
      </c>
      <c r="N25" s="14">
        <f>F25+M25</f>
        <v/>
      </c>
    </row>
    <row r="26">
      <c r="A26" s="41">
        <f>DAMAS_Daily!A26</f>
        <v/>
      </c>
      <c r="B26" s="42">
        <f>DAMAS_Daily!B26</f>
        <v/>
      </c>
      <c r="C26" s="42">
        <f>IF((power_mw*hours_per_day*damas_afrr_up*capacity_mult_A*stack_capacity*acceptance_rate+(MIN(DAMAS_Daily!C26*market_share_A*acceptance_rate*stack_activation,power_mw*hours_per_day,capacity_mwh))*DAMAS_Daily!E26*activation_mult_A)&gt;=(power_mw*hours_per_day*damas_afrr_down*capacity_mult_A*stack_capacity*acceptance_rate+(MIN(DAMAS_Daily!D26*market_share_A*acceptance_rate*stack_activation,power_mw*hours_per_day,capacity_mwh))*DAMAS_Daily!F26*activation_mult_A),"aFRR+","aFRR-")</f>
        <v/>
      </c>
      <c r="D26" s="43">
        <f>IF(C26="aFRR+",damas_afrr_up*capacity_mult_A,damas_afrr_down*capacity_mult_A)</f>
        <v/>
      </c>
      <c r="E26" s="44">
        <f>acceptance_rate</f>
        <v/>
      </c>
      <c r="F26" s="13">
        <f>IF(C26="aFRR+",power_mw*hours_per_day*damas_afrr_up*capacity_mult_A*stack_capacity*acceptance_rate,power_mw*hours_per_day*damas_afrr_down*capacity_mult_A*stack_capacity*acceptance_rate)</f>
        <v/>
      </c>
      <c r="G26" s="42">
        <f>IF(C26="aFRR+",DAMAS_Daily!I26,DAMAS_Daily!J26)</f>
        <v/>
      </c>
      <c r="H26" s="43">
        <f>IF(C26="aFRR+",DAMAS_Daily!E26,DAMAS_Daily!F26)</f>
        <v/>
      </c>
      <c r="I26" s="43">
        <f>IF(C26="aFRR+",DAMAS_Daily!G26,DAMAS_Daily!H26)</f>
        <v/>
      </c>
      <c r="J26" s="45">
        <f>IF(C26="aFRR+",DAMAS_Daily!C26,DAMAS_Daily!D26)</f>
        <v/>
      </c>
      <c r="K26" s="45">
        <f>IF(C26="aFRR+",MIN(DAMAS_Daily!C26*market_share_A*acceptance_rate*stack_activation,power_mw*hours_per_day,capacity_mwh),MIN(DAMAS_Daily!D26*market_share_A*acceptance_rate*stack_activation,power_mw*hours_per_day,capacity_mwh))</f>
        <v/>
      </c>
      <c r="L26" s="42">
        <f>IF(K26&gt;=capacity_mwh-0.01,"yes","no")</f>
        <v/>
      </c>
      <c r="M26" s="13">
        <f>IF(C26="aFRR+",(MIN(DAMAS_Daily!C26*market_share_A*acceptance_rate*stack_activation,power_mw*hours_per_day,capacity_mwh))*DAMAS_Daily!E26*activation_mult_A,(MIN(DAMAS_Daily!D26*market_share_A*acceptance_rate*stack_activation,power_mw*hours_per_day,capacity_mwh))*DAMAS_Daily!F26*activation_mult_A)</f>
        <v/>
      </c>
      <c r="N26" s="14">
        <f>F26+M26</f>
        <v/>
      </c>
    </row>
    <row r="27">
      <c r="A27" s="41">
        <f>DAMAS_Daily!A27</f>
        <v/>
      </c>
      <c r="B27" s="42">
        <f>DAMAS_Daily!B27</f>
        <v/>
      </c>
      <c r="C27" s="42">
        <f>IF((power_mw*hours_per_day*damas_afrr_up*capacity_mult_A*stack_capacity*acceptance_rate+(MIN(DAMAS_Daily!C27*market_share_A*acceptance_rate*stack_activation,power_mw*hours_per_day,capacity_mwh))*DAMAS_Daily!E27*activation_mult_A)&gt;=(power_mw*hours_per_day*damas_afrr_down*capacity_mult_A*stack_capacity*acceptance_rate+(MIN(DAMAS_Daily!D27*market_share_A*acceptance_rate*stack_activation,power_mw*hours_per_day,capacity_mwh))*DAMAS_Daily!F27*activation_mult_A),"aFRR+","aFRR-")</f>
        <v/>
      </c>
      <c r="D27" s="43">
        <f>IF(C27="aFRR+",damas_afrr_up*capacity_mult_A,damas_afrr_down*capacity_mult_A)</f>
        <v/>
      </c>
      <c r="E27" s="44">
        <f>acceptance_rate</f>
        <v/>
      </c>
      <c r="F27" s="13">
        <f>IF(C27="aFRR+",power_mw*hours_per_day*damas_afrr_up*capacity_mult_A*stack_capacity*acceptance_rate,power_mw*hours_per_day*damas_afrr_down*capacity_mult_A*stack_capacity*acceptance_rate)</f>
        <v/>
      </c>
      <c r="G27" s="42">
        <f>IF(C27="aFRR+",DAMAS_Daily!I27,DAMAS_Daily!J27)</f>
        <v/>
      </c>
      <c r="H27" s="43">
        <f>IF(C27="aFRR+",DAMAS_Daily!E27,DAMAS_Daily!F27)</f>
        <v/>
      </c>
      <c r="I27" s="43">
        <f>IF(C27="aFRR+",DAMAS_Daily!G27,DAMAS_Daily!H27)</f>
        <v/>
      </c>
      <c r="J27" s="45">
        <f>IF(C27="aFRR+",DAMAS_Daily!C27,DAMAS_Daily!D27)</f>
        <v/>
      </c>
      <c r="K27" s="45">
        <f>IF(C27="aFRR+",MIN(DAMAS_Daily!C27*market_share_A*acceptance_rate*stack_activation,power_mw*hours_per_day,capacity_mwh),MIN(DAMAS_Daily!D27*market_share_A*acceptance_rate*stack_activation,power_mw*hours_per_day,capacity_mwh))</f>
        <v/>
      </c>
      <c r="L27" s="42">
        <f>IF(K27&gt;=capacity_mwh-0.01,"yes","no")</f>
        <v/>
      </c>
      <c r="M27" s="13">
        <f>IF(C27="aFRR+",(MIN(DAMAS_Daily!C27*market_share_A*acceptance_rate*stack_activation,power_mw*hours_per_day,capacity_mwh))*DAMAS_Daily!E27*activation_mult_A,(MIN(DAMAS_Daily!D27*market_share_A*acceptance_rate*stack_activation,power_mw*hours_per_day,capacity_mwh))*DAMAS_Daily!F27*activation_mult_A)</f>
        <v/>
      </c>
      <c r="N27" s="14">
        <f>F27+M27</f>
        <v/>
      </c>
    </row>
    <row r="28">
      <c r="A28" s="41">
        <f>DAMAS_Daily!A28</f>
        <v/>
      </c>
      <c r="B28" s="42">
        <f>DAMAS_Daily!B28</f>
        <v/>
      </c>
      <c r="C28" s="42">
        <f>IF((power_mw*hours_per_day*damas_afrr_up*capacity_mult_A*stack_capacity*acceptance_rate+(MIN(DAMAS_Daily!C28*market_share_A*acceptance_rate*stack_activation,power_mw*hours_per_day,capacity_mwh))*DAMAS_Daily!E28*activation_mult_A)&gt;=(power_mw*hours_per_day*damas_afrr_down*capacity_mult_A*stack_capacity*acceptance_rate+(MIN(DAMAS_Daily!D28*market_share_A*acceptance_rate*stack_activation,power_mw*hours_per_day,capacity_mwh))*DAMAS_Daily!F28*activation_mult_A),"aFRR+","aFRR-")</f>
        <v/>
      </c>
      <c r="D28" s="43">
        <f>IF(C28="aFRR+",damas_afrr_up*capacity_mult_A,damas_afrr_down*capacity_mult_A)</f>
        <v/>
      </c>
      <c r="E28" s="44">
        <f>acceptance_rate</f>
        <v/>
      </c>
      <c r="F28" s="13">
        <f>IF(C28="aFRR+",power_mw*hours_per_day*damas_afrr_up*capacity_mult_A*stack_capacity*acceptance_rate,power_mw*hours_per_day*damas_afrr_down*capacity_mult_A*stack_capacity*acceptance_rate)</f>
        <v/>
      </c>
      <c r="G28" s="42">
        <f>IF(C28="aFRR+",DAMAS_Daily!I28,DAMAS_Daily!J28)</f>
        <v/>
      </c>
      <c r="H28" s="43">
        <f>IF(C28="aFRR+",DAMAS_Daily!E28,DAMAS_Daily!F28)</f>
        <v/>
      </c>
      <c r="I28" s="43">
        <f>IF(C28="aFRR+",DAMAS_Daily!G28,DAMAS_Daily!H28)</f>
        <v/>
      </c>
      <c r="J28" s="45">
        <f>IF(C28="aFRR+",DAMAS_Daily!C28,DAMAS_Daily!D28)</f>
        <v/>
      </c>
      <c r="K28" s="45">
        <f>IF(C28="aFRR+",MIN(DAMAS_Daily!C28*market_share_A*acceptance_rate*stack_activation,power_mw*hours_per_day,capacity_mwh),MIN(DAMAS_Daily!D28*market_share_A*acceptance_rate*stack_activation,power_mw*hours_per_day,capacity_mwh))</f>
        <v/>
      </c>
      <c r="L28" s="42">
        <f>IF(K28&gt;=capacity_mwh-0.01,"yes","no")</f>
        <v/>
      </c>
      <c r="M28" s="13">
        <f>IF(C28="aFRR+",(MIN(DAMAS_Daily!C28*market_share_A*acceptance_rate*stack_activation,power_mw*hours_per_day,capacity_mwh))*DAMAS_Daily!E28*activation_mult_A,(MIN(DAMAS_Daily!D28*market_share_A*acceptance_rate*stack_activation,power_mw*hours_per_day,capacity_mwh))*DAMAS_Daily!F28*activation_mult_A)</f>
        <v/>
      </c>
      <c r="N28" s="14">
        <f>F28+M28</f>
        <v/>
      </c>
    </row>
    <row r="29">
      <c r="A29" s="41">
        <f>DAMAS_Daily!A29</f>
        <v/>
      </c>
      <c r="B29" s="42">
        <f>DAMAS_Daily!B29</f>
        <v/>
      </c>
      <c r="C29" s="42">
        <f>IF((power_mw*hours_per_day*damas_afrr_up*capacity_mult_A*stack_capacity*acceptance_rate+(MIN(DAMAS_Daily!C29*market_share_A*acceptance_rate*stack_activation,power_mw*hours_per_day,capacity_mwh))*DAMAS_Daily!E29*activation_mult_A)&gt;=(power_mw*hours_per_day*damas_afrr_down*capacity_mult_A*stack_capacity*acceptance_rate+(MIN(DAMAS_Daily!D29*market_share_A*acceptance_rate*stack_activation,power_mw*hours_per_day,capacity_mwh))*DAMAS_Daily!F29*activation_mult_A),"aFRR+","aFRR-")</f>
        <v/>
      </c>
      <c r="D29" s="43">
        <f>IF(C29="aFRR+",damas_afrr_up*capacity_mult_A,damas_afrr_down*capacity_mult_A)</f>
        <v/>
      </c>
      <c r="E29" s="44">
        <f>acceptance_rate</f>
        <v/>
      </c>
      <c r="F29" s="13">
        <f>IF(C29="aFRR+",power_mw*hours_per_day*damas_afrr_up*capacity_mult_A*stack_capacity*acceptance_rate,power_mw*hours_per_day*damas_afrr_down*capacity_mult_A*stack_capacity*acceptance_rate)</f>
        <v/>
      </c>
      <c r="G29" s="42">
        <f>IF(C29="aFRR+",DAMAS_Daily!I29,DAMAS_Daily!J29)</f>
        <v/>
      </c>
      <c r="H29" s="43">
        <f>IF(C29="aFRR+",DAMAS_Daily!E29,DAMAS_Daily!F29)</f>
        <v/>
      </c>
      <c r="I29" s="43">
        <f>IF(C29="aFRR+",DAMAS_Daily!G29,DAMAS_Daily!H29)</f>
        <v/>
      </c>
      <c r="J29" s="45">
        <f>IF(C29="aFRR+",DAMAS_Daily!C29,DAMAS_Daily!D29)</f>
        <v/>
      </c>
      <c r="K29" s="45">
        <f>IF(C29="aFRR+",MIN(DAMAS_Daily!C29*market_share_A*acceptance_rate*stack_activation,power_mw*hours_per_day,capacity_mwh),MIN(DAMAS_Daily!D29*market_share_A*acceptance_rate*stack_activation,power_mw*hours_per_day,capacity_mwh))</f>
        <v/>
      </c>
      <c r="L29" s="42">
        <f>IF(K29&gt;=capacity_mwh-0.01,"yes","no")</f>
        <v/>
      </c>
      <c r="M29" s="13">
        <f>IF(C29="aFRR+",(MIN(DAMAS_Daily!C29*market_share_A*acceptance_rate*stack_activation,power_mw*hours_per_day,capacity_mwh))*DAMAS_Daily!E29*activation_mult_A,(MIN(DAMAS_Daily!D29*market_share_A*acceptance_rate*stack_activation,power_mw*hours_per_day,capacity_mwh))*DAMAS_Daily!F29*activation_mult_A)</f>
        <v/>
      </c>
      <c r="N29" s="14">
        <f>F29+M29</f>
        <v/>
      </c>
    </row>
    <row r="30">
      <c r="A30" s="41">
        <f>DAMAS_Daily!A30</f>
        <v/>
      </c>
      <c r="B30" s="42">
        <f>DAMAS_Daily!B30</f>
        <v/>
      </c>
      <c r="C30" s="42">
        <f>IF((power_mw*hours_per_day*damas_afrr_up*capacity_mult_A*stack_capacity*acceptance_rate+(MIN(DAMAS_Daily!C30*market_share_A*acceptance_rate*stack_activation,power_mw*hours_per_day,capacity_mwh))*DAMAS_Daily!E30*activation_mult_A)&gt;=(power_mw*hours_per_day*damas_afrr_down*capacity_mult_A*stack_capacity*acceptance_rate+(MIN(DAMAS_Daily!D30*market_share_A*acceptance_rate*stack_activation,power_mw*hours_per_day,capacity_mwh))*DAMAS_Daily!F30*activation_mult_A),"aFRR+","aFRR-")</f>
        <v/>
      </c>
      <c r="D30" s="43">
        <f>IF(C30="aFRR+",damas_afrr_up*capacity_mult_A,damas_afrr_down*capacity_mult_A)</f>
        <v/>
      </c>
      <c r="E30" s="44">
        <f>acceptance_rate</f>
        <v/>
      </c>
      <c r="F30" s="13">
        <f>IF(C30="aFRR+",power_mw*hours_per_day*damas_afrr_up*capacity_mult_A*stack_capacity*acceptance_rate,power_mw*hours_per_day*damas_afrr_down*capacity_mult_A*stack_capacity*acceptance_rate)</f>
        <v/>
      </c>
      <c r="G30" s="42">
        <f>IF(C30="aFRR+",DAMAS_Daily!I30,DAMAS_Daily!J30)</f>
        <v/>
      </c>
      <c r="H30" s="43">
        <f>IF(C30="aFRR+",DAMAS_Daily!E30,DAMAS_Daily!F30)</f>
        <v/>
      </c>
      <c r="I30" s="43">
        <f>IF(C30="aFRR+",DAMAS_Daily!G30,DAMAS_Daily!H30)</f>
        <v/>
      </c>
      <c r="J30" s="45">
        <f>IF(C30="aFRR+",DAMAS_Daily!C30,DAMAS_Daily!D30)</f>
        <v/>
      </c>
      <c r="K30" s="45">
        <f>IF(C30="aFRR+",MIN(DAMAS_Daily!C30*market_share_A*acceptance_rate*stack_activation,power_mw*hours_per_day,capacity_mwh),MIN(DAMAS_Daily!D30*market_share_A*acceptance_rate*stack_activation,power_mw*hours_per_day,capacity_mwh))</f>
        <v/>
      </c>
      <c r="L30" s="42">
        <f>IF(K30&gt;=capacity_mwh-0.01,"yes","no")</f>
        <v/>
      </c>
      <c r="M30" s="13">
        <f>IF(C30="aFRR+",(MIN(DAMAS_Daily!C30*market_share_A*acceptance_rate*stack_activation,power_mw*hours_per_day,capacity_mwh))*DAMAS_Daily!E30*activation_mult_A,(MIN(DAMAS_Daily!D30*market_share_A*acceptance_rate*stack_activation,power_mw*hours_per_day,capacity_mwh))*DAMAS_Daily!F30*activation_mult_A)</f>
        <v/>
      </c>
      <c r="N30" s="14">
        <f>F30+M30</f>
        <v/>
      </c>
    </row>
    <row r="31">
      <c r="A31" s="41">
        <f>DAMAS_Daily!A31</f>
        <v/>
      </c>
      <c r="B31" s="42">
        <f>DAMAS_Daily!B31</f>
        <v/>
      </c>
      <c r="C31" s="42">
        <f>IF((power_mw*hours_per_day*damas_afrr_up*capacity_mult_A*stack_capacity*acceptance_rate+(MIN(DAMAS_Daily!C31*market_share_A*acceptance_rate*stack_activation,power_mw*hours_per_day,capacity_mwh))*DAMAS_Daily!E31*activation_mult_A)&gt;=(power_mw*hours_per_day*damas_afrr_down*capacity_mult_A*stack_capacity*acceptance_rate+(MIN(DAMAS_Daily!D31*market_share_A*acceptance_rate*stack_activation,power_mw*hours_per_day,capacity_mwh))*DAMAS_Daily!F31*activation_mult_A),"aFRR+","aFRR-")</f>
        <v/>
      </c>
      <c r="D31" s="43">
        <f>IF(C31="aFRR+",damas_afrr_up*capacity_mult_A,damas_afrr_down*capacity_mult_A)</f>
        <v/>
      </c>
      <c r="E31" s="44">
        <f>acceptance_rate</f>
        <v/>
      </c>
      <c r="F31" s="13">
        <f>IF(C31="aFRR+",power_mw*hours_per_day*damas_afrr_up*capacity_mult_A*stack_capacity*acceptance_rate,power_mw*hours_per_day*damas_afrr_down*capacity_mult_A*stack_capacity*acceptance_rate)</f>
        <v/>
      </c>
      <c r="G31" s="42">
        <f>IF(C31="aFRR+",DAMAS_Daily!I31,DAMAS_Daily!J31)</f>
        <v/>
      </c>
      <c r="H31" s="43">
        <f>IF(C31="aFRR+",DAMAS_Daily!E31,DAMAS_Daily!F31)</f>
        <v/>
      </c>
      <c r="I31" s="43">
        <f>IF(C31="aFRR+",DAMAS_Daily!G31,DAMAS_Daily!H31)</f>
        <v/>
      </c>
      <c r="J31" s="45">
        <f>IF(C31="aFRR+",DAMAS_Daily!C31,DAMAS_Daily!D31)</f>
        <v/>
      </c>
      <c r="K31" s="45">
        <f>IF(C31="aFRR+",MIN(DAMAS_Daily!C31*market_share_A*acceptance_rate*stack_activation,power_mw*hours_per_day,capacity_mwh),MIN(DAMAS_Daily!D31*market_share_A*acceptance_rate*stack_activation,power_mw*hours_per_day,capacity_mwh))</f>
        <v/>
      </c>
      <c r="L31" s="42">
        <f>IF(K31&gt;=capacity_mwh-0.01,"yes","no")</f>
        <v/>
      </c>
      <c r="M31" s="13">
        <f>IF(C31="aFRR+",(MIN(DAMAS_Daily!C31*market_share_A*acceptance_rate*stack_activation,power_mw*hours_per_day,capacity_mwh))*DAMAS_Daily!E31*activation_mult_A,(MIN(DAMAS_Daily!D31*market_share_A*acceptance_rate*stack_activation,power_mw*hours_per_day,capacity_mwh))*DAMAS_Daily!F31*activation_mult_A)</f>
        <v/>
      </c>
      <c r="N31" s="14">
        <f>F31+M31</f>
        <v/>
      </c>
    </row>
    <row r="32">
      <c r="A32" s="41">
        <f>DAMAS_Daily!A32</f>
        <v/>
      </c>
      <c r="B32" s="42">
        <f>DAMAS_Daily!B32</f>
        <v/>
      </c>
      <c r="C32" s="42">
        <f>IF((power_mw*hours_per_day*damas_afrr_up*capacity_mult_A*stack_capacity*acceptance_rate+(MIN(DAMAS_Daily!C32*market_share_A*acceptance_rate*stack_activation,power_mw*hours_per_day,capacity_mwh))*DAMAS_Daily!E32*activation_mult_A)&gt;=(power_mw*hours_per_day*damas_afrr_down*capacity_mult_A*stack_capacity*acceptance_rate+(MIN(DAMAS_Daily!D32*market_share_A*acceptance_rate*stack_activation,power_mw*hours_per_day,capacity_mwh))*DAMAS_Daily!F32*activation_mult_A),"aFRR+","aFRR-")</f>
        <v/>
      </c>
      <c r="D32" s="43">
        <f>IF(C32="aFRR+",damas_afrr_up*capacity_mult_A,damas_afrr_down*capacity_mult_A)</f>
        <v/>
      </c>
      <c r="E32" s="44">
        <f>acceptance_rate</f>
        <v/>
      </c>
      <c r="F32" s="13">
        <f>IF(C32="aFRR+",power_mw*hours_per_day*damas_afrr_up*capacity_mult_A*stack_capacity*acceptance_rate,power_mw*hours_per_day*damas_afrr_down*capacity_mult_A*stack_capacity*acceptance_rate)</f>
        <v/>
      </c>
      <c r="G32" s="42">
        <f>IF(C32="aFRR+",DAMAS_Daily!I32,DAMAS_Daily!J32)</f>
        <v/>
      </c>
      <c r="H32" s="43">
        <f>IF(C32="aFRR+",DAMAS_Daily!E32,DAMAS_Daily!F32)</f>
        <v/>
      </c>
      <c r="I32" s="43">
        <f>IF(C32="aFRR+",DAMAS_Daily!G32,DAMAS_Daily!H32)</f>
        <v/>
      </c>
      <c r="J32" s="45">
        <f>IF(C32="aFRR+",DAMAS_Daily!C32,DAMAS_Daily!D32)</f>
        <v/>
      </c>
      <c r="K32" s="45">
        <f>IF(C32="aFRR+",MIN(DAMAS_Daily!C32*market_share_A*acceptance_rate*stack_activation,power_mw*hours_per_day,capacity_mwh),MIN(DAMAS_Daily!D32*market_share_A*acceptance_rate*stack_activation,power_mw*hours_per_day,capacity_mwh))</f>
        <v/>
      </c>
      <c r="L32" s="42">
        <f>IF(K32&gt;=capacity_mwh-0.01,"yes","no")</f>
        <v/>
      </c>
      <c r="M32" s="13">
        <f>IF(C32="aFRR+",(MIN(DAMAS_Daily!C32*market_share_A*acceptance_rate*stack_activation,power_mw*hours_per_day,capacity_mwh))*DAMAS_Daily!E32*activation_mult_A,(MIN(DAMAS_Daily!D32*market_share_A*acceptance_rate*stack_activation,power_mw*hours_per_day,capacity_mwh))*DAMAS_Daily!F32*activation_mult_A)</f>
        <v/>
      </c>
      <c r="N32" s="14">
        <f>F32+M32</f>
        <v/>
      </c>
    </row>
    <row r="33">
      <c r="A33" s="41">
        <f>DAMAS_Daily!A33</f>
        <v/>
      </c>
      <c r="B33" s="42">
        <f>DAMAS_Daily!B33</f>
        <v/>
      </c>
      <c r="C33" s="42">
        <f>IF((power_mw*hours_per_day*damas_afrr_up*capacity_mult_A*stack_capacity*acceptance_rate+(MIN(DAMAS_Daily!C33*market_share_A*acceptance_rate*stack_activation,power_mw*hours_per_day,capacity_mwh))*DAMAS_Daily!E33*activation_mult_A)&gt;=(power_mw*hours_per_day*damas_afrr_down*capacity_mult_A*stack_capacity*acceptance_rate+(MIN(DAMAS_Daily!D33*market_share_A*acceptance_rate*stack_activation,power_mw*hours_per_day,capacity_mwh))*DAMAS_Daily!F33*activation_mult_A),"aFRR+","aFRR-")</f>
        <v/>
      </c>
      <c r="D33" s="43">
        <f>IF(C33="aFRR+",damas_afrr_up*capacity_mult_A,damas_afrr_down*capacity_mult_A)</f>
        <v/>
      </c>
      <c r="E33" s="44">
        <f>acceptance_rate</f>
        <v/>
      </c>
      <c r="F33" s="13">
        <f>IF(C33="aFRR+",power_mw*hours_per_day*damas_afrr_up*capacity_mult_A*stack_capacity*acceptance_rate,power_mw*hours_per_day*damas_afrr_down*capacity_mult_A*stack_capacity*acceptance_rate)</f>
        <v/>
      </c>
      <c r="G33" s="42">
        <f>IF(C33="aFRR+",DAMAS_Daily!I33,DAMAS_Daily!J33)</f>
        <v/>
      </c>
      <c r="H33" s="43">
        <f>IF(C33="aFRR+",DAMAS_Daily!E33,DAMAS_Daily!F33)</f>
        <v/>
      </c>
      <c r="I33" s="43">
        <f>IF(C33="aFRR+",DAMAS_Daily!G33,DAMAS_Daily!H33)</f>
        <v/>
      </c>
      <c r="J33" s="45">
        <f>IF(C33="aFRR+",DAMAS_Daily!C33,DAMAS_Daily!D33)</f>
        <v/>
      </c>
      <c r="K33" s="45">
        <f>IF(C33="aFRR+",MIN(DAMAS_Daily!C33*market_share_A*acceptance_rate*stack_activation,power_mw*hours_per_day,capacity_mwh),MIN(DAMAS_Daily!D33*market_share_A*acceptance_rate*stack_activation,power_mw*hours_per_day,capacity_mwh))</f>
        <v/>
      </c>
      <c r="L33" s="42">
        <f>IF(K33&gt;=capacity_mwh-0.01,"yes","no")</f>
        <v/>
      </c>
      <c r="M33" s="13">
        <f>IF(C33="aFRR+",(MIN(DAMAS_Daily!C33*market_share_A*acceptance_rate*stack_activation,power_mw*hours_per_day,capacity_mwh))*DAMAS_Daily!E33*activation_mult_A,(MIN(DAMAS_Daily!D33*market_share_A*acceptance_rate*stack_activation,power_mw*hours_per_day,capacity_mwh))*DAMAS_Daily!F33*activation_mult_A)</f>
        <v/>
      </c>
      <c r="N33" s="14">
        <f>F33+M33</f>
        <v/>
      </c>
    </row>
    <row r="34">
      <c r="A34" s="41">
        <f>DAMAS_Daily!A34</f>
        <v/>
      </c>
      <c r="B34" s="42">
        <f>DAMAS_Daily!B34</f>
        <v/>
      </c>
      <c r="C34" s="42">
        <f>IF((power_mw*hours_per_day*damas_afrr_up*capacity_mult_A*stack_capacity*acceptance_rate+(MIN(DAMAS_Daily!C34*market_share_A*acceptance_rate*stack_activation,power_mw*hours_per_day,capacity_mwh))*DAMAS_Daily!E34*activation_mult_A)&gt;=(power_mw*hours_per_day*damas_afrr_down*capacity_mult_A*stack_capacity*acceptance_rate+(MIN(DAMAS_Daily!D34*market_share_A*acceptance_rate*stack_activation,power_mw*hours_per_day,capacity_mwh))*DAMAS_Daily!F34*activation_mult_A),"aFRR+","aFRR-")</f>
        <v/>
      </c>
      <c r="D34" s="43">
        <f>IF(C34="aFRR+",damas_afrr_up*capacity_mult_A,damas_afrr_down*capacity_mult_A)</f>
        <v/>
      </c>
      <c r="E34" s="44">
        <f>acceptance_rate</f>
        <v/>
      </c>
      <c r="F34" s="13">
        <f>IF(C34="aFRR+",power_mw*hours_per_day*damas_afrr_up*capacity_mult_A*stack_capacity*acceptance_rate,power_mw*hours_per_day*damas_afrr_down*capacity_mult_A*stack_capacity*acceptance_rate)</f>
        <v/>
      </c>
      <c r="G34" s="42">
        <f>IF(C34="aFRR+",DAMAS_Daily!I34,DAMAS_Daily!J34)</f>
        <v/>
      </c>
      <c r="H34" s="43">
        <f>IF(C34="aFRR+",DAMAS_Daily!E34,DAMAS_Daily!F34)</f>
        <v/>
      </c>
      <c r="I34" s="43">
        <f>IF(C34="aFRR+",DAMAS_Daily!G34,DAMAS_Daily!H34)</f>
        <v/>
      </c>
      <c r="J34" s="45">
        <f>IF(C34="aFRR+",DAMAS_Daily!C34,DAMAS_Daily!D34)</f>
        <v/>
      </c>
      <c r="K34" s="45">
        <f>IF(C34="aFRR+",MIN(DAMAS_Daily!C34*market_share_A*acceptance_rate*stack_activation,power_mw*hours_per_day,capacity_mwh),MIN(DAMAS_Daily!D34*market_share_A*acceptance_rate*stack_activation,power_mw*hours_per_day,capacity_mwh))</f>
        <v/>
      </c>
      <c r="L34" s="42">
        <f>IF(K34&gt;=capacity_mwh-0.01,"yes","no")</f>
        <v/>
      </c>
      <c r="M34" s="13">
        <f>IF(C34="aFRR+",(MIN(DAMAS_Daily!C34*market_share_A*acceptance_rate*stack_activation,power_mw*hours_per_day,capacity_mwh))*DAMAS_Daily!E34*activation_mult_A,(MIN(DAMAS_Daily!D34*market_share_A*acceptance_rate*stack_activation,power_mw*hours_per_day,capacity_mwh))*DAMAS_Daily!F34*activation_mult_A)</f>
        <v/>
      </c>
      <c r="N34" s="14">
        <f>F34+M34</f>
        <v/>
      </c>
    </row>
    <row r="35">
      <c r="A35" s="41">
        <f>DAMAS_Daily!A35</f>
        <v/>
      </c>
      <c r="B35" s="42">
        <f>DAMAS_Daily!B35</f>
        <v/>
      </c>
      <c r="C35" s="42">
        <f>IF((power_mw*hours_per_day*damas_afrr_up*capacity_mult_A*stack_capacity*acceptance_rate+(MIN(DAMAS_Daily!C35*market_share_A*acceptance_rate*stack_activation,power_mw*hours_per_day,capacity_mwh))*DAMAS_Daily!E35*activation_mult_A)&gt;=(power_mw*hours_per_day*damas_afrr_down*capacity_mult_A*stack_capacity*acceptance_rate+(MIN(DAMAS_Daily!D35*market_share_A*acceptance_rate*stack_activation,power_mw*hours_per_day,capacity_mwh))*DAMAS_Daily!F35*activation_mult_A),"aFRR+","aFRR-")</f>
        <v/>
      </c>
      <c r="D35" s="43">
        <f>IF(C35="aFRR+",damas_afrr_up*capacity_mult_A,damas_afrr_down*capacity_mult_A)</f>
        <v/>
      </c>
      <c r="E35" s="44">
        <f>acceptance_rate</f>
        <v/>
      </c>
      <c r="F35" s="13">
        <f>IF(C35="aFRR+",power_mw*hours_per_day*damas_afrr_up*capacity_mult_A*stack_capacity*acceptance_rate,power_mw*hours_per_day*damas_afrr_down*capacity_mult_A*stack_capacity*acceptance_rate)</f>
        <v/>
      </c>
      <c r="G35" s="42">
        <f>IF(C35="aFRR+",DAMAS_Daily!I35,DAMAS_Daily!J35)</f>
        <v/>
      </c>
      <c r="H35" s="43">
        <f>IF(C35="aFRR+",DAMAS_Daily!E35,DAMAS_Daily!F35)</f>
        <v/>
      </c>
      <c r="I35" s="43">
        <f>IF(C35="aFRR+",DAMAS_Daily!G35,DAMAS_Daily!H35)</f>
        <v/>
      </c>
      <c r="J35" s="45">
        <f>IF(C35="aFRR+",DAMAS_Daily!C35,DAMAS_Daily!D35)</f>
        <v/>
      </c>
      <c r="K35" s="45">
        <f>IF(C35="aFRR+",MIN(DAMAS_Daily!C35*market_share_A*acceptance_rate*stack_activation,power_mw*hours_per_day,capacity_mwh),MIN(DAMAS_Daily!D35*market_share_A*acceptance_rate*stack_activation,power_mw*hours_per_day,capacity_mwh))</f>
        <v/>
      </c>
      <c r="L35" s="42">
        <f>IF(K35&gt;=capacity_mwh-0.01,"yes","no")</f>
        <v/>
      </c>
      <c r="M35" s="13">
        <f>IF(C35="aFRR+",(MIN(DAMAS_Daily!C35*market_share_A*acceptance_rate*stack_activation,power_mw*hours_per_day,capacity_mwh))*DAMAS_Daily!E35*activation_mult_A,(MIN(DAMAS_Daily!D35*market_share_A*acceptance_rate*stack_activation,power_mw*hours_per_day,capacity_mwh))*DAMAS_Daily!F35*activation_mult_A)</f>
        <v/>
      </c>
      <c r="N35" s="14">
        <f>F35+M35</f>
        <v/>
      </c>
    </row>
    <row r="36">
      <c r="A36" s="41">
        <f>DAMAS_Daily!A36</f>
        <v/>
      </c>
      <c r="B36" s="42">
        <f>DAMAS_Daily!B36</f>
        <v/>
      </c>
      <c r="C36" s="42">
        <f>IF((power_mw*hours_per_day*damas_afrr_up*capacity_mult_A*stack_capacity*acceptance_rate+(MIN(DAMAS_Daily!C36*market_share_A*acceptance_rate*stack_activation,power_mw*hours_per_day,capacity_mwh))*DAMAS_Daily!E36*activation_mult_A)&gt;=(power_mw*hours_per_day*damas_afrr_down*capacity_mult_A*stack_capacity*acceptance_rate+(MIN(DAMAS_Daily!D36*market_share_A*acceptance_rate*stack_activation,power_mw*hours_per_day,capacity_mwh))*DAMAS_Daily!F36*activation_mult_A),"aFRR+","aFRR-")</f>
        <v/>
      </c>
      <c r="D36" s="43">
        <f>IF(C36="aFRR+",damas_afrr_up*capacity_mult_A,damas_afrr_down*capacity_mult_A)</f>
        <v/>
      </c>
      <c r="E36" s="44">
        <f>acceptance_rate</f>
        <v/>
      </c>
      <c r="F36" s="13">
        <f>IF(C36="aFRR+",power_mw*hours_per_day*damas_afrr_up*capacity_mult_A*stack_capacity*acceptance_rate,power_mw*hours_per_day*damas_afrr_down*capacity_mult_A*stack_capacity*acceptance_rate)</f>
        <v/>
      </c>
      <c r="G36" s="42">
        <f>IF(C36="aFRR+",DAMAS_Daily!I36,DAMAS_Daily!J36)</f>
        <v/>
      </c>
      <c r="H36" s="43">
        <f>IF(C36="aFRR+",DAMAS_Daily!E36,DAMAS_Daily!F36)</f>
        <v/>
      </c>
      <c r="I36" s="43">
        <f>IF(C36="aFRR+",DAMAS_Daily!G36,DAMAS_Daily!H36)</f>
        <v/>
      </c>
      <c r="J36" s="45">
        <f>IF(C36="aFRR+",DAMAS_Daily!C36,DAMAS_Daily!D36)</f>
        <v/>
      </c>
      <c r="K36" s="45">
        <f>IF(C36="aFRR+",MIN(DAMAS_Daily!C36*market_share_A*acceptance_rate*stack_activation,power_mw*hours_per_day,capacity_mwh),MIN(DAMAS_Daily!D36*market_share_A*acceptance_rate*stack_activation,power_mw*hours_per_day,capacity_mwh))</f>
        <v/>
      </c>
      <c r="L36" s="42">
        <f>IF(K36&gt;=capacity_mwh-0.01,"yes","no")</f>
        <v/>
      </c>
      <c r="M36" s="13">
        <f>IF(C36="aFRR+",(MIN(DAMAS_Daily!C36*market_share_A*acceptance_rate*stack_activation,power_mw*hours_per_day,capacity_mwh))*DAMAS_Daily!E36*activation_mult_A,(MIN(DAMAS_Daily!D36*market_share_A*acceptance_rate*stack_activation,power_mw*hours_per_day,capacity_mwh))*DAMAS_Daily!F36*activation_mult_A)</f>
        <v/>
      </c>
      <c r="N36" s="14">
        <f>F36+M36</f>
        <v/>
      </c>
    </row>
    <row r="37">
      <c r="A37" s="41">
        <f>DAMAS_Daily!A37</f>
        <v/>
      </c>
      <c r="B37" s="42">
        <f>DAMAS_Daily!B37</f>
        <v/>
      </c>
      <c r="C37" s="42">
        <f>IF((power_mw*hours_per_day*damas_afrr_up*capacity_mult_A*stack_capacity*acceptance_rate+(MIN(DAMAS_Daily!C37*market_share_A*acceptance_rate*stack_activation,power_mw*hours_per_day,capacity_mwh))*DAMAS_Daily!E37*activation_mult_A)&gt;=(power_mw*hours_per_day*damas_afrr_down*capacity_mult_A*stack_capacity*acceptance_rate+(MIN(DAMAS_Daily!D37*market_share_A*acceptance_rate*stack_activation,power_mw*hours_per_day,capacity_mwh))*DAMAS_Daily!F37*activation_mult_A),"aFRR+","aFRR-")</f>
        <v/>
      </c>
      <c r="D37" s="43">
        <f>IF(C37="aFRR+",damas_afrr_up*capacity_mult_A,damas_afrr_down*capacity_mult_A)</f>
        <v/>
      </c>
      <c r="E37" s="44">
        <f>acceptance_rate</f>
        <v/>
      </c>
      <c r="F37" s="13">
        <f>IF(C37="aFRR+",power_mw*hours_per_day*damas_afrr_up*capacity_mult_A*stack_capacity*acceptance_rate,power_mw*hours_per_day*damas_afrr_down*capacity_mult_A*stack_capacity*acceptance_rate)</f>
        <v/>
      </c>
      <c r="G37" s="42">
        <f>IF(C37="aFRR+",DAMAS_Daily!I37,DAMAS_Daily!J37)</f>
        <v/>
      </c>
      <c r="H37" s="43">
        <f>IF(C37="aFRR+",DAMAS_Daily!E37,DAMAS_Daily!F37)</f>
        <v/>
      </c>
      <c r="I37" s="43">
        <f>IF(C37="aFRR+",DAMAS_Daily!G37,DAMAS_Daily!H37)</f>
        <v/>
      </c>
      <c r="J37" s="45">
        <f>IF(C37="aFRR+",DAMAS_Daily!C37,DAMAS_Daily!D37)</f>
        <v/>
      </c>
      <c r="K37" s="45">
        <f>IF(C37="aFRR+",MIN(DAMAS_Daily!C37*market_share_A*acceptance_rate*stack_activation,power_mw*hours_per_day,capacity_mwh),MIN(DAMAS_Daily!D37*market_share_A*acceptance_rate*stack_activation,power_mw*hours_per_day,capacity_mwh))</f>
        <v/>
      </c>
      <c r="L37" s="42">
        <f>IF(K37&gt;=capacity_mwh-0.01,"yes","no")</f>
        <v/>
      </c>
      <c r="M37" s="13">
        <f>IF(C37="aFRR+",(MIN(DAMAS_Daily!C37*market_share_A*acceptance_rate*stack_activation,power_mw*hours_per_day,capacity_mwh))*DAMAS_Daily!E37*activation_mult_A,(MIN(DAMAS_Daily!D37*market_share_A*acceptance_rate*stack_activation,power_mw*hours_per_day,capacity_mwh))*DAMAS_Daily!F37*activation_mult_A)</f>
        <v/>
      </c>
      <c r="N37" s="14">
        <f>F37+M37</f>
        <v/>
      </c>
    </row>
    <row r="38">
      <c r="A38" s="41">
        <f>DAMAS_Daily!A38</f>
        <v/>
      </c>
      <c r="B38" s="42">
        <f>DAMAS_Daily!B38</f>
        <v/>
      </c>
      <c r="C38" s="42">
        <f>IF((power_mw*hours_per_day*damas_afrr_up*capacity_mult_A*stack_capacity*acceptance_rate+(MIN(DAMAS_Daily!C38*market_share_A*acceptance_rate*stack_activation,power_mw*hours_per_day,capacity_mwh))*DAMAS_Daily!E38*activation_mult_A)&gt;=(power_mw*hours_per_day*damas_afrr_down*capacity_mult_A*stack_capacity*acceptance_rate+(MIN(DAMAS_Daily!D38*market_share_A*acceptance_rate*stack_activation,power_mw*hours_per_day,capacity_mwh))*DAMAS_Daily!F38*activation_mult_A),"aFRR+","aFRR-")</f>
        <v/>
      </c>
      <c r="D38" s="43">
        <f>IF(C38="aFRR+",damas_afrr_up*capacity_mult_A,damas_afrr_down*capacity_mult_A)</f>
        <v/>
      </c>
      <c r="E38" s="44">
        <f>acceptance_rate</f>
        <v/>
      </c>
      <c r="F38" s="13">
        <f>IF(C38="aFRR+",power_mw*hours_per_day*damas_afrr_up*capacity_mult_A*stack_capacity*acceptance_rate,power_mw*hours_per_day*damas_afrr_down*capacity_mult_A*stack_capacity*acceptance_rate)</f>
        <v/>
      </c>
      <c r="G38" s="42">
        <f>IF(C38="aFRR+",DAMAS_Daily!I38,DAMAS_Daily!J38)</f>
        <v/>
      </c>
      <c r="H38" s="43">
        <f>IF(C38="aFRR+",DAMAS_Daily!E38,DAMAS_Daily!F38)</f>
        <v/>
      </c>
      <c r="I38" s="43">
        <f>IF(C38="aFRR+",DAMAS_Daily!G38,DAMAS_Daily!H38)</f>
        <v/>
      </c>
      <c r="J38" s="45">
        <f>IF(C38="aFRR+",DAMAS_Daily!C38,DAMAS_Daily!D38)</f>
        <v/>
      </c>
      <c r="K38" s="45">
        <f>IF(C38="aFRR+",MIN(DAMAS_Daily!C38*market_share_A*acceptance_rate*stack_activation,power_mw*hours_per_day,capacity_mwh),MIN(DAMAS_Daily!D38*market_share_A*acceptance_rate*stack_activation,power_mw*hours_per_day,capacity_mwh))</f>
        <v/>
      </c>
      <c r="L38" s="42">
        <f>IF(K38&gt;=capacity_mwh-0.01,"yes","no")</f>
        <v/>
      </c>
      <c r="M38" s="13">
        <f>IF(C38="aFRR+",(MIN(DAMAS_Daily!C38*market_share_A*acceptance_rate*stack_activation,power_mw*hours_per_day,capacity_mwh))*DAMAS_Daily!E38*activation_mult_A,(MIN(DAMAS_Daily!D38*market_share_A*acceptance_rate*stack_activation,power_mw*hours_per_day,capacity_mwh))*DAMAS_Daily!F38*activation_mult_A)</f>
        <v/>
      </c>
      <c r="N38" s="14">
        <f>F38+M38</f>
        <v/>
      </c>
    </row>
    <row r="39">
      <c r="A39" s="41">
        <f>DAMAS_Daily!A39</f>
        <v/>
      </c>
      <c r="B39" s="42">
        <f>DAMAS_Daily!B39</f>
        <v/>
      </c>
      <c r="C39" s="42">
        <f>IF((power_mw*hours_per_day*damas_afrr_up*capacity_mult_A*stack_capacity*acceptance_rate+(MIN(DAMAS_Daily!C39*market_share_A*acceptance_rate*stack_activation,power_mw*hours_per_day,capacity_mwh))*DAMAS_Daily!E39*activation_mult_A)&gt;=(power_mw*hours_per_day*damas_afrr_down*capacity_mult_A*stack_capacity*acceptance_rate+(MIN(DAMAS_Daily!D39*market_share_A*acceptance_rate*stack_activation,power_mw*hours_per_day,capacity_mwh))*DAMAS_Daily!F39*activation_mult_A),"aFRR+","aFRR-")</f>
        <v/>
      </c>
      <c r="D39" s="43">
        <f>IF(C39="aFRR+",damas_afrr_up*capacity_mult_A,damas_afrr_down*capacity_mult_A)</f>
        <v/>
      </c>
      <c r="E39" s="44">
        <f>acceptance_rate</f>
        <v/>
      </c>
      <c r="F39" s="13">
        <f>IF(C39="aFRR+",power_mw*hours_per_day*damas_afrr_up*capacity_mult_A*stack_capacity*acceptance_rate,power_mw*hours_per_day*damas_afrr_down*capacity_mult_A*stack_capacity*acceptance_rate)</f>
        <v/>
      </c>
      <c r="G39" s="42">
        <f>IF(C39="aFRR+",DAMAS_Daily!I39,DAMAS_Daily!J39)</f>
        <v/>
      </c>
      <c r="H39" s="43">
        <f>IF(C39="aFRR+",DAMAS_Daily!E39,DAMAS_Daily!F39)</f>
        <v/>
      </c>
      <c r="I39" s="43">
        <f>IF(C39="aFRR+",DAMAS_Daily!G39,DAMAS_Daily!H39)</f>
        <v/>
      </c>
      <c r="J39" s="45">
        <f>IF(C39="aFRR+",DAMAS_Daily!C39,DAMAS_Daily!D39)</f>
        <v/>
      </c>
      <c r="K39" s="45">
        <f>IF(C39="aFRR+",MIN(DAMAS_Daily!C39*market_share_A*acceptance_rate*stack_activation,power_mw*hours_per_day,capacity_mwh),MIN(DAMAS_Daily!D39*market_share_A*acceptance_rate*stack_activation,power_mw*hours_per_day,capacity_mwh))</f>
        <v/>
      </c>
      <c r="L39" s="42">
        <f>IF(K39&gt;=capacity_mwh-0.01,"yes","no")</f>
        <v/>
      </c>
      <c r="M39" s="13">
        <f>IF(C39="aFRR+",(MIN(DAMAS_Daily!C39*market_share_A*acceptance_rate*stack_activation,power_mw*hours_per_day,capacity_mwh))*DAMAS_Daily!E39*activation_mult_A,(MIN(DAMAS_Daily!D39*market_share_A*acceptance_rate*stack_activation,power_mw*hours_per_day,capacity_mwh))*DAMAS_Daily!F39*activation_mult_A)</f>
        <v/>
      </c>
      <c r="N39" s="14">
        <f>F39+M39</f>
        <v/>
      </c>
    </row>
    <row r="40">
      <c r="A40" s="41">
        <f>DAMAS_Daily!A40</f>
        <v/>
      </c>
      <c r="B40" s="42">
        <f>DAMAS_Daily!B40</f>
        <v/>
      </c>
      <c r="C40" s="42">
        <f>IF((power_mw*hours_per_day*damas_afrr_up*capacity_mult_A*stack_capacity*acceptance_rate+(MIN(DAMAS_Daily!C40*market_share_A*acceptance_rate*stack_activation,power_mw*hours_per_day,capacity_mwh))*DAMAS_Daily!E40*activation_mult_A)&gt;=(power_mw*hours_per_day*damas_afrr_down*capacity_mult_A*stack_capacity*acceptance_rate+(MIN(DAMAS_Daily!D40*market_share_A*acceptance_rate*stack_activation,power_mw*hours_per_day,capacity_mwh))*DAMAS_Daily!F40*activation_mult_A),"aFRR+","aFRR-")</f>
        <v/>
      </c>
      <c r="D40" s="43">
        <f>IF(C40="aFRR+",damas_afrr_up*capacity_mult_A,damas_afrr_down*capacity_mult_A)</f>
        <v/>
      </c>
      <c r="E40" s="44">
        <f>acceptance_rate</f>
        <v/>
      </c>
      <c r="F40" s="13">
        <f>IF(C40="aFRR+",power_mw*hours_per_day*damas_afrr_up*capacity_mult_A*stack_capacity*acceptance_rate,power_mw*hours_per_day*damas_afrr_down*capacity_mult_A*stack_capacity*acceptance_rate)</f>
        <v/>
      </c>
      <c r="G40" s="42">
        <f>IF(C40="aFRR+",DAMAS_Daily!I40,DAMAS_Daily!J40)</f>
        <v/>
      </c>
      <c r="H40" s="43">
        <f>IF(C40="aFRR+",DAMAS_Daily!E40,DAMAS_Daily!F40)</f>
        <v/>
      </c>
      <c r="I40" s="43">
        <f>IF(C40="aFRR+",DAMAS_Daily!G40,DAMAS_Daily!H40)</f>
        <v/>
      </c>
      <c r="J40" s="45">
        <f>IF(C40="aFRR+",DAMAS_Daily!C40,DAMAS_Daily!D40)</f>
        <v/>
      </c>
      <c r="K40" s="45">
        <f>IF(C40="aFRR+",MIN(DAMAS_Daily!C40*market_share_A*acceptance_rate*stack_activation,power_mw*hours_per_day,capacity_mwh),MIN(DAMAS_Daily!D40*market_share_A*acceptance_rate*stack_activation,power_mw*hours_per_day,capacity_mwh))</f>
        <v/>
      </c>
      <c r="L40" s="42">
        <f>IF(K40&gt;=capacity_mwh-0.01,"yes","no")</f>
        <v/>
      </c>
      <c r="M40" s="13">
        <f>IF(C40="aFRR+",(MIN(DAMAS_Daily!C40*market_share_A*acceptance_rate*stack_activation,power_mw*hours_per_day,capacity_mwh))*DAMAS_Daily!E40*activation_mult_A,(MIN(DAMAS_Daily!D40*market_share_A*acceptance_rate*stack_activation,power_mw*hours_per_day,capacity_mwh))*DAMAS_Daily!F40*activation_mult_A)</f>
        <v/>
      </c>
      <c r="N40" s="14">
        <f>F40+M40</f>
        <v/>
      </c>
    </row>
    <row r="41">
      <c r="A41" s="41">
        <f>DAMAS_Daily!A41</f>
        <v/>
      </c>
      <c r="B41" s="42">
        <f>DAMAS_Daily!B41</f>
        <v/>
      </c>
      <c r="C41" s="42">
        <f>IF((power_mw*hours_per_day*damas_afrr_up*capacity_mult_A*stack_capacity*acceptance_rate+(MIN(DAMAS_Daily!C41*market_share_A*acceptance_rate*stack_activation,power_mw*hours_per_day,capacity_mwh))*DAMAS_Daily!E41*activation_mult_A)&gt;=(power_mw*hours_per_day*damas_afrr_down*capacity_mult_A*stack_capacity*acceptance_rate+(MIN(DAMAS_Daily!D41*market_share_A*acceptance_rate*stack_activation,power_mw*hours_per_day,capacity_mwh))*DAMAS_Daily!F41*activation_mult_A),"aFRR+","aFRR-")</f>
        <v/>
      </c>
      <c r="D41" s="43">
        <f>IF(C41="aFRR+",damas_afrr_up*capacity_mult_A,damas_afrr_down*capacity_mult_A)</f>
        <v/>
      </c>
      <c r="E41" s="44">
        <f>acceptance_rate</f>
        <v/>
      </c>
      <c r="F41" s="13">
        <f>IF(C41="aFRR+",power_mw*hours_per_day*damas_afrr_up*capacity_mult_A*stack_capacity*acceptance_rate,power_mw*hours_per_day*damas_afrr_down*capacity_mult_A*stack_capacity*acceptance_rate)</f>
        <v/>
      </c>
      <c r="G41" s="42">
        <f>IF(C41="aFRR+",DAMAS_Daily!I41,DAMAS_Daily!J41)</f>
        <v/>
      </c>
      <c r="H41" s="43">
        <f>IF(C41="aFRR+",DAMAS_Daily!E41,DAMAS_Daily!F41)</f>
        <v/>
      </c>
      <c r="I41" s="43">
        <f>IF(C41="aFRR+",DAMAS_Daily!G41,DAMAS_Daily!H41)</f>
        <v/>
      </c>
      <c r="J41" s="45">
        <f>IF(C41="aFRR+",DAMAS_Daily!C41,DAMAS_Daily!D41)</f>
        <v/>
      </c>
      <c r="K41" s="45">
        <f>IF(C41="aFRR+",MIN(DAMAS_Daily!C41*market_share_A*acceptance_rate*stack_activation,power_mw*hours_per_day,capacity_mwh),MIN(DAMAS_Daily!D41*market_share_A*acceptance_rate*stack_activation,power_mw*hours_per_day,capacity_mwh))</f>
        <v/>
      </c>
      <c r="L41" s="42">
        <f>IF(K41&gt;=capacity_mwh-0.01,"yes","no")</f>
        <v/>
      </c>
      <c r="M41" s="13">
        <f>IF(C41="aFRR+",(MIN(DAMAS_Daily!C41*market_share_A*acceptance_rate*stack_activation,power_mw*hours_per_day,capacity_mwh))*DAMAS_Daily!E41*activation_mult_A,(MIN(DAMAS_Daily!D41*market_share_A*acceptance_rate*stack_activation,power_mw*hours_per_day,capacity_mwh))*DAMAS_Daily!F41*activation_mult_A)</f>
        <v/>
      </c>
      <c r="N41" s="14">
        <f>F41+M41</f>
        <v/>
      </c>
    </row>
    <row r="42">
      <c r="A42" s="41">
        <f>DAMAS_Daily!A42</f>
        <v/>
      </c>
      <c r="B42" s="42">
        <f>DAMAS_Daily!B42</f>
        <v/>
      </c>
      <c r="C42" s="42">
        <f>IF((power_mw*hours_per_day*damas_afrr_up*capacity_mult_A*stack_capacity*acceptance_rate+(MIN(DAMAS_Daily!C42*market_share_A*acceptance_rate*stack_activation,power_mw*hours_per_day,capacity_mwh))*DAMAS_Daily!E42*activation_mult_A)&gt;=(power_mw*hours_per_day*damas_afrr_down*capacity_mult_A*stack_capacity*acceptance_rate+(MIN(DAMAS_Daily!D42*market_share_A*acceptance_rate*stack_activation,power_mw*hours_per_day,capacity_mwh))*DAMAS_Daily!F42*activation_mult_A),"aFRR+","aFRR-")</f>
        <v/>
      </c>
      <c r="D42" s="43">
        <f>IF(C42="aFRR+",damas_afrr_up*capacity_mult_A,damas_afrr_down*capacity_mult_A)</f>
        <v/>
      </c>
      <c r="E42" s="44">
        <f>acceptance_rate</f>
        <v/>
      </c>
      <c r="F42" s="13">
        <f>IF(C42="aFRR+",power_mw*hours_per_day*damas_afrr_up*capacity_mult_A*stack_capacity*acceptance_rate,power_mw*hours_per_day*damas_afrr_down*capacity_mult_A*stack_capacity*acceptance_rate)</f>
        <v/>
      </c>
      <c r="G42" s="42">
        <f>IF(C42="aFRR+",DAMAS_Daily!I42,DAMAS_Daily!J42)</f>
        <v/>
      </c>
      <c r="H42" s="43">
        <f>IF(C42="aFRR+",DAMAS_Daily!E42,DAMAS_Daily!F42)</f>
        <v/>
      </c>
      <c r="I42" s="43">
        <f>IF(C42="aFRR+",DAMAS_Daily!G42,DAMAS_Daily!H42)</f>
        <v/>
      </c>
      <c r="J42" s="45">
        <f>IF(C42="aFRR+",DAMAS_Daily!C42,DAMAS_Daily!D42)</f>
        <v/>
      </c>
      <c r="K42" s="45">
        <f>IF(C42="aFRR+",MIN(DAMAS_Daily!C42*market_share_A*acceptance_rate*stack_activation,power_mw*hours_per_day,capacity_mwh),MIN(DAMAS_Daily!D42*market_share_A*acceptance_rate*stack_activation,power_mw*hours_per_day,capacity_mwh))</f>
        <v/>
      </c>
      <c r="L42" s="42">
        <f>IF(K42&gt;=capacity_mwh-0.01,"yes","no")</f>
        <v/>
      </c>
      <c r="M42" s="13">
        <f>IF(C42="aFRR+",(MIN(DAMAS_Daily!C42*market_share_A*acceptance_rate*stack_activation,power_mw*hours_per_day,capacity_mwh))*DAMAS_Daily!E42*activation_mult_A,(MIN(DAMAS_Daily!D42*market_share_A*acceptance_rate*stack_activation,power_mw*hours_per_day,capacity_mwh))*DAMAS_Daily!F42*activation_mult_A)</f>
        <v/>
      </c>
      <c r="N42" s="14">
        <f>F42+M42</f>
        <v/>
      </c>
    </row>
    <row r="43">
      <c r="A43" s="41">
        <f>DAMAS_Daily!A43</f>
        <v/>
      </c>
      <c r="B43" s="42">
        <f>DAMAS_Daily!B43</f>
        <v/>
      </c>
      <c r="C43" s="42">
        <f>IF((power_mw*hours_per_day*damas_afrr_up*capacity_mult_A*stack_capacity*acceptance_rate+(MIN(DAMAS_Daily!C43*market_share_A*acceptance_rate*stack_activation,power_mw*hours_per_day,capacity_mwh))*DAMAS_Daily!E43*activation_mult_A)&gt;=(power_mw*hours_per_day*damas_afrr_down*capacity_mult_A*stack_capacity*acceptance_rate+(MIN(DAMAS_Daily!D43*market_share_A*acceptance_rate*stack_activation,power_mw*hours_per_day,capacity_mwh))*DAMAS_Daily!F43*activation_mult_A),"aFRR+","aFRR-")</f>
        <v/>
      </c>
      <c r="D43" s="43">
        <f>IF(C43="aFRR+",damas_afrr_up*capacity_mult_A,damas_afrr_down*capacity_mult_A)</f>
        <v/>
      </c>
      <c r="E43" s="44">
        <f>acceptance_rate</f>
        <v/>
      </c>
      <c r="F43" s="13">
        <f>IF(C43="aFRR+",power_mw*hours_per_day*damas_afrr_up*capacity_mult_A*stack_capacity*acceptance_rate,power_mw*hours_per_day*damas_afrr_down*capacity_mult_A*stack_capacity*acceptance_rate)</f>
        <v/>
      </c>
      <c r="G43" s="42">
        <f>IF(C43="aFRR+",DAMAS_Daily!I43,DAMAS_Daily!J43)</f>
        <v/>
      </c>
      <c r="H43" s="43">
        <f>IF(C43="aFRR+",DAMAS_Daily!E43,DAMAS_Daily!F43)</f>
        <v/>
      </c>
      <c r="I43" s="43">
        <f>IF(C43="aFRR+",DAMAS_Daily!G43,DAMAS_Daily!H43)</f>
        <v/>
      </c>
      <c r="J43" s="45">
        <f>IF(C43="aFRR+",DAMAS_Daily!C43,DAMAS_Daily!D43)</f>
        <v/>
      </c>
      <c r="K43" s="45">
        <f>IF(C43="aFRR+",MIN(DAMAS_Daily!C43*market_share_A*acceptance_rate*stack_activation,power_mw*hours_per_day,capacity_mwh),MIN(DAMAS_Daily!D43*market_share_A*acceptance_rate*stack_activation,power_mw*hours_per_day,capacity_mwh))</f>
        <v/>
      </c>
      <c r="L43" s="42">
        <f>IF(K43&gt;=capacity_mwh-0.01,"yes","no")</f>
        <v/>
      </c>
      <c r="M43" s="13">
        <f>IF(C43="aFRR+",(MIN(DAMAS_Daily!C43*market_share_A*acceptance_rate*stack_activation,power_mw*hours_per_day,capacity_mwh))*DAMAS_Daily!E43*activation_mult_A,(MIN(DAMAS_Daily!D43*market_share_A*acceptance_rate*stack_activation,power_mw*hours_per_day,capacity_mwh))*DAMAS_Daily!F43*activation_mult_A)</f>
        <v/>
      </c>
      <c r="N43" s="14">
        <f>F43+M43</f>
        <v/>
      </c>
    </row>
    <row r="44">
      <c r="A44" s="41">
        <f>DAMAS_Daily!A44</f>
        <v/>
      </c>
      <c r="B44" s="42">
        <f>DAMAS_Daily!B44</f>
        <v/>
      </c>
      <c r="C44" s="42">
        <f>IF((power_mw*hours_per_day*damas_afrr_up*capacity_mult_A*stack_capacity*acceptance_rate+(MIN(DAMAS_Daily!C44*market_share_A*acceptance_rate*stack_activation,power_mw*hours_per_day,capacity_mwh))*DAMAS_Daily!E44*activation_mult_A)&gt;=(power_mw*hours_per_day*damas_afrr_down*capacity_mult_A*stack_capacity*acceptance_rate+(MIN(DAMAS_Daily!D44*market_share_A*acceptance_rate*stack_activation,power_mw*hours_per_day,capacity_mwh))*DAMAS_Daily!F44*activation_mult_A),"aFRR+","aFRR-")</f>
        <v/>
      </c>
      <c r="D44" s="43">
        <f>IF(C44="aFRR+",damas_afrr_up*capacity_mult_A,damas_afrr_down*capacity_mult_A)</f>
        <v/>
      </c>
      <c r="E44" s="44">
        <f>acceptance_rate</f>
        <v/>
      </c>
      <c r="F44" s="13">
        <f>IF(C44="aFRR+",power_mw*hours_per_day*damas_afrr_up*capacity_mult_A*stack_capacity*acceptance_rate,power_mw*hours_per_day*damas_afrr_down*capacity_mult_A*stack_capacity*acceptance_rate)</f>
        <v/>
      </c>
      <c r="G44" s="42">
        <f>IF(C44="aFRR+",DAMAS_Daily!I44,DAMAS_Daily!J44)</f>
        <v/>
      </c>
      <c r="H44" s="43">
        <f>IF(C44="aFRR+",DAMAS_Daily!E44,DAMAS_Daily!F44)</f>
        <v/>
      </c>
      <c r="I44" s="43">
        <f>IF(C44="aFRR+",DAMAS_Daily!G44,DAMAS_Daily!H44)</f>
        <v/>
      </c>
      <c r="J44" s="45">
        <f>IF(C44="aFRR+",DAMAS_Daily!C44,DAMAS_Daily!D44)</f>
        <v/>
      </c>
      <c r="K44" s="45">
        <f>IF(C44="aFRR+",MIN(DAMAS_Daily!C44*market_share_A*acceptance_rate*stack_activation,power_mw*hours_per_day,capacity_mwh),MIN(DAMAS_Daily!D44*market_share_A*acceptance_rate*stack_activation,power_mw*hours_per_day,capacity_mwh))</f>
        <v/>
      </c>
      <c r="L44" s="42">
        <f>IF(K44&gt;=capacity_mwh-0.01,"yes","no")</f>
        <v/>
      </c>
      <c r="M44" s="13">
        <f>IF(C44="aFRR+",(MIN(DAMAS_Daily!C44*market_share_A*acceptance_rate*stack_activation,power_mw*hours_per_day,capacity_mwh))*DAMAS_Daily!E44*activation_mult_A,(MIN(DAMAS_Daily!D44*market_share_A*acceptance_rate*stack_activation,power_mw*hours_per_day,capacity_mwh))*DAMAS_Daily!F44*activation_mult_A)</f>
        <v/>
      </c>
      <c r="N44" s="14">
        <f>F44+M44</f>
        <v/>
      </c>
    </row>
    <row r="45">
      <c r="A45" s="41">
        <f>DAMAS_Daily!A45</f>
        <v/>
      </c>
      <c r="B45" s="42">
        <f>DAMAS_Daily!B45</f>
        <v/>
      </c>
      <c r="C45" s="42">
        <f>IF((power_mw*hours_per_day*damas_afrr_up*capacity_mult_A*stack_capacity*acceptance_rate+(MIN(DAMAS_Daily!C45*market_share_A*acceptance_rate*stack_activation,power_mw*hours_per_day,capacity_mwh))*DAMAS_Daily!E45*activation_mult_A)&gt;=(power_mw*hours_per_day*damas_afrr_down*capacity_mult_A*stack_capacity*acceptance_rate+(MIN(DAMAS_Daily!D45*market_share_A*acceptance_rate*stack_activation,power_mw*hours_per_day,capacity_mwh))*DAMAS_Daily!F45*activation_mult_A),"aFRR+","aFRR-")</f>
        <v/>
      </c>
      <c r="D45" s="43">
        <f>IF(C45="aFRR+",damas_afrr_up*capacity_mult_A,damas_afrr_down*capacity_mult_A)</f>
        <v/>
      </c>
      <c r="E45" s="44">
        <f>acceptance_rate</f>
        <v/>
      </c>
      <c r="F45" s="13">
        <f>IF(C45="aFRR+",power_mw*hours_per_day*damas_afrr_up*capacity_mult_A*stack_capacity*acceptance_rate,power_mw*hours_per_day*damas_afrr_down*capacity_mult_A*stack_capacity*acceptance_rate)</f>
        <v/>
      </c>
      <c r="G45" s="42">
        <f>IF(C45="aFRR+",DAMAS_Daily!I45,DAMAS_Daily!J45)</f>
        <v/>
      </c>
      <c r="H45" s="43">
        <f>IF(C45="aFRR+",DAMAS_Daily!E45,DAMAS_Daily!F45)</f>
        <v/>
      </c>
      <c r="I45" s="43">
        <f>IF(C45="aFRR+",DAMAS_Daily!G45,DAMAS_Daily!H45)</f>
        <v/>
      </c>
      <c r="J45" s="45">
        <f>IF(C45="aFRR+",DAMAS_Daily!C45,DAMAS_Daily!D45)</f>
        <v/>
      </c>
      <c r="K45" s="45">
        <f>IF(C45="aFRR+",MIN(DAMAS_Daily!C45*market_share_A*acceptance_rate*stack_activation,power_mw*hours_per_day,capacity_mwh),MIN(DAMAS_Daily!D45*market_share_A*acceptance_rate*stack_activation,power_mw*hours_per_day,capacity_mwh))</f>
        <v/>
      </c>
      <c r="L45" s="42">
        <f>IF(K45&gt;=capacity_mwh-0.01,"yes","no")</f>
        <v/>
      </c>
      <c r="M45" s="13">
        <f>IF(C45="aFRR+",(MIN(DAMAS_Daily!C45*market_share_A*acceptance_rate*stack_activation,power_mw*hours_per_day,capacity_mwh))*DAMAS_Daily!E45*activation_mult_A,(MIN(DAMAS_Daily!D45*market_share_A*acceptance_rate*stack_activation,power_mw*hours_per_day,capacity_mwh))*DAMAS_Daily!F45*activation_mult_A)</f>
        <v/>
      </c>
      <c r="N45" s="14">
        <f>F45+M45</f>
        <v/>
      </c>
    </row>
    <row r="46">
      <c r="A46" s="41">
        <f>DAMAS_Daily!A46</f>
        <v/>
      </c>
      <c r="B46" s="42">
        <f>DAMAS_Daily!B46</f>
        <v/>
      </c>
      <c r="C46" s="42">
        <f>IF((power_mw*hours_per_day*damas_afrr_up*capacity_mult_A*stack_capacity*acceptance_rate+(MIN(DAMAS_Daily!C46*market_share_A*acceptance_rate*stack_activation,power_mw*hours_per_day,capacity_mwh))*DAMAS_Daily!E46*activation_mult_A)&gt;=(power_mw*hours_per_day*damas_afrr_down*capacity_mult_A*stack_capacity*acceptance_rate+(MIN(DAMAS_Daily!D46*market_share_A*acceptance_rate*stack_activation,power_mw*hours_per_day,capacity_mwh))*DAMAS_Daily!F46*activation_mult_A),"aFRR+","aFRR-")</f>
        <v/>
      </c>
      <c r="D46" s="43">
        <f>IF(C46="aFRR+",damas_afrr_up*capacity_mult_A,damas_afrr_down*capacity_mult_A)</f>
        <v/>
      </c>
      <c r="E46" s="44">
        <f>acceptance_rate</f>
        <v/>
      </c>
      <c r="F46" s="13">
        <f>IF(C46="aFRR+",power_mw*hours_per_day*damas_afrr_up*capacity_mult_A*stack_capacity*acceptance_rate,power_mw*hours_per_day*damas_afrr_down*capacity_mult_A*stack_capacity*acceptance_rate)</f>
        <v/>
      </c>
      <c r="G46" s="42">
        <f>IF(C46="aFRR+",DAMAS_Daily!I46,DAMAS_Daily!J46)</f>
        <v/>
      </c>
      <c r="H46" s="43">
        <f>IF(C46="aFRR+",DAMAS_Daily!E46,DAMAS_Daily!F46)</f>
        <v/>
      </c>
      <c r="I46" s="43">
        <f>IF(C46="aFRR+",DAMAS_Daily!G46,DAMAS_Daily!H46)</f>
        <v/>
      </c>
      <c r="J46" s="45">
        <f>IF(C46="aFRR+",DAMAS_Daily!C46,DAMAS_Daily!D46)</f>
        <v/>
      </c>
      <c r="K46" s="45">
        <f>IF(C46="aFRR+",MIN(DAMAS_Daily!C46*market_share_A*acceptance_rate*stack_activation,power_mw*hours_per_day,capacity_mwh),MIN(DAMAS_Daily!D46*market_share_A*acceptance_rate*stack_activation,power_mw*hours_per_day,capacity_mwh))</f>
        <v/>
      </c>
      <c r="L46" s="42">
        <f>IF(K46&gt;=capacity_mwh-0.01,"yes","no")</f>
        <v/>
      </c>
      <c r="M46" s="13">
        <f>IF(C46="aFRR+",(MIN(DAMAS_Daily!C46*market_share_A*acceptance_rate*stack_activation,power_mw*hours_per_day,capacity_mwh))*DAMAS_Daily!E46*activation_mult_A,(MIN(DAMAS_Daily!D46*market_share_A*acceptance_rate*stack_activation,power_mw*hours_per_day,capacity_mwh))*DAMAS_Daily!F46*activation_mult_A)</f>
        <v/>
      </c>
      <c r="N46" s="14">
        <f>F46+M46</f>
        <v/>
      </c>
    </row>
    <row r="47">
      <c r="A47" s="41">
        <f>DAMAS_Daily!A47</f>
        <v/>
      </c>
      <c r="B47" s="42">
        <f>DAMAS_Daily!B47</f>
        <v/>
      </c>
      <c r="C47" s="42">
        <f>IF((power_mw*hours_per_day*damas_afrr_up*capacity_mult_A*stack_capacity*acceptance_rate+(MIN(DAMAS_Daily!C47*market_share_A*acceptance_rate*stack_activation,power_mw*hours_per_day,capacity_mwh))*DAMAS_Daily!E47*activation_mult_A)&gt;=(power_mw*hours_per_day*damas_afrr_down*capacity_mult_A*stack_capacity*acceptance_rate+(MIN(DAMAS_Daily!D47*market_share_A*acceptance_rate*stack_activation,power_mw*hours_per_day,capacity_mwh))*DAMAS_Daily!F47*activation_mult_A),"aFRR+","aFRR-")</f>
        <v/>
      </c>
      <c r="D47" s="43">
        <f>IF(C47="aFRR+",damas_afrr_up*capacity_mult_A,damas_afrr_down*capacity_mult_A)</f>
        <v/>
      </c>
      <c r="E47" s="44">
        <f>acceptance_rate</f>
        <v/>
      </c>
      <c r="F47" s="13">
        <f>IF(C47="aFRR+",power_mw*hours_per_day*damas_afrr_up*capacity_mult_A*stack_capacity*acceptance_rate,power_mw*hours_per_day*damas_afrr_down*capacity_mult_A*stack_capacity*acceptance_rate)</f>
        <v/>
      </c>
      <c r="G47" s="42">
        <f>IF(C47="aFRR+",DAMAS_Daily!I47,DAMAS_Daily!J47)</f>
        <v/>
      </c>
      <c r="H47" s="43">
        <f>IF(C47="aFRR+",DAMAS_Daily!E47,DAMAS_Daily!F47)</f>
        <v/>
      </c>
      <c r="I47" s="43">
        <f>IF(C47="aFRR+",DAMAS_Daily!G47,DAMAS_Daily!H47)</f>
        <v/>
      </c>
      <c r="J47" s="45">
        <f>IF(C47="aFRR+",DAMAS_Daily!C47,DAMAS_Daily!D47)</f>
        <v/>
      </c>
      <c r="K47" s="45">
        <f>IF(C47="aFRR+",MIN(DAMAS_Daily!C47*market_share_A*acceptance_rate*stack_activation,power_mw*hours_per_day,capacity_mwh),MIN(DAMAS_Daily!D47*market_share_A*acceptance_rate*stack_activation,power_mw*hours_per_day,capacity_mwh))</f>
        <v/>
      </c>
      <c r="L47" s="42">
        <f>IF(K47&gt;=capacity_mwh-0.01,"yes","no")</f>
        <v/>
      </c>
      <c r="M47" s="13">
        <f>IF(C47="aFRR+",(MIN(DAMAS_Daily!C47*market_share_A*acceptance_rate*stack_activation,power_mw*hours_per_day,capacity_mwh))*DAMAS_Daily!E47*activation_mult_A,(MIN(DAMAS_Daily!D47*market_share_A*acceptance_rate*stack_activation,power_mw*hours_per_day,capacity_mwh))*DAMAS_Daily!F47*activation_mult_A)</f>
        <v/>
      </c>
      <c r="N47" s="14">
        <f>F47+M47</f>
        <v/>
      </c>
    </row>
    <row r="48">
      <c r="A48" s="41">
        <f>DAMAS_Daily!A48</f>
        <v/>
      </c>
      <c r="B48" s="42">
        <f>DAMAS_Daily!B48</f>
        <v/>
      </c>
      <c r="C48" s="42">
        <f>IF((power_mw*hours_per_day*damas_afrr_up*capacity_mult_A*stack_capacity*acceptance_rate+(MIN(DAMAS_Daily!C48*market_share_A*acceptance_rate*stack_activation,power_mw*hours_per_day,capacity_mwh))*DAMAS_Daily!E48*activation_mult_A)&gt;=(power_mw*hours_per_day*damas_afrr_down*capacity_mult_A*stack_capacity*acceptance_rate+(MIN(DAMAS_Daily!D48*market_share_A*acceptance_rate*stack_activation,power_mw*hours_per_day,capacity_mwh))*DAMAS_Daily!F48*activation_mult_A),"aFRR+","aFRR-")</f>
        <v/>
      </c>
      <c r="D48" s="43">
        <f>IF(C48="aFRR+",damas_afrr_up*capacity_mult_A,damas_afrr_down*capacity_mult_A)</f>
        <v/>
      </c>
      <c r="E48" s="44">
        <f>acceptance_rate</f>
        <v/>
      </c>
      <c r="F48" s="13">
        <f>IF(C48="aFRR+",power_mw*hours_per_day*damas_afrr_up*capacity_mult_A*stack_capacity*acceptance_rate,power_mw*hours_per_day*damas_afrr_down*capacity_mult_A*stack_capacity*acceptance_rate)</f>
        <v/>
      </c>
      <c r="G48" s="42">
        <f>IF(C48="aFRR+",DAMAS_Daily!I48,DAMAS_Daily!J48)</f>
        <v/>
      </c>
      <c r="H48" s="43">
        <f>IF(C48="aFRR+",DAMAS_Daily!E48,DAMAS_Daily!F48)</f>
        <v/>
      </c>
      <c r="I48" s="43">
        <f>IF(C48="aFRR+",DAMAS_Daily!G48,DAMAS_Daily!H48)</f>
        <v/>
      </c>
      <c r="J48" s="45">
        <f>IF(C48="aFRR+",DAMAS_Daily!C48,DAMAS_Daily!D48)</f>
        <v/>
      </c>
      <c r="K48" s="45">
        <f>IF(C48="aFRR+",MIN(DAMAS_Daily!C48*market_share_A*acceptance_rate*stack_activation,power_mw*hours_per_day,capacity_mwh),MIN(DAMAS_Daily!D48*market_share_A*acceptance_rate*stack_activation,power_mw*hours_per_day,capacity_mwh))</f>
        <v/>
      </c>
      <c r="L48" s="42">
        <f>IF(K48&gt;=capacity_mwh-0.01,"yes","no")</f>
        <v/>
      </c>
      <c r="M48" s="13">
        <f>IF(C48="aFRR+",(MIN(DAMAS_Daily!C48*market_share_A*acceptance_rate*stack_activation,power_mw*hours_per_day,capacity_mwh))*DAMAS_Daily!E48*activation_mult_A,(MIN(DAMAS_Daily!D48*market_share_A*acceptance_rate*stack_activation,power_mw*hours_per_day,capacity_mwh))*DAMAS_Daily!F48*activation_mult_A)</f>
        <v/>
      </c>
      <c r="N48" s="14">
        <f>F48+M48</f>
        <v/>
      </c>
    </row>
    <row r="49">
      <c r="A49" s="41">
        <f>DAMAS_Daily!A49</f>
        <v/>
      </c>
      <c r="B49" s="42">
        <f>DAMAS_Daily!B49</f>
        <v/>
      </c>
      <c r="C49" s="42">
        <f>IF((power_mw*hours_per_day*damas_afrr_up*capacity_mult_A*stack_capacity*acceptance_rate+(MIN(DAMAS_Daily!C49*market_share_A*acceptance_rate*stack_activation,power_mw*hours_per_day,capacity_mwh))*DAMAS_Daily!E49*activation_mult_A)&gt;=(power_mw*hours_per_day*damas_afrr_down*capacity_mult_A*stack_capacity*acceptance_rate+(MIN(DAMAS_Daily!D49*market_share_A*acceptance_rate*stack_activation,power_mw*hours_per_day,capacity_mwh))*DAMAS_Daily!F49*activation_mult_A),"aFRR+","aFRR-")</f>
        <v/>
      </c>
      <c r="D49" s="43">
        <f>IF(C49="aFRR+",damas_afrr_up*capacity_mult_A,damas_afrr_down*capacity_mult_A)</f>
        <v/>
      </c>
      <c r="E49" s="44">
        <f>acceptance_rate</f>
        <v/>
      </c>
      <c r="F49" s="13">
        <f>IF(C49="aFRR+",power_mw*hours_per_day*damas_afrr_up*capacity_mult_A*stack_capacity*acceptance_rate,power_mw*hours_per_day*damas_afrr_down*capacity_mult_A*stack_capacity*acceptance_rate)</f>
        <v/>
      </c>
      <c r="G49" s="42">
        <f>IF(C49="aFRR+",DAMAS_Daily!I49,DAMAS_Daily!J49)</f>
        <v/>
      </c>
      <c r="H49" s="43">
        <f>IF(C49="aFRR+",DAMAS_Daily!E49,DAMAS_Daily!F49)</f>
        <v/>
      </c>
      <c r="I49" s="43">
        <f>IF(C49="aFRR+",DAMAS_Daily!G49,DAMAS_Daily!H49)</f>
        <v/>
      </c>
      <c r="J49" s="45">
        <f>IF(C49="aFRR+",DAMAS_Daily!C49,DAMAS_Daily!D49)</f>
        <v/>
      </c>
      <c r="K49" s="45">
        <f>IF(C49="aFRR+",MIN(DAMAS_Daily!C49*market_share_A*acceptance_rate*stack_activation,power_mw*hours_per_day,capacity_mwh),MIN(DAMAS_Daily!D49*market_share_A*acceptance_rate*stack_activation,power_mw*hours_per_day,capacity_mwh))</f>
        <v/>
      </c>
      <c r="L49" s="42">
        <f>IF(K49&gt;=capacity_mwh-0.01,"yes","no")</f>
        <v/>
      </c>
      <c r="M49" s="13">
        <f>IF(C49="aFRR+",(MIN(DAMAS_Daily!C49*market_share_A*acceptance_rate*stack_activation,power_mw*hours_per_day,capacity_mwh))*DAMAS_Daily!E49*activation_mult_A,(MIN(DAMAS_Daily!D49*market_share_A*acceptance_rate*stack_activation,power_mw*hours_per_day,capacity_mwh))*DAMAS_Daily!F49*activation_mult_A)</f>
        <v/>
      </c>
      <c r="N49" s="14">
        <f>F49+M49</f>
        <v/>
      </c>
    </row>
    <row r="50">
      <c r="A50" s="41">
        <f>DAMAS_Daily!A50</f>
        <v/>
      </c>
      <c r="B50" s="42">
        <f>DAMAS_Daily!B50</f>
        <v/>
      </c>
      <c r="C50" s="42">
        <f>IF((power_mw*hours_per_day*damas_afrr_up*capacity_mult_A*stack_capacity*acceptance_rate+(MIN(DAMAS_Daily!C50*market_share_A*acceptance_rate*stack_activation,power_mw*hours_per_day,capacity_mwh))*DAMAS_Daily!E50*activation_mult_A)&gt;=(power_mw*hours_per_day*damas_afrr_down*capacity_mult_A*stack_capacity*acceptance_rate+(MIN(DAMAS_Daily!D50*market_share_A*acceptance_rate*stack_activation,power_mw*hours_per_day,capacity_mwh))*DAMAS_Daily!F50*activation_mult_A),"aFRR+","aFRR-")</f>
        <v/>
      </c>
      <c r="D50" s="43">
        <f>IF(C50="aFRR+",damas_afrr_up*capacity_mult_A,damas_afrr_down*capacity_mult_A)</f>
        <v/>
      </c>
      <c r="E50" s="44">
        <f>acceptance_rate</f>
        <v/>
      </c>
      <c r="F50" s="13">
        <f>IF(C50="aFRR+",power_mw*hours_per_day*damas_afrr_up*capacity_mult_A*stack_capacity*acceptance_rate,power_mw*hours_per_day*damas_afrr_down*capacity_mult_A*stack_capacity*acceptance_rate)</f>
        <v/>
      </c>
      <c r="G50" s="42">
        <f>IF(C50="aFRR+",DAMAS_Daily!I50,DAMAS_Daily!J50)</f>
        <v/>
      </c>
      <c r="H50" s="43">
        <f>IF(C50="aFRR+",DAMAS_Daily!E50,DAMAS_Daily!F50)</f>
        <v/>
      </c>
      <c r="I50" s="43">
        <f>IF(C50="aFRR+",DAMAS_Daily!G50,DAMAS_Daily!H50)</f>
        <v/>
      </c>
      <c r="J50" s="45">
        <f>IF(C50="aFRR+",DAMAS_Daily!C50,DAMAS_Daily!D50)</f>
        <v/>
      </c>
      <c r="K50" s="45">
        <f>IF(C50="aFRR+",MIN(DAMAS_Daily!C50*market_share_A*acceptance_rate*stack_activation,power_mw*hours_per_day,capacity_mwh),MIN(DAMAS_Daily!D50*market_share_A*acceptance_rate*stack_activation,power_mw*hours_per_day,capacity_mwh))</f>
        <v/>
      </c>
      <c r="L50" s="42">
        <f>IF(K50&gt;=capacity_mwh-0.01,"yes","no")</f>
        <v/>
      </c>
      <c r="M50" s="13">
        <f>IF(C50="aFRR+",(MIN(DAMAS_Daily!C50*market_share_A*acceptance_rate*stack_activation,power_mw*hours_per_day,capacity_mwh))*DAMAS_Daily!E50*activation_mult_A,(MIN(DAMAS_Daily!D50*market_share_A*acceptance_rate*stack_activation,power_mw*hours_per_day,capacity_mwh))*DAMAS_Daily!F50*activation_mult_A)</f>
        <v/>
      </c>
      <c r="N50" s="14">
        <f>F50+M50</f>
        <v/>
      </c>
    </row>
    <row r="51">
      <c r="A51" s="41">
        <f>DAMAS_Daily!A51</f>
        <v/>
      </c>
      <c r="B51" s="42">
        <f>DAMAS_Daily!B51</f>
        <v/>
      </c>
      <c r="C51" s="42">
        <f>IF((power_mw*hours_per_day*damas_afrr_up*capacity_mult_A*stack_capacity*acceptance_rate+(MIN(DAMAS_Daily!C51*market_share_A*acceptance_rate*stack_activation,power_mw*hours_per_day,capacity_mwh))*DAMAS_Daily!E51*activation_mult_A)&gt;=(power_mw*hours_per_day*damas_afrr_down*capacity_mult_A*stack_capacity*acceptance_rate+(MIN(DAMAS_Daily!D51*market_share_A*acceptance_rate*stack_activation,power_mw*hours_per_day,capacity_mwh))*DAMAS_Daily!F51*activation_mult_A),"aFRR+","aFRR-")</f>
        <v/>
      </c>
      <c r="D51" s="43">
        <f>IF(C51="aFRR+",damas_afrr_up*capacity_mult_A,damas_afrr_down*capacity_mult_A)</f>
        <v/>
      </c>
      <c r="E51" s="44">
        <f>acceptance_rate</f>
        <v/>
      </c>
      <c r="F51" s="13">
        <f>IF(C51="aFRR+",power_mw*hours_per_day*damas_afrr_up*capacity_mult_A*stack_capacity*acceptance_rate,power_mw*hours_per_day*damas_afrr_down*capacity_mult_A*stack_capacity*acceptance_rate)</f>
        <v/>
      </c>
      <c r="G51" s="42">
        <f>IF(C51="aFRR+",DAMAS_Daily!I51,DAMAS_Daily!J51)</f>
        <v/>
      </c>
      <c r="H51" s="43">
        <f>IF(C51="aFRR+",DAMAS_Daily!E51,DAMAS_Daily!F51)</f>
        <v/>
      </c>
      <c r="I51" s="43">
        <f>IF(C51="aFRR+",DAMAS_Daily!G51,DAMAS_Daily!H51)</f>
        <v/>
      </c>
      <c r="J51" s="45">
        <f>IF(C51="aFRR+",DAMAS_Daily!C51,DAMAS_Daily!D51)</f>
        <v/>
      </c>
      <c r="K51" s="45">
        <f>IF(C51="aFRR+",MIN(DAMAS_Daily!C51*market_share_A*acceptance_rate*stack_activation,power_mw*hours_per_day,capacity_mwh),MIN(DAMAS_Daily!D51*market_share_A*acceptance_rate*stack_activation,power_mw*hours_per_day,capacity_mwh))</f>
        <v/>
      </c>
      <c r="L51" s="42">
        <f>IF(K51&gt;=capacity_mwh-0.01,"yes","no")</f>
        <v/>
      </c>
      <c r="M51" s="13">
        <f>IF(C51="aFRR+",(MIN(DAMAS_Daily!C51*market_share_A*acceptance_rate*stack_activation,power_mw*hours_per_day,capacity_mwh))*DAMAS_Daily!E51*activation_mult_A,(MIN(DAMAS_Daily!D51*market_share_A*acceptance_rate*stack_activation,power_mw*hours_per_day,capacity_mwh))*DAMAS_Daily!F51*activation_mult_A)</f>
        <v/>
      </c>
      <c r="N51" s="14">
        <f>F51+M51</f>
        <v/>
      </c>
    </row>
    <row r="52">
      <c r="A52" s="41">
        <f>DAMAS_Daily!A52</f>
        <v/>
      </c>
      <c r="B52" s="42">
        <f>DAMAS_Daily!B52</f>
        <v/>
      </c>
      <c r="C52" s="42">
        <f>IF((power_mw*hours_per_day*damas_afrr_up*capacity_mult_A*stack_capacity*acceptance_rate+(MIN(DAMAS_Daily!C52*market_share_A*acceptance_rate*stack_activation,power_mw*hours_per_day,capacity_mwh))*DAMAS_Daily!E52*activation_mult_A)&gt;=(power_mw*hours_per_day*damas_afrr_down*capacity_mult_A*stack_capacity*acceptance_rate+(MIN(DAMAS_Daily!D52*market_share_A*acceptance_rate*stack_activation,power_mw*hours_per_day,capacity_mwh))*DAMAS_Daily!F52*activation_mult_A),"aFRR+","aFRR-")</f>
        <v/>
      </c>
      <c r="D52" s="43">
        <f>IF(C52="aFRR+",damas_afrr_up*capacity_mult_A,damas_afrr_down*capacity_mult_A)</f>
        <v/>
      </c>
      <c r="E52" s="44">
        <f>acceptance_rate</f>
        <v/>
      </c>
      <c r="F52" s="13">
        <f>IF(C52="aFRR+",power_mw*hours_per_day*damas_afrr_up*capacity_mult_A*stack_capacity*acceptance_rate,power_mw*hours_per_day*damas_afrr_down*capacity_mult_A*stack_capacity*acceptance_rate)</f>
        <v/>
      </c>
      <c r="G52" s="42">
        <f>IF(C52="aFRR+",DAMAS_Daily!I52,DAMAS_Daily!J52)</f>
        <v/>
      </c>
      <c r="H52" s="43">
        <f>IF(C52="aFRR+",DAMAS_Daily!E52,DAMAS_Daily!F52)</f>
        <v/>
      </c>
      <c r="I52" s="43">
        <f>IF(C52="aFRR+",DAMAS_Daily!G52,DAMAS_Daily!H52)</f>
        <v/>
      </c>
      <c r="J52" s="45">
        <f>IF(C52="aFRR+",DAMAS_Daily!C52,DAMAS_Daily!D52)</f>
        <v/>
      </c>
      <c r="K52" s="45">
        <f>IF(C52="aFRR+",MIN(DAMAS_Daily!C52*market_share_A*acceptance_rate*stack_activation,power_mw*hours_per_day,capacity_mwh),MIN(DAMAS_Daily!D52*market_share_A*acceptance_rate*stack_activation,power_mw*hours_per_day,capacity_mwh))</f>
        <v/>
      </c>
      <c r="L52" s="42">
        <f>IF(K52&gt;=capacity_mwh-0.01,"yes","no")</f>
        <v/>
      </c>
      <c r="M52" s="13">
        <f>IF(C52="aFRR+",(MIN(DAMAS_Daily!C52*market_share_A*acceptance_rate*stack_activation,power_mw*hours_per_day,capacity_mwh))*DAMAS_Daily!E52*activation_mult_A,(MIN(DAMAS_Daily!D52*market_share_A*acceptance_rate*stack_activation,power_mw*hours_per_day,capacity_mwh))*DAMAS_Daily!F52*activation_mult_A)</f>
        <v/>
      </c>
      <c r="N52" s="14">
        <f>F52+M52</f>
        <v/>
      </c>
    </row>
    <row r="53">
      <c r="A53" s="41">
        <f>DAMAS_Daily!A53</f>
        <v/>
      </c>
      <c r="B53" s="42">
        <f>DAMAS_Daily!B53</f>
        <v/>
      </c>
      <c r="C53" s="42">
        <f>IF((power_mw*hours_per_day*damas_afrr_up*capacity_mult_A*stack_capacity*acceptance_rate+(MIN(DAMAS_Daily!C53*market_share_A*acceptance_rate*stack_activation,power_mw*hours_per_day,capacity_mwh))*DAMAS_Daily!E53*activation_mult_A)&gt;=(power_mw*hours_per_day*damas_afrr_down*capacity_mult_A*stack_capacity*acceptance_rate+(MIN(DAMAS_Daily!D53*market_share_A*acceptance_rate*stack_activation,power_mw*hours_per_day,capacity_mwh))*DAMAS_Daily!F53*activation_mult_A),"aFRR+","aFRR-")</f>
        <v/>
      </c>
      <c r="D53" s="43">
        <f>IF(C53="aFRR+",damas_afrr_up*capacity_mult_A,damas_afrr_down*capacity_mult_A)</f>
        <v/>
      </c>
      <c r="E53" s="44">
        <f>acceptance_rate</f>
        <v/>
      </c>
      <c r="F53" s="13">
        <f>IF(C53="aFRR+",power_mw*hours_per_day*damas_afrr_up*capacity_mult_A*stack_capacity*acceptance_rate,power_mw*hours_per_day*damas_afrr_down*capacity_mult_A*stack_capacity*acceptance_rate)</f>
        <v/>
      </c>
      <c r="G53" s="42">
        <f>IF(C53="aFRR+",DAMAS_Daily!I53,DAMAS_Daily!J53)</f>
        <v/>
      </c>
      <c r="H53" s="43">
        <f>IF(C53="aFRR+",DAMAS_Daily!E53,DAMAS_Daily!F53)</f>
        <v/>
      </c>
      <c r="I53" s="43">
        <f>IF(C53="aFRR+",DAMAS_Daily!G53,DAMAS_Daily!H53)</f>
        <v/>
      </c>
      <c r="J53" s="45">
        <f>IF(C53="aFRR+",DAMAS_Daily!C53,DAMAS_Daily!D53)</f>
        <v/>
      </c>
      <c r="K53" s="45">
        <f>IF(C53="aFRR+",MIN(DAMAS_Daily!C53*market_share_A*acceptance_rate*stack_activation,power_mw*hours_per_day,capacity_mwh),MIN(DAMAS_Daily!D53*market_share_A*acceptance_rate*stack_activation,power_mw*hours_per_day,capacity_mwh))</f>
        <v/>
      </c>
      <c r="L53" s="42">
        <f>IF(K53&gt;=capacity_mwh-0.01,"yes","no")</f>
        <v/>
      </c>
      <c r="M53" s="13">
        <f>IF(C53="aFRR+",(MIN(DAMAS_Daily!C53*market_share_A*acceptance_rate*stack_activation,power_mw*hours_per_day,capacity_mwh))*DAMAS_Daily!E53*activation_mult_A,(MIN(DAMAS_Daily!D53*market_share_A*acceptance_rate*stack_activation,power_mw*hours_per_day,capacity_mwh))*DAMAS_Daily!F53*activation_mult_A)</f>
        <v/>
      </c>
      <c r="N53" s="14">
        <f>F53+M53</f>
        <v/>
      </c>
    </row>
    <row r="54">
      <c r="A54" s="41">
        <f>DAMAS_Daily!A54</f>
        <v/>
      </c>
      <c r="B54" s="42">
        <f>DAMAS_Daily!B54</f>
        <v/>
      </c>
      <c r="C54" s="42">
        <f>IF((power_mw*hours_per_day*damas_afrr_up*capacity_mult_A*stack_capacity*acceptance_rate+(MIN(DAMAS_Daily!C54*market_share_A*acceptance_rate*stack_activation,power_mw*hours_per_day,capacity_mwh))*DAMAS_Daily!E54*activation_mult_A)&gt;=(power_mw*hours_per_day*damas_afrr_down*capacity_mult_A*stack_capacity*acceptance_rate+(MIN(DAMAS_Daily!D54*market_share_A*acceptance_rate*stack_activation,power_mw*hours_per_day,capacity_mwh))*DAMAS_Daily!F54*activation_mult_A),"aFRR+","aFRR-")</f>
        <v/>
      </c>
      <c r="D54" s="43">
        <f>IF(C54="aFRR+",damas_afrr_up*capacity_mult_A,damas_afrr_down*capacity_mult_A)</f>
        <v/>
      </c>
      <c r="E54" s="44">
        <f>acceptance_rate</f>
        <v/>
      </c>
      <c r="F54" s="13">
        <f>IF(C54="aFRR+",power_mw*hours_per_day*damas_afrr_up*capacity_mult_A*stack_capacity*acceptance_rate,power_mw*hours_per_day*damas_afrr_down*capacity_mult_A*stack_capacity*acceptance_rate)</f>
        <v/>
      </c>
      <c r="G54" s="42">
        <f>IF(C54="aFRR+",DAMAS_Daily!I54,DAMAS_Daily!J54)</f>
        <v/>
      </c>
      <c r="H54" s="43">
        <f>IF(C54="aFRR+",DAMAS_Daily!E54,DAMAS_Daily!F54)</f>
        <v/>
      </c>
      <c r="I54" s="43">
        <f>IF(C54="aFRR+",DAMAS_Daily!G54,DAMAS_Daily!H54)</f>
        <v/>
      </c>
      <c r="J54" s="45">
        <f>IF(C54="aFRR+",DAMAS_Daily!C54,DAMAS_Daily!D54)</f>
        <v/>
      </c>
      <c r="K54" s="45">
        <f>IF(C54="aFRR+",MIN(DAMAS_Daily!C54*market_share_A*acceptance_rate*stack_activation,power_mw*hours_per_day,capacity_mwh),MIN(DAMAS_Daily!D54*market_share_A*acceptance_rate*stack_activation,power_mw*hours_per_day,capacity_mwh))</f>
        <v/>
      </c>
      <c r="L54" s="42">
        <f>IF(K54&gt;=capacity_mwh-0.01,"yes","no")</f>
        <v/>
      </c>
      <c r="M54" s="13">
        <f>IF(C54="aFRR+",(MIN(DAMAS_Daily!C54*market_share_A*acceptance_rate*stack_activation,power_mw*hours_per_day,capacity_mwh))*DAMAS_Daily!E54*activation_mult_A,(MIN(DAMAS_Daily!D54*market_share_A*acceptance_rate*stack_activation,power_mw*hours_per_day,capacity_mwh))*DAMAS_Daily!F54*activation_mult_A)</f>
        <v/>
      </c>
      <c r="N54" s="14">
        <f>F54+M54</f>
        <v/>
      </c>
    </row>
    <row r="55">
      <c r="A55" s="41">
        <f>DAMAS_Daily!A55</f>
        <v/>
      </c>
      <c r="B55" s="42">
        <f>DAMAS_Daily!B55</f>
        <v/>
      </c>
      <c r="C55" s="42">
        <f>IF((power_mw*hours_per_day*damas_afrr_up*capacity_mult_A*stack_capacity*acceptance_rate+(MIN(DAMAS_Daily!C55*market_share_A*acceptance_rate*stack_activation,power_mw*hours_per_day,capacity_mwh))*DAMAS_Daily!E55*activation_mult_A)&gt;=(power_mw*hours_per_day*damas_afrr_down*capacity_mult_A*stack_capacity*acceptance_rate+(MIN(DAMAS_Daily!D55*market_share_A*acceptance_rate*stack_activation,power_mw*hours_per_day,capacity_mwh))*DAMAS_Daily!F55*activation_mult_A),"aFRR+","aFRR-")</f>
        <v/>
      </c>
      <c r="D55" s="43">
        <f>IF(C55="aFRR+",damas_afrr_up*capacity_mult_A,damas_afrr_down*capacity_mult_A)</f>
        <v/>
      </c>
      <c r="E55" s="44">
        <f>acceptance_rate</f>
        <v/>
      </c>
      <c r="F55" s="13">
        <f>IF(C55="aFRR+",power_mw*hours_per_day*damas_afrr_up*capacity_mult_A*stack_capacity*acceptance_rate,power_mw*hours_per_day*damas_afrr_down*capacity_mult_A*stack_capacity*acceptance_rate)</f>
        <v/>
      </c>
      <c r="G55" s="42">
        <f>IF(C55="aFRR+",DAMAS_Daily!I55,DAMAS_Daily!J55)</f>
        <v/>
      </c>
      <c r="H55" s="43">
        <f>IF(C55="aFRR+",DAMAS_Daily!E55,DAMAS_Daily!F55)</f>
        <v/>
      </c>
      <c r="I55" s="43">
        <f>IF(C55="aFRR+",DAMAS_Daily!G55,DAMAS_Daily!H55)</f>
        <v/>
      </c>
      <c r="J55" s="45">
        <f>IF(C55="aFRR+",DAMAS_Daily!C55,DAMAS_Daily!D55)</f>
        <v/>
      </c>
      <c r="K55" s="45">
        <f>IF(C55="aFRR+",MIN(DAMAS_Daily!C55*market_share_A*acceptance_rate*stack_activation,power_mw*hours_per_day,capacity_mwh),MIN(DAMAS_Daily!D55*market_share_A*acceptance_rate*stack_activation,power_mw*hours_per_day,capacity_mwh))</f>
        <v/>
      </c>
      <c r="L55" s="42">
        <f>IF(K55&gt;=capacity_mwh-0.01,"yes","no")</f>
        <v/>
      </c>
      <c r="M55" s="13">
        <f>IF(C55="aFRR+",(MIN(DAMAS_Daily!C55*market_share_A*acceptance_rate*stack_activation,power_mw*hours_per_day,capacity_mwh))*DAMAS_Daily!E55*activation_mult_A,(MIN(DAMAS_Daily!D55*market_share_A*acceptance_rate*stack_activation,power_mw*hours_per_day,capacity_mwh))*DAMAS_Daily!F55*activation_mult_A)</f>
        <v/>
      </c>
      <c r="N55" s="14">
        <f>F55+M55</f>
        <v/>
      </c>
    </row>
    <row r="56">
      <c r="A56" s="41">
        <f>DAMAS_Daily!A56</f>
        <v/>
      </c>
      <c r="B56" s="42">
        <f>DAMAS_Daily!B56</f>
        <v/>
      </c>
      <c r="C56" s="42">
        <f>IF((power_mw*hours_per_day*damas_afrr_up*capacity_mult_A*stack_capacity*acceptance_rate+(MIN(DAMAS_Daily!C56*market_share_A*acceptance_rate*stack_activation,power_mw*hours_per_day,capacity_mwh))*DAMAS_Daily!E56*activation_mult_A)&gt;=(power_mw*hours_per_day*damas_afrr_down*capacity_mult_A*stack_capacity*acceptance_rate+(MIN(DAMAS_Daily!D56*market_share_A*acceptance_rate*stack_activation,power_mw*hours_per_day,capacity_mwh))*DAMAS_Daily!F56*activation_mult_A),"aFRR+","aFRR-")</f>
        <v/>
      </c>
      <c r="D56" s="43">
        <f>IF(C56="aFRR+",damas_afrr_up*capacity_mult_A,damas_afrr_down*capacity_mult_A)</f>
        <v/>
      </c>
      <c r="E56" s="44">
        <f>acceptance_rate</f>
        <v/>
      </c>
      <c r="F56" s="13">
        <f>IF(C56="aFRR+",power_mw*hours_per_day*damas_afrr_up*capacity_mult_A*stack_capacity*acceptance_rate,power_mw*hours_per_day*damas_afrr_down*capacity_mult_A*stack_capacity*acceptance_rate)</f>
        <v/>
      </c>
      <c r="G56" s="42">
        <f>IF(C56="aFRR+",DAMAS_Daily!I56,DAMAS_Daily!J56)</f>
        <v/>
      </c>
      <c r="H56" s="43">
        <f>IF(C56="aFRR+",DAMAS_Daily!E56,DAMAS_Daily!F56)</f>
        <v/>
      </c>
      <c r="I56" s="43">
        <f>IF(C56="aFRR+",DAMAS_Daily!G56,DAMAS_Daily!H56)</f>
        <v/>
      </c>
      <c r="J56" s="45">
        <f>IF(C56="aFRR+",DAMAS_Daily!C56,DAMAS_Daily!D56)</f>
        <v/>
      </c>
      <c r="K56" s="45">
        <f>IF(C56="aFRR+",MIN(DAMAS_Daily!C56*market_share_A*acceptance_rate*stack_activation,power_mw*hours_per_day,capacity_mwh),MIN(DAMAS_Daily!D56*market_share_A*acceptance_rate*stack_activation,power_mw*hours_per_day,capacity_mwh))</f>
        <v/>
      </c>
      <c r="L56" s="42">
        <f>IF(K56&gt;=capacity_mwh-0.01,"yes","no")</f>
        <v/>
      </c>
      <c r="M56" s="13">
        <f>IF(C56="aFRR+",(MIN(DAMAS_Daily!C56*market_share_A*acceptance_rate*stack_activation,power_mw*hours_per_day,capacity_mwh))*DAMAS_Daily!E56*activation_mult_A,(MIN(DAMAS_Daily!D56*market_share_A*acceptance_rate*stack_activation,power_mw*hours_per_day,capacity_mwh))*DAMAS_Daily!F56*activation_mult_A)</f>
        <v/>
      </c>
      <c r="N56" s="14">
        <f>F56+M56</f>
        <v/>
      </c>
    </row>
    <row r="57">
      <c r="A57" s="41">
        <f>DAMAS_Daily!A57</f>
        <v/>
      </c>
      <c r="B57" s="42">
        <f>DAMAS_Daily!B57</f>
        <v/>
      </c>
      <c r="C57" s="42">
        <f>IF((power_mw*hours_per_day*damas_afrr_up*capacity_mult_A*stack_capacity*acceptance_rate+(MIN(DAMAS_Daily!C57*market_share_A*acceptance_rate*stack_activation,power_mw*hours_per_day,capacity_mwh))*DAMAS_Daily!E57*activation_mult_A)&gt;=(power_mw*hours_per_day*damas_afrr_down*capacity_mult_A*stack_capacity*acceptance_rate+(MIN(DAMAS_Daily!D57*market_share_A*acceptance_rate*stack_activation,power_mw*hours_per_day,capacity_mwh))*DAMAS_Daily!F57*activation_mult_A),"aFRR+","aFRR-")</f>
        <v/>
      </c>
      <c r="D57" s="43">
        <f>IF(C57="aFRR+",damas_afrr_up*capacity_mult_A,damas_afrr_down*capacity_mult_A)</f>
        <v/>
      </c>
      <c r="E57" s="44">
        <f>acceptance_rate</f>
        <v/>
      </c>
      <c r="F57" s="13">
        <f>IF(C57="aFRR+",power_mw*hours_per_day*damas_afrr_up*capacity_mult_A*stack_capacity*acceptance_rate,power_mw*hours_per_day*damas_afrr_down*capacity_mult_A*stack_capacity*acceptance_rate)</f>
        <v/>
      </c>
      <c r="G57" s="42">
        <f>IF(C57="aFRR+",DAMAS_Daily!I57,DAMAS_Daily!J57)</f>
        <v/>
      </c>
      <c r="H57" s="43">
        <f>IF(C57="aFRR+",DAMAS_Daily!E57,DAMAS_Daily!F57)</f>
        <v/>
      </c>
      <c r="I57" s="43">
        <f>IF(C57="aFRR+",DAMAS_Daily!G57,DAMAS_Daily!H57)</f>
        <v/>
      </c>
      <c r="J57" s="45">
        <f>IF(C57="aFRR+",DAMAS_Daily!C57,DAMAS_Daily!D57)</f>
        <v/>
      </c>
      <c r="K57" s="45">
        <f>IF(C57="aFRR+",MIN(DAMAS_Daily!C57*market_share_A*acceptance_rate*stack_activation,power_mw*hours_per_day,capacity_mwh),MIN(DAMAS_Daily!D57*market_share_A*acceptance_rate*stack_activation,power_mw*hours_per_day,capacity_mwh))</f>
        <v/>
      </c>
      <c r="L57" s="42">
        <f>IF(K57&gt;=capacity_mwh-0.01,"yes","no")</f>
        <v/>
      </c>
      <c r="M57" s="13">
        <f>IF(C57="aFRR+",(MIN(DAMAS_Daily!C57*market_share_A*acceptance_rate*stack_activation,power_mw*hours_per_day,capacity_mwh))*DAMAS_Daily!E57*activation_mult_A,(MIN(DAMAS_Daily!D57*market_share_A*acceptance_rate*stack_activation,power_mw*hours_per_day,capacity_mwh))*DAMAS_Daily!F57*activation_mult_A)</f>
        <v/>
      </c>
      <c r="N57" s="14">
        <f>F57+M57</f>
        <v/>
      </c>
    </row>
    <row r="58">
      <c r="A58" s="41">
        <f>DAMAS_Daily!A58</f>
        <v/>
      </c>
      <c r="B58" s="42">
        <f>DAMAS_Daily!B58</f>
        <v/>
      </c>
      <c r="C58" s="42">
        <f>IF((power_mw*hours_per_day*damas_afrr_up*capacity_mult_A*stack_capacity*acceptance_rate+(MIN(DAMAS_Daily!C58*market_share_A*acceptance_rate*stack_activation,power_mw*hours_per_day,capacity_mwh))*DAMAS_Daily!E58*activation_mult_A)&gt;=(power_mw*hours_per_day*damas_afrr_down*capacity_mult_A*stack_capacity*acceptance_rate+(MIN(DAMAS_Daily!D58*market_share_A*acceptance_rate*stack_activation,power_mw*hours_per_day,capacity_mwh))*DAMAS_Daily!F58*activation_mult_A),"aFRR+","aFRR-")</f>
        <v/>
      </c>
      <c r="D58" s="43">
        <f>IF(C58="aFRR+",damas_afrr_up*capacity_mult_A,damas_afrr_down*capacity_mult_A)</f>
        <v/>
      </c>
      <c r="E58" s="44">
        <f>acceptance_rate</f>
        <v/>
      </c>
      <c r="F58" s="13">
        <f>IF(C58="aFRR+",power_mw*hours_per_day*damas_afrr_up*capacity_mult_A*stack_capacity*acceptance_rate,power_mw*hours_per_day*damas_afrr_down*capacity_mult_A*stack_capacity*acceptance_rate)</f>
        <v/>
      </c>
      <c r="G58" s="42">
        <f>IF(C58="aFRR+",DAMAS_Daily!I58,DAMAS_Daily!J58)</f>
        <v/>
      </c>
      <c r="H58" s="43">
        <f>IF(C58="aFRR+",DAMAS_Daily!E58,DAMAS_Daily!F58)</f>
        <v/>
      </c>
      <c r="I58" s="43">
        <f>IF(C58="aFRR+",DAMAS_Daily!G58,DAMAS_Daily!H58)</f>
        <v/>
      </c>
      <c r="J58" s="45">
        <f>IF(C58="aFRR+",DAMAS_Daily!C58,DAMAS_Daily!D58)</f>
        <v/>
      </c>
      <c r="K58" s="45">
        <f>IF(C58="aFRR+",MIN(DAMAS_Daily!C58*market_share_A*acceptance_rate*stack_activation,power_mw*hours_per_day,capacity_mwh),MIN(DAMAS_Daily!D58*market_share_A*acceptance_rate*stack_activation,power_mw*hours_per_day,capacity_mwh))</f>
        <v/>
      </c>
      <c r="L58" s="42">
        <f>IF(K58&gt;=capacity_mwh-0.01,"yes","no")</f>
        <v/>
      </c>
      <c r="M58" s="13">
        <f>IF(C58="aFRR+",(MIN(DAMAS_Daily!C58*market_share_A*acceptance_rate*stack_activation,power_mw*hours_per_day,capacity_mwh))*DAMAS_Daily!E58*activation_mult_A,(MIN(DAMAS_Daily!D58*market_share_A*acceptance_rate*stack_activation,power_mw*hours_per_day,capacity_mwh))*DAMAS_Daily!F58*activation_mult_A)</f>
        <v/>
      </c>
      <c r="N58" s="14">
        <f>F58+M58</f>
        <v/>
      </c>
    </row>
    <row r="59">
      <c r="A59" s="41">
        <f>DAMAS_Daily!A59</f>
        <v/>
      </c>
      <c r="B59" s="42">
        <f>DAMAS_Daily!B59</f>
        <v/>
      </c>
      <c r="C59" s="42">
        <f>IF((power_mw*hours_per_day*damas_afrr_up*capacity_mult_A*stack_capacity*acceptance_rate+(MIN(DAMAS_Daily!C59*market_share_A*acceptance_rate*stack_activation,power_mw*hours_per_day,capacity_mwh))*DAMAS_Daily!E59*activation_mult_A)&gt;=(power_mw*hours_per_day*damas_afrr_down*capacity_mult_A*stack_capacity*acceptance_rate+(MIN(DAMAS_Daily!D59*market_share_A*acceptance_rate*stack_activation,power_mw*hours_per_day,capacity_mwh))*DAMAS_Daily!F59*activation_mult_A),"aFRR+","aFRR-")</f>
        <v/>
      </c>
      <c r="D59" s="43">
        <f>IF(C59="aFRR+",damas_afrr_up*capacity_mult_A,damas_afrr_down*capacity_mult_A)</f>
        <v/>
      </c>
      <c r="E59" s="44">
        <f>acceptance_rate</f>
        <v/>
      </c>
      <c r="F59" s="13">
        <f>IF(C59="aFRR+",power_mw*hours_per_day*damas_afrr_up*capacity_mult_A*stack_capacity*acceptance_rate,power_mw*hours_per_day*damas_afrr_down*capacity_mult_A*stack_capacity*acceptance_rate)</f>
        <v/>
      </c>
      <c r="G59" s="42">
        <f>IF(C59="aFRR+",DAMAS_Daily!I59,DAMAS_Daily!J59)</f>
        <v/>
      </c>
      <c r="H59" s="43">
        <f>IF(C59="aFRR+",DAMAS_Daily!E59,DAMAS_Daily!F59)</f>
        <v/>
      </c>
      <c r="I59" s="43">
        <f>IF(C59="aFRR+",DAMAS_Daily!G59,DAMAS_Daily!H59)</f>
        <v/>
      </c>
      <c r="J59" s="45">
        <f>IF(C59="aFRR+",DAMAS_Daily!C59,DAMAS_Daily!D59)</f>
        <v/>
      </c>
      <c r="K59" s="45">
        <f>IF(C59="aFRR+",MIN(DAMAS_Daily!C59*market_share_A*acceptance_rate*stack_activation,power_mw*hours_per_day,capacity_mwh),MIN(DAMAS_Daily!D59*market_share_A*acceptance_rate*stack_activation,power_mw*hours_per_day,capacity_mwh))</f>
        <v/>
      </c>
      <c r="L59" s="42">
        <f>IF(K59&gt;=capacity_mwh-0.01,"yes","no")</f>
        <v/>
      </c>
      <c r="M59" s="13">
        <f>IF(C59="aFRR+",(MIN(DAMAS_Daily!C59*market_share_A*acceptance_rate*stack_activation,power_mw*hours_per_day,capacity_mwh))*DAMAS_Daily!E59*activation_mult_A,(MIN(DAMAS_Daily!D59*market_share_A*acceptance_rate*stack_activation,power_mw*hours_per_day,capacity_mwh))*DAMAS_Daily!F59*activation_mult_A)</f>
        <v/>
      </c>
      <c r="N59" s="14">
        <f>F59+M59</f>
        <v/>
      </c>
    </row>
    <row r="60">
      <c r="A60" s="41">
        <f>DAMAS_Daily!A60</f>
        <v/>
      </c>
      <c r="B60" s="42">
        <f>DAMAS_Daily!B60</f>
        <v/>
      </c>
      <c r="C60" s="42">
        <f>IF((power_mw*hours_per_day*damas_afrr_up*capacity_mult_A*stack_capacity*acceptance_rate+(MIN(DAMAS_Daily!C60*market_share_A*acceptance_rate*stack_activation,power_mw*hours_per_day,capacity_mwh))*DAMAS_Daily!E60*activation_mult_A)&gt;=(power_mw*hours_per_day*damas_afrr_down*capacity_mult_A*stack_capacity*acceptance_rate+(MIN(DAMAS_Daily!D60*market_share_A*acceptance_rate*stack_activation,power_mw*hours_per_day,capacity_mwh))*DAMAS_Daily!F60*activation_mult_A),"aFRR+","aFRR-")</f>
        <v/>
      </c>
      <c r="D60" s="43">
        <f>IF(C60="aFRR+",damas_afrr_up*capacity_mult_A,damas_afrr_down*capacity_mult_A)</f>
        <v/>
      </c>
      <c r="E60" s="44">
        <f>acceptance_rate</f>
        <v/>
      </c>
      <c r="F60" s="13">
        <f>IF(C60="aFRR+",power_mw*hours_per_day*damas_afrr_up*capacity_mult_A*stack_capacity*acceptance_rate,power_mw*hours_per_day*damas_afrr_down*capacity_mult_A*stack_capacity*acceptance_rate)</f>
        <v/>
      </c>
      <c r="G60" s="42">
        <f>IF(C60="aFRR+",DAMAS_Daily!I60,DAMAS_Daily!J60)</f>
        <v/>
      </c>
      <c r="H60" s="43">
        <f>IF(C60="aFRR+",DAMAS_Daily!E60,DAMAS_Daily!F60)</f>
        <v/>
      </c>
      <c r="I60" s="43">
        <f>IF(C60="aFRR+",DAMAS_Daily!G60,DAMAS_Daily!H60)</f>
        <v/>
      </c>
      <c r="J60" s="45">
        <f>IF(C60="aFRR+",DAMAS_Daily!C60,DAMAS_Daily!D60)</f>
        <v/>
      </c>
      <c r="K60" s="45">
        <f>IF(C60="aFRR+",MIN(DAMAS_Daily!C60*market_share_A*acceptance_rate*stack_activation,power_mw*hours_per_day,capacity_mwh),MIN(DAMAS_Daily!D60*market_share_A*acceptance_rate*stack_activation,power_mw*hours_per_day,capacity_mwh))</f>
        <v/>
      </c>
      <c r="L60" s="42">
        <f>IF(K60&gt;=capacity_mwh-0.01,"yes","no")</f>
        <v/>
      </c>
      <c r="M60" s="13">
        <f>IF(C60="aFRR+",(MIN(DAMAS_Daily!C60*market_share_A*acceptance_rate*stack_activation,power_mw*hours_per_day,capacity_mwh))*DAMAS_Daily!E60*activation_mult_A,(MIN(DAMAS_Daily!D60*market_share_A*acceptance_rate*stack_activation,power_mw*hours_per_day,capacity_mwh))*DAMAS_Daily!F60*activation_mult_A)</f>
        <v/>
      </c>
      <c r="N60" s="14">
        <f>F60+M60</f>
        <v/>
      </c>
    </row>
    <row r="61">
      <c r="A61" s="41">
        <f>DAMAS_Daily!A61</f>
        <v/>
      </c>
      <c r="B61" s="42">
        <f>DAMAS_Daily!B61</f>
        <v/>
      </c>
      <c r="C61" s="42">
        <f>IF((power_mw*hours_per_day*damas_afrr_up*capacity_mult_A*stack_capacity*acceptance_rate+(MIN(DAMAS_Daily!C61*market_share_A*acceptance_rate*stack_activation,power_mw*hours_per_day,capacity_mwh))*DAMAS_Daily!E61*activation_mult_A)&gt;=(power_mw*hours_per_day*damas_afrr_down*capacity_mult_A*stack_capacity*acceptance_rate+(MIN(DAMAS_Daily!D61*market_share_A*acceptance_rate*stack_activation,power_mw*hours_per_day,capacity_mwh))*DAMAS_Daily!F61*activation_mult_A),"aFRR+","aFRR-")</f>
        <v/>
      </c>
      <c r="D61" s="43">
        <f>IF(C61="aFRR+",damas_afrr_up*capacity_mult_A,damas_afrr_down*capacity_mult_A)</f>
        <v/>
      </c>
      <c r="E61" s="44">
        <f>acceptance_rate</f>
        <v/>
      </c>
      <c r="F61" s="13">
        <f>IF(C61="aFRR+",power_mw*hours_per_day*damas_afrr_up*capacity_mult_A*stack_capacity*acceptance_rate,power_mw*hours_per_day*damas_afrr_down*capacity_mult_A*stack_capacity*acceptance_rate)</f>
        <v/>
      </c>
      <c r="G61" s="42">
        <f>IF(C61="aFRR+",DAMAS_Daily!I61,DAMAS_Daily!J61)</f>
        <v/>
      </c>
      <c r="H61" s="43">
        <f>IF(C61="aFRR+",DAMAS_Daily!E61,DAMAS_Daily!F61)</f>
        <v/>
      </c>
      <c r="I61" s="43">
        <f>IF(C61="aFRR+",DAMAS_Daily!G61,DAMAS_Daily!H61)</f>
        <v/>
      </c>
      <c r="J61" s="45">
        <f>IF(C61="aFRR+",DAMAS_Daily!C61,DAMAS_Daily!D61)</f>
        <v/>
      </c>
      <c r="K61" s="45">
        <f>IF(C61="aFRR+",MIN(DAMAS_Daily!C61*market_share_A*acceptance_rate*stack_activation,power_mw*hours_per_day,capacity_mwh),MIN(DAMAS_Daily!D61*market_share_A*acceptance_rate*stack_activation,power_mw*hours_per_day,capacity_mwh))</f>
        <v/>
      </c>
      <c r="L61" s="42">
        <f>IF(K61&gt;=capacity_mwh-0.01,"yes","no")</f>
        <v/>
      </c>
      <c r="M61" s="13">
        <f>IF(C61="aFRR+",(MIN(DAMAS_Daily!C61*market_share_A*acceptance_rate*stack_activation,power_mw*hours_per_day,capacity_mwh))*DAMAS_Daily!E61*activation_mult_A,(MIN(DAMAS_Daily!D61*market_share_A*acceptance_rate*stack_activation,power_mw*hours_per_day,capacity_mwh))*DAMAS_Daily!F61*activation_mult_A)</f>
        <v/>
      </c>
      <c r="N61" s="14">
        <f>F61+M61</f>
        <v/>
      </c>
    </row>
    <row r="62">
      <c r="A62" s="41">
        <f>DAMAS_Daily!A62</f>
        <v/>
      </c>
      <c r="B62" s="42">
        <f>DAMAS_Daily!B62</f>
        <v/>
      </c>
      <c r="C62" s="42">
        <f>IF((power_mw*hours_per_day*damas_afrr_up*capacity_mult_A*stack_capacity*acceptance_rate+(MIN(DAMAS_Daily!C62*market_share_A*acceptance_rate*stack_activation,power_mw*hours_per_day,capacity_mwh))*DAMAS_Daily!E62*activation_mult_A)&gt;=(power_mw*hours_per_day*damas_afrr_down*capacity_mult_A*stack_capacity*acceptance_rate+(MIN(DAMAS_Daily!D62*market_share_A*acceptance_rate*stack_activation,power_mw*hours_per_day,capacity_mwh))*DAMAS_Daily!F62*activation_mult_A),"aFRR+","aFRR-")</f>
        <v/>
      </c>
      <c r="D62" s="43">
        <f>IF(C62="aFRR+",damas_afrr_up*capacity_mult_A,damas_afrr_down*capacity_mult_A)</f>
        <v/>
      </c>
      <c r="E62" s="44">
        <f>acceptance_rate</f>
        <v/>
      </c>
      <c r="F62" s="13">
        <f>IF(C62="aFRR+",power_mw*hours_per_day*damas_afrr_up*capacity_mult_A*stack_capacity*acceptance_rate,power_mw*hours_per_day*damas_afrr_down*capacity_mult_A*stack_capacity*acceptance_rate)</f>
        <v/>
      </c>
      <c r="G62" s="42">
        <f>IF(C62="aFRR+",DAMAS_Daily!I62,DAMAS_Daily!J62)</f>
        <v/>
      </c>
      <c r="H62" s="43">
        <f>IF(C62="aFRR+",DAMAS_Daily!E62,DAMAS_Daily!F62)</f>
        <v/>
      </c>
      <c r="I62" s="43">
        <f>IF(C62="aFRR+",DAMAS_Daily!G62,DAMAS_Daily!H62)</f>
        <v/>
      </c>
      <c r="J62" s="45">
        <f>IF(C62="aFRR+",DAMAS_Daily!C62,DAMAS_Daily!D62)</f>
        <v/>
      </c>
      <c r="K62" s="45">
        <f>IF(C62="aFRR+",MIN(DAMAS_Daily!C62*market_share_A*acceptance_rate*stack_activation,power_mw*hours_per_day,capacity_mwh),MIN(DAMAS_Daily!D62*market_share_A*acceptance_rate*stack_activation,power_mw*hours_per_day,capacity_mwh))</f>
        <v/>
      </c>
      <c r="L62" s="42">
        <f>IF(K62&gt;=capacity_mwh-0.01,"yes","no")</f>
        <v/>
      </c>
      <c r="M62" s="13">
        <f>IF(C62="aFRR+",(MIN(DAMAS_Daily!C62*market_share_A*acceptance_rate*stack_activation,power_mw*hours_per_day,capacity_mwh))*DAMAS_Daily!E62*activation_mult_A,(MIN(DAMAS_Daily!D62*market_share_A*acceptance_rate*stack_activation,power_mw*hours_per_day,capacity_mwh))*DAMAS_Daily!F62*activation_mult_A)</f>
        <v/>
      </c>
      <c r="N62" s="14">
        <f>F62+M62</f>
        <v/>
      </c>
    </row>
    <row r="63">
      <c r="A63" s="41">
        <f>DAMAS_Daily!A63</f>
        <v/>
      </c>
      <c r="B63" s="42">
        <f>DAMAS_Daily!B63</f>
        <v/>
      </c>
      <c r="C63" s="42">
        <f>IF((power_mw*hours_per_day*damas_afrr_up*capacity_mult_A*stack_capacity*acceptance_rate+(MIN(DAMAS_Daily!C63*market_share_A*acceptance_rate*stack_activation,power_mw*hours_per_day,capacity_mwh))*DAMAS_Daily!E63*activation_mult_A)&gt;=(power_mw*hours_per_day*damas_afrr_down*capacity_mult_A*stack_capacity*acceptance_rate+(MIN(DAMAS_Daily!D63*market_share_A*acceptance_rate*stack_activation,power_mw*hours_per_day,capacity_mwh))*DAMAS_Daily!F63*activation_mult_A),"aFRR+","aFRR-")</f>
        <v/>
      </c>
      <c r="D63" s="43">
        <f>IF(C63="aFRR+",damas_afrr_up*capacity_mult_A,damas_afrr_down*capacity_mult_A)</f>
        <v/>
      </c>
      <c r="E63" s="44">
        <f>acceptance_rate</f>
        <v/>
      </c>
      <c r="F63" s="13">
        <f>IF(C63="aFRR+",power_mw*hours_per_day*damas_afrr_up*capacity_mult_A*stack_capacity*acceptance_rate,power_mw*hours_per_day*damas_afrr_down*capacity_mult_A*stack_capacity*acceptance_rate)</f>
        <v/>
      </c>
      <c r="G63" s="42">
        <f>IF(C63="aFRR+",DAMAS_Daily!I63,DAMAS_Daily!J63)</f>
        <v/>
      </c>
      <c r="H63" s="43">
        <f>IF(C63="aFRR+",DAMAS_Daily!E63,DAMAS_Daily!F63)</f>
        <v/>
      </c>
      <c r="I63" s="43">
        <f>IF(C63="aFRR+",DAMAS_Daily!G63,DAMAS_Daily!H63)</f>
        <v/>
      </c>
      <c r="J63" s="45">
        <f>IF(C63="aFRR+",DAMAS_Daily!C63,DAMAS_Daily!D63)</f>
        <v/>
      </c>
      <c r="K63" s="45">
        <f>IF(C63="aFRR+",MIN(DAMAS_Daily!C63*market_share_A*acceptance_rate*stack_activation,power_mw*hours_per_day,capacity_mwh),MIN(DAMAS_Daily!D63*market_share_A*acceptance_rate*stack_activation,power_mw*hours_per_day,capacity_mwh))</f>
        <v/>
      </c>
      <c r="L63" s="42">
        <f>IF(K63&gt;=capacity_mwh-0.01,"yes","no")</f>
        <v/>
      </c>
      <c r="M63" s="13">
        <f>IF(C63="aFRR+",(MIN(DAMAS_Daily!C63*market_share_A*acceptance_rate*stack_activation,power_mw*hours_per_day,capacity_mwh))*DAMAS_Daily!E63*activation_mult_A,(MIN(DAMAS_Daily!D63*market_share_A*acceptance_rate*stack_activation,power_mw*hours_per_day,capacity_mwh))*DAMAS_Daily!F63*activation_mult_A)</f>
        <v/>
      </c>
      <c r="N63" s="14">
        <f>F63+M63</f>
        <v/>
      </c>
    </row>
    <row r="64">
      <c r="A64" s="41">
        <f>DAMAS_Daily!A64</f>
        <v/>
      </c>
      <c r="B64" s="42">
        <f>DAMAS_Daily!B64</f>
        <v/>
      </c>
      <c r="C64" s="42">
        <f>IF((power_mw*hours_per_day*damas_afrr_up*capacity_mult_A*stack_capacity*acceptance_rate+(MIN(DAMAS_Daily!C64*market_share_A*acceptance_rate*stack_activation,power_mw*hours_per_day,capacity_mwh))*DAMAS_Daily!E64*activation_mult_A)&gt;=(power_mw*hours_per_day*damas_afrr_down*capacity_mult_A*stack_capacity*acceptance_rate+(MIN(DAMAS_Daily!D64*market_share_A*acceptance_rate*stack_activation,power_mw*hours_per_day,capacity_mwh))*DAMAS_Daily!F64*activation_mult_A),"aFRR+","aFRR-")</f>
        <v/>
      </c>
      <c r="D64" s="43">
        <f>IF(C64="aFRR+",damas_afrr_up*capacity_mult_A,damas_afrr_down*capacity_mult_A)</f>
        <v/>
      </c>
      <c r="E64" s="44">
        <f>acceptance_rate</f>
        <v/>
      </c>
      <c r="F64" s="13">
        <f>IF(C64="aFRR+",power_mw*hours_per_day*damas_afrr_up*capacity_mult_A*stack_capacity*acceptance_rate,power_mw*hours_per_day*damas_afrr_down*capacity_mult_A*stack_capacity*acceptance_rate)</f>
        <v/>
      </c>
      <c r="G64" s="42">
        <f>IF(C64="aFRR+",DAMAS_Daily!I64,DAMAS_Daily!J64)</f>
        <v/>
      </c>
      <c r="H64" s="43">
        <f>IF(C64="aFRR+",DAMAS_Daily!E64,DAMAS_Daily!F64)</f>
        <v/>
      </c>
      <c r="I64" s="43">
        <f>IF(C64="aFRR+",DAMAS_Daily!G64,DAMAS_Daily!H64)</f>
        <v/>
      </c>
      <c r="J64" s="45">
        <f>IF(C64="aFRR+",DAMAS_Daily!C64,DAMAS_Daily!D64)</f>
        <v/>
      </c>
      <c r="K64" s="45">
        <f>IF(C64="aFRR+",MIN(DAMAS_Daily!C64*market_share_A*acceptance_rate*stack_activation,power_mw*hours_per_day,capacity_mwh),MIN(DAMAS_Daily!D64*market_share_A*acceptance_rate*stack_activation,power_mw*hours_per_day,capacity_mwh))</f>
        <v/>
      </c>
      <c r="L64" s="42">
        <f>IF(K64&gt;=capacity_mwh-0.01,"yes","no")</f>
        <v/>
      </c>
      <c r="M64" s="13">
        <f>IF(C64="aFRR+",(MIN(DAMAS_Daily!C64*market_share_A*acceptance_rate*stack_activation,power_mw*hours_per_day,capacity_mwh))*DAMAS_Daily!E64*activation_mult_A,(MIN(DAMAS_Daily!D64*market_share_A*acceptance_rate*stack_activation,power_mw*hours_per_day,capacity_mwh))*DAMAS_Daily!F64*activation_mult_A)</f>
        <v/>
      </c>
      <c r="N64" s="14">
        <f>F64+M64</f>
        <v/>
      </c>
    </row>
    <row r="65">
      <c r="A65" s="41">
        <f>DAMAS_Daily!A65</f>
        <v/>
      </c>
      <c r="B65" s="42">
        <f>DAMAS_Daily!B65</f>
        <v/>
      </c>
      <c r="C65" s="42">
        <f>IF((power_mw*hours_per_day*damas_afrr_up*capacity_mult_A*stack_capacity*acceptance_rate+(MIN(DAMAS_Daily!C65*market_share_A*acceptance_rate*stack_activation,power_mw*hours_per_day,capacity_mwh))*DAMAS_Daily!E65*activation_mult_A)&gt;=(power_mw*hours_per_day*damas_afrr_down*capacity_mult_A*stack_capacity*acceptance_rate+(MIN(DAMAS_Daily!D65*market_share_A*acceptance_rate*stack_activation,power_mw*hours_per_day,capacity_mwh))*DAMAS_Daily!F65*activation_mult_A),"aFRR+","aFRR-")</f>
        <v/>
      </c>
      <c r="D65" s="43">
        <f>IF(C65="aFRR+",damas_afrr_up*capacity_mult_A,damas_afrr_down*capacity_mult_A)</f>
        <v/>
      </c>
      <c r="E65" s="44">
        <f>acceptance_rate</f>
        <v/>
      </c>
      <c r="F65" s="13">
        <f>IF(C65="aFRR+",power_mw*hours_per_day*damas_afrr_up*capacity_mult_A*stack_capacity*acceptance_rate,power_mw*hours_per_day*damas_afrr_down*capacity_mult_A*stack_capacity*acceptance_rate)</f>
        <v/>
      </c>
      <c r="G65" s="42">
        <f>IF(C65="aFRR+",DAMAS_Daily!I65,DAMAS_Daily!J65)</f>
        <v/>
      </c>
      <c r="H65" s="43">
        <f>IF(C65="aFRR+",DAMAS_Daily!E65,DAMAS_Daily!F65)</f>
        <v/>
      </c>
      <c r="I65" s="43">
        <f>IF(C65="aFRR+",DAMAS_Daily!G65,DAMAS_Daily!H65)</f>
        <v/>
      </c>
      <c r="J65" s="45">
        <f>IF(C65="aFRR+",DAMAS_Daily!C65,DAMAS_Daily!D65)</f>
        <v/>
      </c>
      <c r="K65" s="45">
        <f>IF(C65="aFRR+",MIN(DAMAS_Daily!C65*market_share_A*acceptance_rate*stack_activation,power_mw*hours_per_day,capacity_mwh),MIN(DAMAS_Daily!D65*market_share_A*acceptance_rate*stack_activation,power_mw*hours_per_day,capacity_mwh))</f>
        <v/>
      </c>
      <c r="L65" s="42">
        <f>IF(K65&gt;=capacity_mwh-0.01,"yes","no")</f>
        <v/>
      </c>
      <c r="M65" s="13">
        <f>IF(C65="aFRR+",(MIN(DAMAS_Daily!C65*market_share_A*acceptance_rate*stack_activation,power_mw*hours_per_day,capacity_mwh))*DAMAS_Daily!E65*activation_mult_A,(MIN(DAMAS_Daily!D65*market_share_A*acceptance_rate*stack_activation,power_mw*hours_per_day,capacity_mwh))*DAMAS_Daily!F65*activation_mult_A)</f>
        <v/>
      </c>
      <c r="N65" s="14">
        <f>F65+M65</f>
        <v/>
      </c>
    </row>
    <row r="66">
      <c r="A66" s="41">
        <f>DAMAS_Daily!A66</f>
        <v/>
      </c>
      <c r="B66" s="42">
        <f>DAMAS_Daily!B66</f>
        <v/>
      </c>
      <c r="C66" s="42">
        <f>IF((power_mw*hours_per_day*damas_afrr_up*capacity_mult_A*stack_capacity*acceptance_rate+(MIN(DAMAS_Daily!C66*market_share_A*acceptance_rate*stack_activation,power_mw*hours_per_day,capacity_mwh))*DAMAS_Daily!E66*activation_mult_A)&gt;=(power_mw*hours_per_day*damas_afrr_down*capacity_mult_A*stack_capacity*acceptance_rate+(MIN(DAMAS_Daily!D66*market_share_A*acceptance_rate*stack_activation,power_mw*hours_per_day,capacity_mwh))*DAMAS_Daily!F66*activation_mult_A),"aFRR+","aFRR-")</f>
        <v/>
      </c>
      <c r="D66" s="43">
        <f>IF(C66="aFRR+",damas_afrr_up*capacity_mult_A,damas_afrr_down*capacity_mult_A)</f>
        <v/>
      </c>
      <c r="E66" s="44">
        <f>acceptance_rate</f>
        <v/>
      </c>
      <c r="F66" s="13">
        <f>IF(C66="aFRR+",power_mw*hours_per_day*damas_afrr_up*capacity_mult_A*stack_capacity*acceptance_rate,power_mw*hours_per_day*damas_afrr_down*capacity_mult_A*stack_capacity*acceptance_rate)</f>
        <v/>
      </c>
      <c r="G66" s="42">
        <f>IF(C66="aFRR+",DAMAS_Daily!I66,DAMAS_Daily!J66)</f>
        <v/>
      </c>
      <c r="H66" s="43">
        <f>IF(C66="aFRR+",DAMAS_Daily!E66,DAMAS_Daily!F66)</f>
        <v/>
      </c>
      <c r="I66" s="43">
        <f>IF(C66="aFRR+",DAMAS_Daily!G66,DAMAS_Daily!H66)</f>
        <v/>
      </c>
      <c r="J66" s="45">
        <f>IF(C66="aFRR+",DAMAS_Daily!C66,DAMAS_Daily!D66)</f>
        <v/>
      </c>
      <c r="K66" s="45">
        <f>IF(C66="aFRR+",MIN(DAMAS_Daily!C66*market_share_A*acceptance_rate*stack_activation,power_mw*hours_per_day,capacity_mwh),MIN(DAMAS_Daily!D66*market_share_A*acceptance_rate*stack_activation,power_mw*hours_per_day,capacity_mwh))</f>
        <v/>
      </c>
      <c r="L66" s="42">
        <f>IF(K66&gt;=capacity_mwh-0.01,"yes","no")</f>
        <v/>
      </c>
      <c r="M66" s="13">
        <f>IF(C66="aFRR+",(MIN(DAMAS_Daily!C66*market_share_A*acceptance_rate*stack_activation,power_mw*hours_per_day,capacity_mwh))*DAMAS_Daily!E66*activation_mult_A,(MIN(DAMAS_Daily!D66*market_share_A*acceptance_rate*stack_activation,power_mw*hours_per_day,capacity_mwh))*DAMAS_Daily!F66*activation_mult_A)</f>
        <v/>
      </c>
      <c r="N66" s="14">
        <f>F66+M66</f>
        <v/>
      </c>
    </row>
    <row r="67">
      <c r="A67" s="41">
        <f>DAMAS_Daily!A67</f>
        <v/>
      </c>
      <c r="B67" s="42">
        <f>DAMAS_Daily!B67</f>
        <v/>
      </c>
      <c r="C67" s="42">
        <f>IF((power_mw*hours_per_day*damas_afrr_up*capacity_mult_A*stack_capacity*acceptance_rate+(MIN(DAMAS_Daily!C67*market_share_A*acceptance_rate*stack_activation,power_mw*hours_per_day,capacity_mwh))*DAMAS_Daily!E67*activation_mult_A)&gt;=(power_mw*hours_per_day*damas_afrr_down*capacity_mult_A*stack_capacity*acceptance_rate+(MIN(DAMAS_Daily!D67*market_share_A*acceptance_rate*stack_activation,power_mw*hours_per_day,capacity_mwh))*DAMAS_Daily!F67*activation_mult_A),"aFRR+","aFRR-")</f>
        <v/>
      </c>
      <c r="D67" s="43">
        <f>IF(C67="aFRR+",damas_afrr_up*capacity_mult_A,damas_afrr_down*capacity_mult_A)</f>
        <v/>
      </c>
      <c r="E67" s="44">
        <f>acceptance_rate</f>
        <v/>
      </c>
      <c r="F67" s="13">
        <f>IF(C67="aFRR+",power_mw*hours_per_day*damas_afrr_up*capacity_mult_A*stack_capacity*acceptance_rate,power_mw*hours_per_day*damas_afrr_down*capacity_mult_A*stack_capacity*acceptance_rate)</f>
        <v/>
      </c>
      <c r="G67" s="42">
        <f>IF(C67="aFRR+",DAMAS_Daily!I67,DAMAS_Daily!J67)</f>
        <v/>
      </c>
      <c r="H67" s="43">
        <f>IF(C67="aFRR+",DAMAS_Daily!E67,DAMAS_Daily!F67)</f>
        <v/>
      </c>
      <c r="I67" s="43">
        <f>IF(C67="aFRR+",DAMAS_Daily!G67,DAMAS_Daily!H67)</f>
        <v/>
      </c>
      <c r="J67" s="45">
        <f>IF(C67="aFRR+",DAMAS_Daily!C67,DAMAS_Daily!D67)</f>
        <v/>
      </c>
      <c r="K67" s="45">
        <f>IF(C67="aFRR+",MIN(DAMAS_Daily!C67*market_share_A*acceptance_rate*stack_activation,power_mw*hours_per_day,capacity_mwh),MIN(DAMAS_Daily!D67*market_share_A*acceptance_rate*stack_activation,power_mw*hours_per_day,capacity_mwh))</f>
        <v/>
      </c>
      <c r="L67" s="42">
        <f>IF(K67&gt;=capacity_mwh-0.01,"yes","no")</f>
        <v/>
      </c>
      <c r="M67" s="13">
        <f>IF(C67="aFRR+",(MIN(DAMAS_Daily!C67*market_share_A*acceptance_rate*stack_activation,power_mw*hours_per_day,capacity_mwh))*DAMAS_Daily!E67*activation_mult_A,(MIN(DAMAS_Daily!D67*market_share_A*acceptance_rate*stack_activation,power_mw*hours_per_day,capacity_mwh))*DAMAS_Daily!F67*activation_mult_A)</f>
        <v/>
      </c>
      <c r="N67" s="14">
        <f>F67+M67</f>
        <v/>
      </c>
    </row>
    <row r="68">
      <c r="A68" s="41">
        <f>DAMAS_Daily!A68</f>
        <v/>
      </c>
      <c r="B68" s="42">
        <f>DAMAS_Daily!B68</f>
        <v/>
      </c>
      <c r="C68" s="42">
        <f>IF((power_mw*hours_per_day*damas_afrr_up*capacity_mult_A*stack_capacity*acceptance_rate+(MIN(DAMAS_Daily!C68*market_share_A*acceptance_rate*stack_activation,power_mw*hours_per_day,capacity_mwh))*DAMAS_Daily!E68*activation_mult_A)&gt;=(power_mw*hours_per_day*damas_afrr_down*capacity_mult_A*stack_capacity*acceptance_rate+(MIN(DAMAS_Daily!D68*market_share_A*acceptance_rate*stack_activation,power_mw*hours_per_day,capacity_mwh))*DAMAS_Daily!F68*activation_mult_A),"aFRR+","aFRR-")</f>
        <v/>
      </c>
      <c r="D68" s="43">
        <f>IF(C68="aFRR+",damas_afrr_up*capacity_mult_A,damas_afrr_down*capacity_mult_A)</f>
        <v/>
      </c>
      <c r="E68" s="44">
        <f>acceptance_rate</f>
        <v/>
      </c>
      <c r="F68" s="13">
        <f>IF(C68="aFRR+",power_mw*hours_per_day*damas_afrr_up*capacity_mult_A*stack_capacity*acceptance_rate,power_mw*hours_per_day*damas_afrr_down*capacity_mult_A*stack_capacity*acceptance_rate)</f>
        <v/>
      </c>
      <c r="G68" s="42">
        <f>IF(C68="aFRR+",DAMAS_Daily!I68,DAMAS_Daily!J68)</f>
        <v/>
      </c>
      <c r="H68" s="43">
        <f>IF(C68="aFRR+",DAMAS_Daily!E68,DAMAS_Daily!F68)</f>
        <v/>
      </c>
      <c r="I68" s="43">
        <f>IF(C68="aFRR+",DAMAS_Daily!G68,DAMAS_Daily!H68)</f>
        <v/>
      </c>
      <c r="J68" s="45">
        <f>IF(C68="aFRR+",DAMAS_Daily!C68,DAMAS_Daily!D68)</f>
        <v/>
      </c>
      <c r="K68" s="45">
        <f>IF(C68="aFRR+",MIN(DAMAS_Daily!C68*market_share_A*acceptance_rate*stack_activation,power_mw*hours_per_day,capacity_mwh),MIN(DAMAS_Daily!D68*market_share_A*acceptance_rate*stack_activation,power_mw*hours_per_day,capacity_mwh))</f>
        <v/>
      </c>
      <c r="L68" s="42">
        <f>IF(K68&gt;=capacity_mwh-0.01,"yes","no")</f>
        <v/>
      </c>
      <c r="M68" s="13">
        <f>IF(C68="aFRR+",(MIN(DAMAS_Daily!C68*market_share_A*acceptance_rate*stack_activation,power_mw*hours_per_day,capacity_mwh))*DAMAS_Daily!E68*activation_mult_A,(MIN(DAMAS_Daily!D68*market_share_A*acceptance_rate*stack_activation,power_mw*hours_per_day,capacity_mwh))*DAMAS_Daily!F68*activation_mult_A)</f>
        <v/>
      </c>
      <c r="N68" s="14">
        <f>F68+M68</f>
        <v/>
      </c>
    </row>
    <row r="69">
      <c r="A69" s="41">
        <f>DAMAS_Daily!A69</f>
        <v/>
      </c>
      <c r="B69" s="42">
        <f>DAMAS_Daily!B69</f>
        <v/>
      </c>
      <c r="C69" s="42">
        <f>IF((power_mw*hours_per_day*damas_afrr_up*capacity_mult_A*stack_capacity*acceptance_rate+(MIN(DAMAS_Daily!C69*market_share_A*acceptance_rate*stack_activation,power_mw*hours_per_day,capacity_mwh))*DAMAS_Daily!E69*activation_mult_A)&gt;=(power_mw*hours_per_day*damas_afrr_down*capacity_mult_A*stack_capacity*acceptance_rate+(MIN(DAMAS_Daily!D69*market_share_A*acceptance_rate*stack_activation,power_mw*hours_per_day,capacity_mwh))*DAMAS_Daily!F69*activation_mult_A),"aFRR+","aFRR-")</f>
        <v/>
      </c>
      <c r="D69" s="43">
        <f>IF(C69="aFRR+",damas_afrr_up*capacity_mult_A,damas_afrr_down*capacity_mult_A)</f>
        <v/>
      </c>
      <c r="E69" s="44">
        <f>acceptance_rate</f>
        <v/>
      </c>
      <c r="F69" s="13">
        <f>IF(C69="aFRR+",power_mw*hours_per_day*damas_afrr_up*capacity_mult_A*stack_capacity*acceptance_rate,power_mw*hours_per_day*damas_afrr_down*capacity_mult_A*stack_capacity*acceptance_rate)</f>
        <v/>
      </c>
      <c r="G69" s="42">
        <f>IF(C69="aFRR+",DAMAS_Daily!I69,DAMAS_Daily!J69)</f>
        <v/>
      </c>
      <c r="H69" s="43">
        <f>IF(C69="aFRR+",DAMAS_Daily!E69,DAMAS_Daily!F69)</f>
        <v/>
      </c>
      <c r="I69" s="43">
        <f>IF(C69="aFRR+",DAMAS_Daily!G69,DAMAS_Daily!H69)</f>
        <v/>
      </c>
      <c r="J69" s="45">
        <f>IF(C69="aFRR+",DAMAS_Daily!C69,DAMAS_Daily!D69)</f>
        <v/>
      </c>
      <c r="K69" s="45">
        <f>IF(C69="aFRR+",MIN(DAMAS_Daily!C69*market_share_A*acceptance_rate*stack_activation,power_mw*hours_per_day,capacity_mwh),MIN(DAMAS_Daily!D69*market_share_A*acceptance_rate*stack_activation,power_mw*hours_per_day,capacity_mwh))</f>
        <v/>
      </c>
      <c r="L69" s="42">
        <f>IF(K69&gt;=capacity_mwh-0.01,"yes","no")</f>
        <v/>
      </c>
      <c r="M69" s="13">
        <f>IF(C69="aFRR+",(MIN(DAMAS_Daily!C69*market_share_A*acceptance_rate*stack_activation,power_mw*hours_per_day,capacity_mwh))*DAMAS_Daily!E69*activation_mult_A,(MIN(DAMAS_Daily!D69*market_share_A*acceptance_rate*stack_activation,power_mw*hours_per_day,capacity_mwh))*DAMAS_Daily!F69*activation_mult_A)</f>
        <v/>
      </c>
      <c r="N69" s="14">
        <f>F69+M69</f>
        <v/>
      </c>
    </row>
    <row r="70">
      <c r="A70" s="41">
        <f>DAMAS_Daily!A70</f>
        <v/>
      </c>
      <c r="B70" s="42">
        <f>DAMAS_Daily!B70</f>
        <v/>
      </c>
      <c r="C70" s="42">
        <f>IF((power_mw*hours_per_day*damas_afrr_up*capacity_mult_A*stack_capacity*acceptance_rate+(MIN(DAMAS_Daily!C70*market_share_A*acceptance_rate*stack_activation,power_mw*hours_per_day,capacity_mwh))*DAMAS_Daily!E70*activation_mult_A)&gt;=(power_mw*hours_per_day*damas_afrr_down*capacity_mult_A*stack_capacity*acceptance_rate+(MIN(DAMAS_Daily!D70*market_share_A*acceptance_rate*stack_activation,power_mw*hours_per_day,capacity_mwh))*DAMAS_Daily!F70*activation_mult_A),"aFRR+","aFRR-")</f>
        <v/>
      </c>
      <c r="D70" s="43">
        <f>IF(C70="aFRR+",damas_afrr_up*capacity_mult_A,damas_afrr_down*capacity_mult_A)</f>
        <v/>
      </c>
      <c r="E70" s="44">
        <f>acceptance_rate</f>
        <v/>
      </c>
      <c r="F70" s="13">
        <f>IF(C70="aFRR+",power_mw*hours_per_day*damas_afrr_up*capacity_mult_A*stack_capacity*acceptance_rate,power_mw*hours_per_day*damas_afrr_down*capacity_mult_A*stack_capacity*acceptance_rate)</f>
        <v/>
      </c>
      <c r="G70" s="42">
        <f>IF(C70="aFRR+",DAMAS_Daily!I70,DAMAS_Daily!J70)</f>
        <v/>
      </c>
      <c r="H70" s="43">
        <f>IF(C70="aFRR+",DAMAS_Daily!E70,DAMAS_Daily!F70)</f>
        <v/>
      </c>
      <c r="I70" s="43">
        <f>IF(C70="aFRR+",DAMAS_Daily!G70,DAMAS_Daily!H70)</f>
        <v/>
      </c>
      <c r="J70" s="45">
        <f>IF(C70="aFRR+",DAMAS_Daily!C70,DAMAS_Daily!D70)</f>
        <v/>
      </c>
      <c r="K70" s="45">
        <f>IF(C70="aFRR+",MIN(DAMAS_Daily!C70*market_share_A*acceptance_rate*stack_activation,power_mw*hours_per_day,capacity_mwh),MIN(DAMAS_Daily!D70*market_share_A*acceptance_rate*stack_activation,power_mw*hours_per_day,capacity_mwh))</f>
        <v/>
      </c>
      <c r="L70" s="42">
        <f>IF(K70&gt;=capacity_mwh-0.01,"yes","no")</f>
        <v/>
      </c>
      <c r="M70" s="13">
        <f>IF(C70="aFRR+",(MIN(DAMAS_Daily!C70*market_share_A*acceptance_rate*stack_activation,power_mw*hours_per_day,capacity_mwh))*DAMAS_Daily!E70*activation_mult_A,(MIN(DAMAS_Daily!D70*market_share_A*acceptance_rate*stack_activation,power_mw*hours_per_day,capacity_mwh))*DAMAS_Daily!F70*activation_mult_A)</f>
        <v/>
      </c>
      <c r="N70" s="14">
        <f>F70+M70</f>
        <v/>
      </c>
    </row>
    <row r="71">
      <c r="A71" s="41">
        <f>DAMAS_Daily!A71</f>
        <v/>
      </c>
      <c r="B71" s="42">
        <f>DAMAS_Daily!B71</f>
        <v/>
      </c>
      <c r="C71" s="42">
        <f>IF((power_mw*hours_per_day*damas_afrr_up*capacity_mult_A*stack_capacity*acceptance_rate+(MIN(DAMAS_Daily!C71*market_share_A*acceptance_rate*stack_activation,power_mw*hours_per_day,capacity_mwh))*DAMAS_Daily!E71*activation_mult_A)&gt;=(power_mw*hours_per_day*damas_afrr_down*capacity_mult_A*stack_capacity*acceptance_rate+(MIN(DAMAS_Daily!D71*market_share_A*acceptance_rate*stack_activation,power_mw*hours_per_day,capacity_mwh))*DAMAS_Daily!F71*activation_mult_A),"aFRR+","aFRR-")</f>
        <v/>
      </c>
      <c r="D71" s="43">
        <f>IF(C71="aFRR+",damas_afrr_up*capacity_mult_A,damas_afrr_down*capacity_mult_A)</f>
        <v/>
      </c>
      <c r="E71" s="44">
        <f>acceptance_rate</f>
        <v/>
      </c>
      <c r="F71" s="13">
        <f>IF(C71="aFRR+",power_mw*hours_per_day*damas_afrr_up*capacity_mult_A*stack_capacity*acceptance_rate,power_mw*hours_per_day*damas_afrr_down*capacity_mult_A*stack_capacity*acceptance_rate)</f>
        <v/>
      </c>
      <c r="G71" s="42">
        <f>IF(C71="aFRR+",DAMAS_Daily!I71,DAMAS_Daily!J71)</f>
        <v/>
      </c>
      <c r="H71" s="43">
        <f>IF(C71="aFRR+",DAMAS_Daily!E71,DAMAS_Daily!F71)</f>
        <v/>
      </c>
      <c r="I71" s="43">
        <f>IF(C71="aFRR+",DAMAS_Daily!G71,DAMAS_Daily!H71)</f>
        <v/>
      </c>
      <c r="J71" s="45">
        <f>IF(C71="aFRR+",DAMAS_Daily!C71,DAMAS_Daily!D71)</f>
        <v/>
      </c>
      <c r="K71" s="45">
        <f>IF(C71="aFRR+",MIN(DAMAS_Daily!C71*market_share_A*acceptance_rate*stack_activation,power_mw*hours_per_day,capacity_mwh),MIN(DAMAS_Daily!D71*market_share_A*acceptance_rate*stack_activation,power_mw*hours_per_day,capacity_mwh))</f>
        <v/>
      </c>
      <c r="L71" s="42">
        <f>IF(K71&gt;=capacity_mwh-0.01,"yes","no")</f>
        <v/>
      </c>
      <c r="M71" s="13">
        <f>IF(C71="aFRR+",(MIN(DAMAS_Daily!C71*market_share_A*acceptance_rate*stack_activation,power_mw*hours_per_day,capacity_mwh))*DAMAS_Daily!E71*activation_mult_A,(MIN(DAMAS_Daily!D71*market_share_A*acceptance_rate*stack_activation,power_mw*hours_per_day,capacity_mwh))*DAMAS_Daily!F71*activation_mult_A)</f>
        <v/>
      </c>
      <c r="N71" s="14">
        <f>F71+M71</f>
        <v/>
      </c>
    </row>
    <row r="72">
      <c r="A72" s="41">
        <f>DAMAS_Daily!A72</f>
        <v/>
      </c>
      <c r="B72" s="42">
        <f>DAMAS_Daily!B72</f>
        <v/>
      </c>
      <c r="C72" s="42">
        <f>IF((power_mw*hours_per_day*damas_afrr_up*capacity_mult_A*stack_capacity*acceptance_rate+(MIN(DAMAS_Daily!C72*market_share_A*acceptance_rate*stack_activation,power_mw*hours_per_day,capacity_mwh))*DAMAS_Daily!E72*activation_mult_A)&gt;=(power_mw*hours_per_day*damas_afrr_down*capacity_mult_A*stack_capacity*acceptance_rate+(MIN(DAMAS_Daily!D72*market_share_A*acceptance_rate*stack_activation,power_mw*hours_per_day,capacity_mwh))*DAMAS_Daily!F72*activation_mult_A),"aFRR+","aFRR-")</f>
        <v/>
      </c>
      <c r="D72" s="43">
        <f>IF(C72="aFRR+",damas_afrr_up*capacity_mult_A,damas_afrr_down*capacity_mult_A)</f>
        <v/>
      </c>
      <c r="E72" s="44">
        <f>acceptance_rate</f>
        <v/>
      </c>
      <c r="F72" s="13">
        <f>IF(C72="aFRR+",power_mw*hours_per_day*damas_afrr_up*capacity_mult_A*stack_capacity*acceptance_rate,power_mw*hours_per_day*damas_afrr_down*capacity_mult_A*stack_capacity*acceptance_rate)</f>
        <v/>
      </c>
      <c r="G72" s="42">
        <f>IF(C72="aFRR+",DAMAS_Daily!I72,DAMAS_Daily!J72)</f>
        <v/>
      </c>
      <c r="H72" s="43">
        <f>IF(C72="aFRR+",DAMAS_Daily!E72,DAMAS_Daily!F72)</f>
        <v/>
      </c>
      <c r="I72" s="43">
        <f>IF(C72="aFRR+",DAMAS_Daily!G72,DAMAS_Daily!H72)</f>
        <v/>
      </c>
      <c r="J72" s="45">
        <f>IF(C72="aFRR+",DAMAS_Daily!C72,DAMAS_Daily!D72)</f>
        <v/>
      </c>
      <c r="K72" s="45">
        <f>IF(C72="aFRR+",MIN(DAMAS_Daily!C72*market_share_A*acceptance_rate*stack_activation,power_mw*hours_per_day,capacity_mwh),MIN(DAMAS_Daily!D72*market_share_A*acceptance_rate*stack_activation,power_mw*hours_per_day,capacity_mwh))</f>
        <v/>
      </c>
      <c r="L72" s="42">
        <f>IF(K72&gt;=capacity_mwh-0.01,"yes","no")</f>
        <v/>
      </c>
      <c r="M72" s="13">
        <f>IF(C72="aFRR+",(MIN(DAMAS_Daily!C72*market_share_A*acceptance_rate*stack_activation,power_mw*hours_per_day,capacity_mwh))*DAMAS_Daily!E72*activation_mult_A,(MIN(DAMAS_Daily!D72*market_share_A*acceptance_rate*stack_activation,power_mw*hours_per_day,capacity_mwh))*DAMAS_Daily!F72*activation_mult_A)</f>
        <v/>
      </c>
      <c r="N72" s="14">
        <f>F72+M72</f>
        <v/>
      </c>
    </row>
    <row r="73">
      <c r="A73" s="41">
        <f>DAMAS_Daily!A73</f>
        <v/>
      </c>
      <c r="B73" s="42">
        <f>DAMAS_Daily!B73</f>
        <v/>
      </c>
      <c r="C73" s="42">
        <f>IF((power_mw*hours_per_day*damas_afrr_up*capacity_mult_A*stack_capacity*acceptance_rate+(MIN(DAMAS_Daily!C73*market_share_A*acceptance_rate*stack_activation,power_mw*hours_per_day,capacity_mwh))*DAMAS_Daily!E73*activation_mult_A)&gt;=(power_mw*hours_per_day*damas_afrr_down*capacity_mult_A*stack_capacity*acceptance_rate+(MIN(DAMAS_Daily!D73*market_share_A*acceptance_rate*stack_activation,power_mw*hours_per_day,capacity_mwh))*DAMAS_Daily!F73*activation_mult_A),"aFRR+","aFRR-")</f>
        <v/>
      </c>
      <c r="D73" s="43">
        <f>IF(C73="aFRR+",damas_afrr_up*capacity_mult_A,damas_afrr_down*capacity_mult_A)</f>
        <v/>
      </c>
      <c r="E73" s="44">
        <f>acceptance_rate</f>
        <v/>
      </c>
      <c r="F73" s="13">
        <f>IF(C73="aFRR+",power_mw*hours_per_day*damas_afrr_up*capacity_mult_A*stack_capacity*acceptance_rate,power_mw*hours_per_day*damas_afrr_down*capacity_mult_A*stack_capacity*acceptance_rate)</f>
        <v/>
      </c>
      <c r="G73" s="42">
        <f>IF(C73="aFRR+",DAMAS_Daily!I73,DAMAS_Daily!J73)</f>
        <v/>
      </c>
      <c r="H73" s="43">
        <f>IF(C73="aFRR+",DAMAS_Daily!E73,DAMAS_Daily!F73)</f>
        <v/>
      </c>
      <c r="I73" s="43">
        <f>IF(C73="aFRR+",DAMAS_Daily!G73,DAMAS_Daily!H73)</f>
        <v/>
      </c>
      <c r="J73" s="45">
        <f>IF(C73="aFRR+",DAMAS_Daily!C73,DAMAS_Daily!D73)</f>
        <v/>
      </c>
      <c r="K73" s="45">
        <f>IF(C73="aFRR+",MIN(DAMAS_Daily!C73*market_share_A*acceptance_rate*stack_activation,power_mw*hours_per_day,capacity_mwh),MIN(DAMAS_Daily!D73*market_share_A*acceptance_rate*stack_activation,power_mw*hours_per_day,capacity_mwh))</f>
        <v/>
      </c>
      <c r="L73" s="42">
        <f>IF(K73&gt;=capacity_mwh-0.01,"yes","no")</f>
        <v/>
      </c>
      <c r="M73" s="13">
        <f>IF(C73="aFRR+",(MIN(DAMAS_Daily!C73*market_share_A*acceptance_rate*stack_activation,power_mw*hours_per_day,capacity_mwh))*DAMAS_Daily!E73*activation_mult_A,(MIN(DAMAS_Daily!D73*market_share_A*acceptance_rate*stack_activation,power_mw*hours_per_day,capacity_mwh))*DAMAS_Daily!F73*activation_mult_A)</f>
        <v/>
      </c>
      <c r="N73" s="14">
        <f>F73+M73</f>
        <v/>
      </c>
    </row>
    <row r="74">
      <c r="A74" s="41">
        <f>DAMAS_Daily!A74</f>
        <v/>
      </c>
      <c r="B74" s="42">
        <f>DAMAS_Daily!B74</f>
        <v/>
      </c>
      <c r="C74" s="42">
        <f>IF((power_mw*hours_per_day*damas_afrr_up*capacity_mult_A*stack_capacity*acceptance_rate+(MIN(DAMAS_Daily!C74*market_share_A*acceptance_rate*stack_activation,power_mw*hours_per_day,capacity_mwh))*DAMAS_Daily!E74*activation_mult_A)&gt;=(power_mw*hours_per_day*damas_afrr_down*capacity_mult_A*stack_capacity*acceptance_rate+(MIN(DAMAS_Daily!D74*market_share_A*acceptance_rate*stack_activation,power_mw*hours_per_day,capacity_mwh))*DAMAS_Daily!F74*activation_mult_A),"aFRR+","aFRR-")</f>
        <v/>
      </c>
      <c r="D74" s="43">
        <f>IF(C74="aFRR+",damas_afrr_up*capacity_mult_A,damas_afrr_down*capacity_mult_A)</f>
        <v/>
      </c>
      <c r="E74" s="44">
        <f>acceptance_rate</f>
        <v/>
      </c>
      <c r="F74" s="13">
        <f>IF(C74="aFRR+",power_mw*hours_per_day*damas_afrr_up*capacity_mult_A*stack_capacity*acceptance_rate,power_mw*hours_per_day*damas_afrr_down*capacity_mult_A*stack_capacity*acceptance_rate)</f>
        <v/>
      </c>
      <c r="G74" s="42">
        <f>IF(C74="aFRR+",DAMAS_Daily!I74,DAMAS_Daily!J74)</f>
        <v/>
      </c>
      <c r="H74" s="43">
        <f>IF(C74="aFRR+",DAMAS_Daily!E74,DAMAS_Daily!F74)</f>
        <v/>
      </c>
      <c r="I74" s="43">
        <f>IF(C74="aFRR+",DAMAS_Daily!G74,DAMAS_Daily!H74)</f>
        <v/>
      </c>
      <c r="J74" s="45">
        <f>IF(C74="aFRR+",DAMAS_Daily!C74,DAMAS_Daily!D74)</f>
        <v/>
      </c>
      <c r="K74" s="45">
        <f>IF(C74="aFRR+",MIN(DAMAS_Daily!C74*market_share_A*acceptance_rate*stack_activation,power_mw*hours_per_day,capacity_mwh),MIN(DAMAS_Daily!D74*market_share_A*acceptance_rate*stack_activation,power_mw*hours_per_day,capacity_mwh))</f>
        <v/>
      </c>
      <c r="L74" s="42">
        <f>IF(K74&gt;=capacity_mwh-0.01,"yes","no")</f>
        <v/>
      </c>
      <c r="M74" s="13">
        <f>IF(C74="aFRR+",(MIN(DAMAS_Daily!C74*market_share_A*acceptance_rate*stack_activation,power_mw*hours_per_day,capacity_mwh))*DAMAS_Daily!E74*activation_mult_A,(MIN(DAMAS_Daily!D74*market_share_A*acceptance_rate*stack_activation,power_mw*hours_per_day,capacity_mwh))*DAMAS_Daily!F74*activation_mult_A)</f>
        <v/>
      </c>
      <c r="N74" s="14">
        <f>F74+M74</f>
        <v/>
      </c>
    </row>
    <row r="75">
      <c r="A75" s="41">
        <f>DAMAS_Daily!A75</f>
        <v/>
      </c>
      <c r="B75" s="42">
        <f>DAMAS_Daily!B75</f>
        <v/>
      </c>
      <c r="C75" s="42">
        <f>IF((power_mw*hours_per_day*damas_afrr_up*capacity_mult_A*stack_capacity*acceptance_rate+(MIN(DAMAS_Daily!C75*market_share_A*acceptance_rate*stack_activation,power_mw*hours_per_day,capacity_mwh))*DAMAS_Daily!E75*activation_mult_A)&gt;=(power_mw*hours_per_day*damas_afrr_down*capacity_mult_A*stack_capacity*acceptance_rate+(MIN(DAMAS_Daily!D75*market_share_A*acceptance_rate*stack_activation,power_mw*hours_per_day,capacity_mwh))*DAMAS_Daily!F75*activation_mult_A),"aFRR+","aFRR-")</f>
        <v/>
      </c>
      <c r="D75" s="43">
        <f>IF(C75="aFRR+",damas_afrr_up*capacity_mult_A,damas_afrr_down*capacity_mult_A)</f>
        <v/>
      </c>
      <c r="E75" s="44">
        <f>acceptance_rate</f>
        <v/>
      </c>
      <c r="F75" s="13">
        <f>IF(C75="aFRR+",power_mw*hours_per_day*damas_afrr_up*capacity_mult_A*stack_capacity*acceptance_rate,power_mw*hours_per_day*damas_afrr_down*capacity_mult_A*stack_capacity*acceptance_rate)</f>
        <v/>
      </c>
      <c r="G75" s="42">
        <f>IF(C75="aFRR+",DAMAS_Daily!I75,DAMAS_Daily!J75)</f>
        <v/>
      </c>
      <c r="H75" s="43">
        <f>IF(C75="aFRR+",DAMAS_Daily!E75,DAMAS_Daily!F75)</f>
        <v/>
      </c>
      <c r="I75" s="43">
        <f>IF(C75="aFRR+",DAMAS_Daily!G75,DAMAS_Daily!H75)</f>
        <v/>
      </c>
      <c r="J75" s="45">
        <f>IF(C75="aFRR+",DAMAS_Daily!C75,DAMAS_Daily!D75)</f>
        <v/>
      </c>
      <c r="K75" s="45">
        <f>IF(C75="aFRR+",MIN(DAMAS_Daily!C75*market_share_A*acceptance_rate*stack_activation,power_mw*hours_per_day,capacity_mwh),MIN(DAMAS_Daily!D75*market_share_A*acceptance_rate*stack_activation,power_mw*hours_per_day,capacity_mwh))</f>
        <v/>
      </c>
      <c r="L75" s="42">
        <f>IF(K75&gt;=capacity_mwh-0.01,"yes","no")</f>
        <v/>
      </c>
      <c r="M75" s="13">
        <f>IF(C75="aFRR+",(MIN(DAMAS_Daily!C75*market_share_A*acceptance_rate*stack_activation,power_mw*hours_per_day,capacity_mwh))*DAMAS_Daily!E75*activation_mult_A,(MIN(DAMAS_Daily!D75*market_share_A*acceptance_rate*stack_activation,power_mw*hours_per_day,capacity_mwh))*DAMAS_Daily!F75*activation_mult_A)</f>
        <v/>
      </c>
      <c r="N75" s="14">
        <f>F75+M75</f>
        <v/>
      </c>
    </row>
    <row r="76">
      <c r="A76" s="41">
        <f>DAMAS_Daily!A76</f>
        <v/>
      </c>
      <c r="B76" s="42">
        <f>DAMAS_Daily!B76</f>
        <v/>
      </c>
      <c r="C76" s="42">
        <f>IF((power_mw*hours_per_day*damas_afrr_up*capacity_mult_A*stack_capacity*acceptance_rate+(MIN(DAMAS_Daily!C76*market_share_A*acceptance_rate*stack_activation,power_mw*hours_per_day,capacity_mwh))*DAMAS_Daily!E76*activation_mult_A)&gt;=(power_mw*hours_per_day*damas_afrr_down*capacity_mult_A*stack_capacity*acceptance_rate+(MIN(DAMAS_Daily!D76*market_share_A*acceptance_rate*stack_activation,power_mw*hours_per_day,capacity_mwh))*DAMAS_Daily!F76*activation_mult_A),"aFRR+","aFRR-")</f>
        <v/>
      </c>
      <c r="D76" s="43">
        <f>IF(C76="aFRR+",damas_afrr_up*capacity_mult_A,damas_afrr_down*capacity_mult_A)</f>
        <v/>
      </c>
      <c r="E76" s="44">
        <f>acceptance_rate</f>
        <v/>
      </c>
      <c r="F76" s="13">
        <f>IF(C76="aFRR+",power_mw*hours_per_day*damas_afrr_up*capacity_mult_A*stack_capacity*acceptance_rate,power_mw*hours_per_day*damas_afrr_down*capacity_mult_A*stack_capacity*acceptance_rate)</f>
        <v/>
      </c>
      <c r="G76" s="42">
        <f>IF(C76="aFRR+",DAMAS_Daily!I76,DAMAS_Daily!J76)</f>
        <v/>
      </c>
      <c r="H76" s="43">
        <f>IF(C76="aFRR+",DAMAS_Daily!E76,DAMAS_Daily!F76)</f>
        <v/>
      </c>
      <c r="I76" s="43">
        <f>IF(C76="aFRR+",DAMAS_Daily!G76,DAMAS_Daily!H76)</f>
        <v/>
      </c>
      <c r="J76" s="45">
        <f>IF(C76="aFRR+",DAMAS_Daily!C76,DAMAS_Daily!D76)</f>
        <v/>
      </c>
      <c r="K76" s="45">
        <f>IF(C76="aFRR+",MIN(DAMAS_Daily!C76*market_share_A*acceptance_rate*stack_activation,power_mw*hours_per_day,capacity_mwh),MIN(DAMAS_Daily!D76*market_share_A*acceptance_rate*stack_activation,power_mw*hours_per_day,capacity_mwh))</f>
        <v/>
      </c>
      <c r="L76" s="42">
        <f>IF(K76&gt;=capacity_mwh-0.01,"yes","no")</f>
        <v/>
      </c>
      <c r="M76" s="13">
        <f>IF(C76="aFRR+",(MIN(DAMAS_Daily!C76*market_share_A*acceptance_rate*stack_activation,power_mw*hours_per_day,capacity_mwh))*DAMAS_Daily!E76*activation_mult_A,(MIN(DAMAS_Daily!D76*market_share_A*acceptance_rate*stack_activation,power_mw*hours_per_day,capacity_mwh))*DAMAS_Daily!F76*activation_mult_A)</f>
        <v/>
      </c>
      <c r="N76" s="14">
        <f>F76+M76</f>
        <v/>
      </c>
    </row>
    <row r="77">
      <c r="A77" s="41">
        <f>DAMAS_Daily!A77</f>
        <v/>
      </c>
      <c r="B77" s="42">
        <f>DAMAS_Daily!B77</f>
        <v/>
      </c>
      <c r="C77" s="42">
        <f>IF((power_mw*hours_per_day*damas_afrr_up*capacity_mult_A*stack_capacity*acceptance_rate+(MIN(DAMAS_Daily!C77*market_share_A*acceptance_rate*stack_activation,power_mw*hours_per_day,capacity_mwh))*DAMAS_Daily!E77*activation_mult_A)&gt;=(power_mw*hours_per_day*damas_afrr_down*capacity_mult_A*stack_capacity*acceptance_rate+(MIN(DAMAS_Daily!D77*market_share_A*acceptance_rate*stack_activation,power_mw*hours_per_day,capacity_mwh))*DAMAS_Daily!F77*activation_mult_A),"aFRR+","aFRR-")</f>
        <v/>
      </c>
      <c r="D77" s="43">
        <f>IF(C77="aFRR+",damas_afrr_up*capacity_mult_A,damas_afrr_down*capacity_mult_A)</f>
        <v/>
      </c>
      <c r="E77" s="44">
        <f>acceptance_rate</f>
        <v/>
      </c>
      <c r="F77" s="13">
        <f>IF(C77="aFRR+",power_mw*hours_per_day*damas_afrr_up*capacity_mult_A*stack_capacity*acceptance_rate,power_mw*hours_per_day*damas_afrr_down*capacity_mult_A*stack_capacity*acceptance_rate)</f>
        <v/>
      </c>
      <c r="G77" s="42">
        <f>IF(C77="aFRR+",DAMAS_Daily!I77,DAMAS_Daily!J77)</f>
        <v/>
      </c>
      <c r="H77" s="43">
        <f>IF(C77="aFRR+",DAMAS_Daily!E77,DAMAS_Daily!F77)</f>
        <v/>
      </c>
      <c r="I77" s="43">
        <f>IF(C77="aFRR+",DAMAS_Daily!G77,DAMAS_Daily!H77)</f>
        <v/>
      </c>
      <c r="J77" s="45">
        <f>IF(C77="aFRR+",DAMAS_Daily!C77,DAMAS_Daily!D77)</f>
        <v/>
      </c>
      <c r="K77" s="45">
        <f>IF(C77="aFRR+",MIN(DAMAS_Daily!C77*market_share_A*acceptance_rate*stack_activation,power_mw*hours_per_day,capacity_mwh),MIN(DAMAS_Daily!D77*market_share_A*acceptance_rate*stack_activation,power_mw*hours_per_day,capacity_mwh))</f>
        <v/>
      </c>
      <c r="L77" s="42">
        <f>IF(K77&gt;=capacity_mwh-0.01,"yes","no")</f>
        <v/>
      </c>
      <c r="M77" s="13">
        <f>IF(C77="aFRR+",(MIN(DAMAS_Daily!C77*market_share_A*acceptance_rate*stack_activation,power_mw*hours_per_day,capacity_mwh))*DAMAS_Daily!E77*activation_mult_A,(MIN(DAMAS_Daily!D77*market_share_A*acceptance_rate*stack_activation,power_mw*hours_per_day,capacity_mwh))*DAMAS_Daily!F77*activation_mult_A)</f>
        <v/>
      </c>
      <c r="N77" s="14">
        <f>F77+M77</f>
        <v/>
      </c>
    </row>
    <row r="78">
      <c r="A78" s="41">
        <f>DAMAS_Daily!A78</f>
        <v/>
      </c>
      <c r="B78" s="42">
        <f>DAMAS_Daily!B78</f>
        <v/>
      </c>
      <c r="C78" s="42">
        <f>IF((power_mw*hours_per_day*damas_afrr_up*capacity_mult_A*stack_capacity*acceptance_rate+(MIN(DAMAS_Daily!C78*market_share_A*acceptance_rate*stack_activation,power_mw*hours_per_day,capacity_mwh))*DAMAS_Daily!E78*activation_mult_A)&gt;=(power_mw*hours_per_day*damas_afrr_down*capacity_mult_A*stack_capacity*acceptance_rate+(MIN(DAMAS_Daily!D78*market_share_A*acceptance_rate*stack_activation,power_mw*hours_per_day,capacity_mwh))*DAMAS_Daily!F78*activation_mult_A),"aFRR+","aFRR-")</f>
        <v/>
      </c>
      <c r="D78" s="43">
        <f>IF(C78="aFRR+",damas_afrr_up*capacity_mult_A,damas_afrr_down*capacity_mult_A)</f>
        <v/>
      </c>
      <c r="E78" s="44">
        <f>acceptance_rate</f>
        <v/>
      </c>
      <c r="F78" s="13">
        <f>IF(C78="aFRR+",power_mw*hours_per_day*damas_afrr_up*capacity_mult_A*stack_capacity*acceptance_rate,power_mw*hours_per_day*damas_afrr_down*capacity_mult_A*stack_capacity*acceptance_rate)</f>
        <v/>
      </c>
      <c r="G78" s="42">
        <f>IF(C78="aFRR+",DAMAS_Daily!I78,DAMAS_Daily!J78)</f>
        <v/>
      </c>
      <c r="H78" s="43">
        <f>IF(C78="aFRR+",DAMAS_Daily!E78,DAMAS_Daily!F78)</f>
        <v/>
      </c>
      <c r="I78" s="43">
        <f>IF(C78="aFRR+",DAMAS_Daily!G78,DAMAS_Daily!H78)</f>
        <v/>
      </c>
      <c r="J78" s="45">
        <f>IF(C78="aFRR+",DAMAS_Daily!C78,DAMAS_Daily!D78)</f>
        <v/>
      </c>
      <c r="K78" s="45">
        <f>IF(C78="aFRR+",MIN(DAMAS_Daily!C78*market_share_A*acceptance_rate*stack_activation,power_mw*hours_per_day,capacity_mwh),MIN(DAMAS_Daily!D78*market_share_A*acceptance_rate*stack_activation,power_mw*hours_per_day,capacity_mwh))</f>
        <v/>
      </c>
      <c r="L78" s="42">
        <f>IF(K78&gt;=capacity_mwh-0.01,"yes","no")</f>
        <v/>
      </c>
      <c r="M78" s="13">
        <f>IF(C78="aFRR+",(MIN(DAMAS_Daily!C78*market_share_A*acceptance_rate*stack_activation,power_mw*hours_per_day,capacity_mwh))*DAMAS_Daily!E78*activation_mult_A,(MIN(DAMAS_Daily!D78*market_share_A*acceptance_rate*stack_activation,power_mw*hours_per_day,capacity_mwh))*DAMAS_Daily!F78*activation_mult_A)</f>
        <v/>
      </c>
      <c r="N78" s="14">
        <f>F78+M78</f>
        <v/>
      </c>
    </row>
    <row r="79">
      <c r="A79" s="41">
        <f>DAMAS_Daily!A79</f>
        <v/>
      </c>
      <c r="B79" s="42">
        <f>DAMAS_Daily!B79</f>
        <v/>
      </c>
      <c r="C79" s="42">
        <f>IF((power_mw*hours_per_day*damas_afrr_up*capacity_mult_A*stack_capacity*acceptance_rate+(MIN(DAMAS_Daily!C79*market_share_A*acceptance_rate*stack_activation,power_mw*hours_per_day,capacity_mwh))*DAMAS_Daily!E79*activation_mult_A)&gt;=(power_mw*hours_per_day*damas_afrr_down*capacity_mult_A*stack_capacity*acceptance_rate+(MIN(DAMAS_Daily!D79*market_share_A*acceptance_rate*stack_activation,power_mw*hours_per_day,capacity_mwh))*DAMAS_Daily!F79*activation_mult_A),"aFRR+","aFRR-")</f>
        <v/>
      </c>
      <c r="D79" s="43">
        <f>IF(C79="aFRR+",damas_afrr_up*capacity_mult_A,damas_afrr_down*capacity_mult_A)</f>
        <v/>
      </c>
      <c r="E79" s="44">
        <f>acceptance_rate</f>
        <v/>
      </c>
      <c r="F79" s="13">
        <f>IF(C79="aFRR+",power_mw*hours_per_day*damas_afrr_up*capacity_mult_A*stack_capacity*acceptance_rate,power_mw*hours_per_day*damas_afrr_down*capacity_mult_A*stack_capacity*acceptance_rate)</f>
        <v/>
      </c>
      <c r="G79" s="42">
        <f>IF(C79="aFRR+",DAMAS_Daily!I79,DAMAS_Daily!J79)</f>
        <v/>
      </c>
      <c r="H79" s="43">
        <f>IF(C79="aFRR+",DAMAS_Daily!E79,DAMAS_Daily!F79)</f>
        <v/>
      </c>
      <c r="I79" s="43">
        <f>IF(C79="aFRR+",DAMAS_Daily!G79,DAMAS_Daily!H79)</f>
        <v/>
      </c>
      <c r="J79" s="45">
        <f>IF(C79="aFRR+",DAMAS_Daily!C79,DAMAS_Daily!D79)</f>
        <v/>
      </c>
      <c r="K79" s="45">
        <f>IF(C79="aFRR+",MIN(DAMAS_Daily!C79*market_share_A*acceptance_rate*stack_activation,power_mw*hours_per_day,capacity_mwh),MIN(DAMAS_Daily!D79*market_share_A*acceptance_rate*stack_activation,power_mw*hours_per_day,capacity_mwh))</f>
        <v/>
      </c>
      <c r="L79" s="42">
        <f>IF(K79&gt;=capacity_mwh-0.01,"yes","no")</f>
        <v/>
      </c>
      <c r="M79" s="13">
        <f>IF(C79="aFRR+",(MIN(DAMAS_Daily!C79*market_share_A*acceptance_rate*stack_activation,power_mw*hours_per_day,capacity_mwh))*DAMAS_Daily!E79*activation_mult_A,(MIN(DAMAS_Daily!D79*market_share_A*acceptance_rate*stack_activation,power_mw*hours_per_day,capacity_mwh))*DAMAS_Daily!F79*activation_mult_A)</f>
        <v/>
      </c>
      <c r="N79" s="14">
        <f>F79+M79</f>
        <v/>
      </c>
    </row>
    <row r="80">
      <c r="A80" s="41">
        <f>DAMAS_Daily!A80</f>
        <v/>
      </c>
      <c r="B80" s="42">
        <f>DAMAS_Daily!B80</f>
        <v/>
      </c>
      <c r="C80" s="42">
        <f>IF((power_mw*hours_per_day*damas_afrr_up*capacity_mult_A*stack_capacity*acceptance_rate+(MIN(DAMAS_Daily!C80*market_share_A*acceptance_rate*stack_activation,power_mw*hours_per_day,capacity_mwh))*DAMAS_Daily!E80*activation_mult_A)&gt;=(power_mw*hours_per_day*damas_afrr_down*capacity_mult_A*stack_capacity*acceptance_rate+(MIN(DAMAS_Daily!D80*market_share_A*acceptance_rate*stack_activation,power_mw*hours_per_day,capacity_mwh))*DAMAS_Daily!F80*activation_mult_A),"aFRR+","aFRR-")</f>
        <v/>
      </c>
      <c r="D80" s="43">
        <f>IF(C80="aFRR+",damas_afrr_up*capacity_mult_A,damas_afrr_down*capacity_mult_A)</f>
        <v/>
      </c>
      <c r="E80" s="44">
        <f>acceptance_rate</f>
        <v/>
      </c>
      <c r="F80" s="13">
        <f>IF(C80="aFRR+",power_mw*hours_per_day*damas_afrr_up*capacity_mult_A*stack_capacity*acceptance_rate,power_mw*hours_per_day*damas_afrr_down*capacity_mult_A*stack_capacity*acceptance_rate)</f>
        <v/>
      </c>
      <c r="G80" s="42">
        <f>IF(C80="aFRR+",DAMAS_Daily!I80,DAMAS_Daily!J80)</f>
        <v/>
      </c>
      <c r="H80" s="43">
        <f>IF(C80="aFRR+",DAMAS_Daily!E80,DAMAS_Daily!F80)</f>
        <v/>
      </c>
      <c r="I80" s="43">
        <f>IF(C80="aFRR+",DAMAS_Daily!G80,DAMAS_Daily!H80)</f>
        <v/>
      </c>
      <c r="J80" s="45">
        <f>IF(C80="aFRR+",DAMAS_Daily!C80,DAMAS_Daily!D80)</f>
        <v/>
      </c>
      <c r="K80" s="45">
        <f>IF(C80="aFRR+",MIN(DAMAS_Daily!C80*market_share_A*acceptance_rate*stack_activation,power_mw*hours_per_day,capacity_mwh),MIN(DAMAS_Daily!D80*market_share_A*acceptance_rate*stack_activation,power_mw*hours_per_day,capacity_mwh))</f>
        <v/>
      </c>
      <c r="L80" s="42">
        <f>IF(K80&gt;=capacity_mwh-0.01,"yes","no")</f>
        <v/>
      </c>
      <c r="M80" s="13">
        <f>IF(C80="aFRR+",(MIN(DAMAS_Daily!C80*market_share_A*acceptance_rate*stack_activation,power_mw*hours_per_day,capacity_mwh))*DAMAS_Daily!E80*activation_mult_A,(MIN(DAMAS_Daily!D80*market_share_A*acceptance_rate*stack_activation,power_mw*hours_per_day,capacity_mwh))*DAMAS_Daily!F80*activation_mult_A)</f>
        <v/>
      </c>
      <c r="N80" s="14">
        <f>F80+M80</f>
        <v/>
      </c>
    </row>
    <row r="81">
      <c r="A81" s="41">
        <f>DAMAS_Daily!A81</f>
        <v/>
      </c>
      <c r="B81" s="42">
        <f>DAMAS_Daily!B81</f>
        <v/>
      </c>
      <c r="C81" s="42">
        <f>IF((power_mw*hours_per_day*damas_afrr_up*capacity_mult_A*stack_capacity*acceptance_rate+(MIN(DAMAS_Daily!C81*market_share_A*acceptance_rate*stack_activation,power_mw*hours_per_day,capacity_mwh))*DAMAS_Daily!E81*activation_mult_A)&gt;=(power_mw*hours_per_day*damas_afrr_down*capacity_mult_A*stack_capacity*acceptance_rate+(MIN(DAMAS_Daily!D81*market_share_A*acceptance_rate*stack_activation,power_mw*hours_per_day,capacity_mwh))*DAMAS_Daily!F81*activation_mult_A),"aFRR+","aFRR-")</f>
        <v/>
      </c>
      <c r="D81" s="43">
        <f>IF(C81="aFRR+",damas_afrr_up*capacity_mult_A,damas_afrr_down*capacity_mult_A)</f>
        <v/>
      </c>
      <c r="E81" s="44">
        <f>acceptance_rate</f>
        <v/>
      </c>
      <c r="F81" s="13">
        <f>IF(C81="aFRR+",power_mw*hours_per_day*damas_afrr_up*capacity_mult_A*stack_capacity*acceptance_rate,power_mw*hours_per_day*damas_afrr_down*capacity_mult_A*stack_capacity*acceptance_rate)</f>
        <v/>
      </c>
      <c r="G81" s="42">
        <f>IF(C81="aFRR+",DAMAS_Daily!I81,DAMAS_Daily!J81)</f>
        <v/>
      </c>
      <c r="H81" s="43">
        <f>IF(C81="aFRR+",DAMAS_Daily!E81,DAMAS_Daily!F81)</f>
        <v/>
      </c>
      <c r="I81" s="43">
        <f>IF(C81="aFRR+",DAMAS_Daily!G81,DAMAS_Daily!H81)</f>
        <v/>
      </c>
      <c r="J81" s="45">
        <f>IF(C81="aFRR+",DAMAS_Daily!C81,DAMAS_Daily!D81)</f>
        <v/>
      </c>
      <c r="K81" s="45">
        <f>IF(C81="aFRR+",MIN(DAMAS_Daily!C81*market_share_A*acceptance_rate*stack_activation,power_mw*hours_per_day,capacity_mwh),MIN(DAMAS_Daily!D81*market_share_A*acceptance_rate*stack_activation,power_mw*hours_per_day,capacity_mwh))</f>
        <v/>
      </c>
      <c r="L81" s="42">
        <f>IF(K81&gt;=capacity_mwh-0.01,"yes","no")</f>
        <v/>
      </c>
      <c r="M81" s="13">
        <f>IF(C81="aFRR+",(MIN(DAMAS_Daily!C81*market_share_A*acceptance_rate*stack_activation,power_mw*hours_per_day,capacity_mwh))*DAMAS_Daily!E81*activation_mult_A,(MIN(DAMAS_Daily!D81*market_share_A*acceptance_rate*stack_activation,power_mw*hours_per_day,capacity_mwh))*DAMAS_Daily!F81*activation_mult_A)</f>
        <v/>
      </c>
      <c r="N81" s="14">
        <f>F81+M81</f>
        <v/>
      </c>
    </row>
    <row r="82">
      <c r="A82" s="41">
        <f>DAMAS_Daily!A82</f>
        <v/>
      </c>
      <c r="B82" s="42">
        <f>DAMAS_Daily!B82</f>
        <v/>
      </c>
      <c r="C82" s="42">
        <f>IF((power_mw*hours_per_day*damas_afrr_up*capacity_mult_A*stack_capacity*acceptance_rate+(MIN(DAMAS_Daily!C82*market_share_A*acceptance_rate*stack_activation,power_mw*hours_per_day,capacity_mwh))*DAMAS_Daily!E82*activation_mult_A)&gt;=(power_mw*hours_per_day*damas_afrr_down*capacity_mult_A*stack_capacity*acceptance_rate+(MIN(DAMAS_Daily!D82*market_share_A*acceptance_rate*stack_activation,power_mw*hours_per_day,capacity_mwh))*DAMAS_Daily!F82*activation_mult_A),"aFRR+","aFRR-")</f>
        <v/>
      </c>
      <c r="D82" s="43">
        <f>IF(C82="aFRR+",damas_afrr_up*capacity_mult_A,damas_afrr_down*capacity_mult_A)</f>
        <v/>
      </c>
      <c r="E82" s="44">
        <f>acceptance_rate</f>
        <v/>
      </c>
      <c r="F82" s="13">
        <f>IF(C82="aFRR+",power_mw*hours_per_day*damas_afrr_up*capacity_mult_A*stack_capacity*acceptance_rate,power_mw*hours_per_day*damas_afrr_down*capacity_mult_A*stack_capacity*acceptance_rate)</f>
        <v/>
      </c>
      <c r="G82" s="42">
        <f>IF(C82="aFRR+",DAMAS_Daily!I82,DAMAS_Daily!J82)</f>
        <v/>
      </c>
      <c r="H82" s="43">
        <f>IF(C82="aFRR+",DAMAS_Daily!E82,DAMAS_Daily!F82)</f>
        <v/>
      </c>
      <c r="I82" s="43">
        <f>IF(C82="aFRR+",DAMAS_Daily!G82,DAMAS_Daily!H82)</f>
        <v/>
      </c>
      <c r="J82" s="45">
        <f>IF(C82="aFRR+",DAMAS_Daily!C82,DAMAS_Daily!D82)</f>
        <v/>
      </c>
      <c r="K82" s="45">
        <f>IF(C82="aFRR+",MIN(DAMAS_Daily!C82*market_share_A*acceptance_rate*stack_activation,power_mw*hours_per_day,capacity_mwh),MIN(DAMAS_Daily!D82*market_share_A*acceptance_rate*stack_activation,power_mw*hours_per_day,capacity_mwh))</f>
        <v/>
      </c>
      <c r="L82" s="42">
        <f>IF(K82&gt;=capacity_mwh-0.01,"yes","no")</f>
        <v/>
      </c>
      <c r="M82" s="13">
        <f>IF(C82="aFRR+",(MIN(DAMAS_Daily!C82*market_share_A*acceptance_rate*stack_activation,power_mw*hours_per_day,capacity_mwh))*DAMAS_Daily!E82*activation_mult_A,(MIN(DAMAS_Daily!D82*market_share_A*acceptance_rate*stack_activation,power_mw*hours_per_day,capacity_mwh))*DAMAS_Daily!F82*activation_mult_A)</f>
        <v/>
      </c>
      <c r="N82" s="14">
        <f>F82+M82</f>
        <v/>
      </c>
    </row>
    <row r="83">
      <c r="A83" s="41">
        <f>DAMAS_Daily!A83</f>
        <v/>
      </c>
      <c r="B83" s="42">
        <f>DAMAS_Daily!B83</f>
        <v/>
      </c>
      <c r="C83" s="42">
        <f>IF((power_mw*hours_per_day*damas_afrr_up*capacity_mult_A*stack_capacity*acceptance_rate+(MIN(DAMAS_Daily!C83*market_share_A*acceptance_rate*stack_activation,power_mw*hours_per_day,capacity_mwh))*DAMAS_Daily!E83*activation_mult_A)&gt;=(power_mw*hours_per_day*damas_afrr_down*capacity_mult_A*stack_capacity*acceptance_rate+(MIN(DAMAS_Daily!D83*market_share_A*acceptance_rate*stack_activation,power_mw*hours_per_day,capacity_mwh))*DAMAS_Daily!F83*activation_mult_A),"aFRR+","aFRR-")</f>
        <v/>
      </c>
      <c r="D83" s="43">
        <f>IF(C83="aFRR+",damas_afrr_up*capacity_mult_A,damas_afrr_down*capacity_mult_A)</f>
        <v/>
      </c>
      <c r="E83" s="44">
        <f>acceptance_rate</f>
        <v/>
      </c>
      <c r="F83" s="13">
        <f>IF(C83="aFRR+",power_mw*hours_per_day*damas_afrr_up*capacity_mult_A*stack_capacity*acceptance_rate,power_mw*hours_per_day*damas_afrr_down*capacity_mult_A*stack_capacity*acceptance_rate)</f>
        <v/>
      </c>
      <c r="G83" s="42">
        <f>IF(C83="aFRR+",DAMAS_Daily!I83,DAMAS_Daily!J83)</f>
        <v/>
      </c>
      <c r="H83" s="43">
        <f>IF(C83="aFRR+",DAMAS_Daily!E83,DAMAS_Daily!F83)</f>
        <v/>
      </c>
      <c r="I83" s="43">
        <f>IF(C83="aFRR+",DAMAS_Daily!G83,DAMAS_Daily!H83)</f>
        <v/>
      </c>
      <c r="J83" s="45">
        <f>IF(C83="aFRR+",DAMAS_Daily!C83,DAMAS_Daily!D83)</f>
        <v/>
      </c>
      <c r="K83" s="45">
        <f>IF(C83="aFRR+",MIN(DAMAS_Daily!C83*market_share_A*acceptance_rate*stack_activation,power_mw*hours_per_day,capacity_mwh),MIN(DAMAS_Daily!D83*market_share_A*acceptance_rate*stack_activation,power_mw*hours_per_day,capacity_mwh))</f>
        <v/>
      </c>
      <c r="L83" s="42">
        <f>IF(K83&gt;=capacity_mwh-0.01,"yes","no")</f>
        <v/>
      </c>
      <c r="M83" s="13">
        <f>IF(C83="aFRR+",(MIN(DAMAS_Daily!C83*market_share_A*acceptance_rate*stack_activation,power_mw*hours_per_day,capacity_mwh))*DAMAS_Daily!E83*activation_mult_A,(MIN(DAMAS_Daily!D83*market_share_A*acceptance_rate*stack_activation,power_mw*hours_per_day,capacity_mwh))*DAMAS_Daily!F83*activation_mult_A)</f>
        <v/>
      </c>
      <c r="N83" s="14">
        <f>F83+M83</f>
        <v/>
      </c>
    </row>
    <row r="84">
      <c r="A84" s="41">
        <f>DAMAS_Daily!A84</f>
        <v/>
      </c>
      <c r="B84" s="42">
        <f>DAMAS_Daily!B84</f>
        <v/>
      </c>
      <c r="C84" s="42">
        <f>IF((power_mw*hours_per_day*damas_afrr_up*capacity_mult_A*stack_capacity*acceptance_rate+(MIN(DAMAS_Daily!C84*market_share_A*acceptance_rate*stack_activation,power_mw*hours_per_day,capacity_mwh))*DAMAS_Daily!E84*activation_mult_A)&gt;=(power_mw*hours_per_day*damas_afrr_down*capacity_mult_A*stack_capacity*acceptance_rate+(MIN(DAMAS_Daily!D84*market_share_A*acceptance_rate*stack_activation,power_mw*hours_per_day,capacity_mwh))*DAMAS_Daily!F84*activation_mult_A),"aFRR+","aFRR-")</f>
        <v/>
      </c>
      <c r="D84" s="43">
        <f>IF(C84="aFRR+",damas_afrr_up*capacity_mult_A,damas_afrr_down*capacity_mult_A)</f>
        <v/>
      </c>
      <c r="E84" s="44">
        <f>acceptance_rate</f>
        <v/>
      </c>
      <c r="F84" s="13">
        <f>IF(C84="aFRR+",power_mw*hours_per_day*damas_afrr_up*capacity_mult_A*stack_capacity*acceptance_rate,power_mw*hours_per_day*damas_afrr_down*capacity_mult_A*stack_capacity*acceptance_rate)</f>
        <v/>
      </c>
      <c r="G84" s="42">
        <f>IF(C84="aFRR+",DAMAS_Daily!I84,DAMAS_Daily!J84)</f>
        <v/>
      </c>
      <c r="H84" s="43">
        <f>IF(C84="aFRR+",DAMAS_Daily!E84,DAMAS_Daily!F84)</f>
        <v/>
      </c>
      <c r="I84" s="43">
        <f>IF(C84="aFRR+",DAMAS_Daily!G84,DAMAS_Daily!H84)</f>
        <v/>
      </c>
      <c r="J84" s="45">
        <f>IF(C84="aFRR+",DAMAS_Daily!C84,DAMAS_Daily!D84)</f>
        <v/>
      </c>
      <c r="K84" s="45">
        <f>IF(C84="aFRR+",MIN(DAMAS_Daily!C84*market_share_A*acceptance_rate*stack_activation,power_mw*hours_per_day,capacity_mwh),MIN(DAMAS_Daily!D84*market_share_A*acceptance_rate*stack_activation,power_mw*hours_per_day,capacity_mwh))</f>
        <v/>
      </c>
      <c r="L84" s="42">
        <f>IF(K84&gt;=capacity_mwh-0.01,"yes","no")</f>
        <v/>
      </c>
      <c r="M84" s="13">
        <f>IF(C84="aFRR+",(MIN(DAMAS_Daily!C84*market_share_A*acceptance_rate*stack_activation,power_mw*hours_per_day,capacity_mwh))*DAMAS_Daily!E84*activation_mult_A,(MIN(DAMAS_Daily!D84*market_share_A*acceptance_rate*stack_activation,power_mw*hours_per_day,capacity_mwh))*DAMAS_Daily!F84*activation_mult_A)</f>
        <v/>
      </c>
      <c r="N84" s="14">
        <f>F84+M84</f>
        <v/>
      </c>
    </row>
    <row r="85">
      <c r="A85" s="41">
        <f>DAMAS_Daily!A85</f>
        <v/>
      </c>
      <c r="B85" s="42">
        <f>DAMAS_Daily!B85</f>
        <v/>
      </c>
      <c r="C85" s="42">
        <f>IF((power_mw*hours_per_day*damas_afrr_up*capacity_mult_A*stack_capacity*acceptance_rate+(MIN(DAMAS_Daily!C85*market_share_A*acceptance_rate*stack_activation,power_mw*hours_per_day,capacity_mwh))*DAMAS_Daily!E85*activation_mult_A)&gt;=(power_mw*hours_per_day*damas_afrr_down*capacity_mult_A*stack_capacity*acceptance_rate+(MIN(DAMAS_Daily!D85*market_share_A*acceptance_rate*stack_activation,power_mw*hours_per_day,capacity_mwh))*DAMAS_Daily!F85*activation_mult_A),"aFRR+","aFRR-")</f>
        <v/>
      </c>
      <c r="D85" s="43">
        <f>IF(C85="aFRR+",damas_afrr_up*capacity_mult_A,damas_afrr_down*capacity_mult_A)</f>
        <v/>
      </c>
      <c r="E85" s="44">
        <f>acceptance_rate</f>
        <v/>
      </c>
      <c r="F85" s="13">
        <f>IF(C85="aFRR+",power_mw*hours_per_day*damas_afrr_up*capacity_mult_A*stack_capacity*acceptance_rate,power_mw*hours_per_day*damas_afrr_down*capacity_mult_A*stack_capacity*acceptance_rate)</f>
        <v/>
      </c>
      <c r="G85" s="42">
        <f>IF(C85="aFRR+",DAMAS_Daily!I85,DAMAS_Daily!J85)</f>
        <v/>
      </c>
      <c r="H85" s="43">
        <f>IF(C85="aFRR+",DAMAS_Daily!E85,DAMAS_Daily!F85)</f>
        <v/>
      </c>
      <c r="I85" s="43">
        <f>IF(C85="aFRR+",DAMAS_Daily!G85,DAMAS_Daily!H85)</f>
        <v/>
      </c>
      <c r="J85" s="45">
        <f>IF(C85="aFRR+",DAMAS_Daily!C85,DAMAS_Daily!D85)</f>
        <v/>
      </c>
      <c r="K85" s="45">
        <f>IF(C85="aFRR+",MIN(DAMAS_Daily!C85*market_share_A*acceptance_rate*stack_activation,power_mw*hours_per_day,capacity_mwh),MIN(DAMAS_Daily!D85*market_share_A*acceptance_rate*stack_activation,power_mw*hours_per_day,capacity_mwh))</f>
        <v/>
      </c>
      <c r="L85" s="42">
        <f>IF(K85&gt;=capacity_mwh-0.01,"yes","no")</f>
        <v/>
      </c>
      <c r="M85" s="13">
        <f>IF(C85="aFRR+",(MIN(DAMAS_Daily!C85*market_share_A*acceptance_rate*stack_activation,power_mw*hours_per_day,capacity_mwh))*DAMAS_Daily!E85*activation_mult_A,(MIN(DAMAS_Daily!D85*market_share_A*acceptance_rate*stack_activation,power_mw*hours_per_day,capacity_mwh))*DAMAS_Daily!F85*activation_mult_A)</f>
        <v/>
      </c>
      <c r="N85" s="14">
        <f>F85+M85</f>
        <v/>
      </c>
    </row>
    <row r="86">
      <c r="A86" s="41">
        <f>DAMAS_Daily!A86</f>
        <v/>
      </c>
      <c r="B86" s="42">
        <f>DAMAS_Daily!B86</f>
        <v/>
      </c>
      <c r="C86" s="42">
        <f>IF((power_mw*hours_per_day*damas_afrr_up*capacity_mult_A*stack_capacity*acceptance_rate+(MIN(DAMAS_Daily!C86*market_share_A*acceptance_rate*stack_activation,power_mw*hours_per_day,capacity_mwh))*DAMAS_Daily!E86*activation_mult_A)&gt;=(power_mw*hours_per_day*damas_afrr_down*capacity_mult_A*stack_capacity*acceptance_rate+(MIN(DAMAS_Daily!D86*market_share_A*acceptance_rate*stack_activation,power_mw*hours_per_day,capacity_mwh))*DAMAS_Daily!F86*activation_mult_A),"aFRR+","aFRR-")</f>
        <v/>
      </c>
      <c r="D86" s="43">
        <f>IF(C86="aFRR+",damas_afrr_up*capacity_mult_A,damas_afrr_down*capacity_mult_A)</f>
        <v/>
      </c>
      <c r="E86" s="44">
        <f>acceptance_rate</f>
        <v/>
      </c>
      <c r="F86" s="13">
        <f>IF(C86="aFRR+",power_mw*hours_per_day*damas_afrr_up*capacity_mult_A*stack_capacity*acceptance_rate,power_mw*hours_per_day*damas_afrr_down*capacity_mult_A*stack_capacity*acceptance_rate)</f>
        <v/>
      </c>
      <c r="G86" s="42">
        <f>IF(C86="aFRR+",DAMAS_Daily!I86,DAMAS_Daily!J86)</f>
        <v/>
      </c>
      <c r="H86" s="43">
        <f>IF(C86="aFRR+",DAMAS_Daily!E86,DAMAS_Daily!F86)</f>
        <v/>
      </c>
      <c r="I86" s="43">
        <f>IF(C86="aFRR+",DAMAS_Daily!G86,DAMAS_Daily!H86)</f>
        <v/>
      </c>
      <c r="J86" s="45">
        <f>IF(C86="aFRR+",DAMAS_Daily!C86,DAMAS_Daily!D86)</f>
        <v/>
      </c>
      <c r="K86" s="45">
        <f>IF(C86="aFRR+",MIN(DAMAS_Daily!C86*market_share_A*acceptance_rate*stack_activation,power_mw*hours_per_day,capacity_mwh),MIN(DAMAS_Daily!D86*market_share_A*acceptance_rate*stack_activation,power_mw*hours_per_day,capacity_mwh))</f>
        <v/>
      </c>
      <c r="L86" s="42">
        <f>IF(K86&gt;=capacity_mwh-0.01,"yes","no")</f>
        <v/>
      </c>
      <c r="M86" s="13">
        <f>IF(C86="aFRR+",(MIN(DAMAS_Daily!C86*market_share_A*acceptance_rate*stack_activation,power_mw*hours_per_day,capacity_mwh))*DAMAS_Daily!E86*activation_mult_A,(MIN(DAMAS_Daily!D86*market_share_A*acceptance_rate*stack_activation,power_mw*hours_per_day,capacity_mwh))*DAMAS_Daily!F86*activation_mult_A)</f>
        <v/>
      </c>
      <c r="N86" s="14">
        <f>F86+M86</f>
        <v/>
      </c>
    </row>
    <row r="87">
      <c r="A87" s="41">
        <f>DAMAS_Daily!A87</f>
        <v/>
      </c>
      <c r="B87" s="42">
        <f>DAMAS_Daily!B87</f>
        <v/>
      </c>
      <c r="C87" s="42">
        <f>IF((power_mw*hours_per_day*damas_afrr_up*capacity_mult_A*stack_capacity*acceptance_rate+(MIN(DAMAS_Daily!C87*market_share_A*acceptance_rate*stack_activation,power_mw*hours_per_day,capacity_mwh))*DAMAS_Daily!E87*activation_mult_A)&gt;=(power_mw*hours_per_day*damas_afrr_down*capacity_mult_A*stack_capacity*acceptance_rate+(MIN(DAMAS_Daily!D87*market_share_A*acceptance_rate*stack_activation,power_mw*hours_per_day,capacity_mwh))*DAMAS_Daily!F87*activation_mult_A),"aFRR+","aFRR-")</f>
        <v/>
      </c>
      <c r="D87" s="43">
        <f>IF(C87="aFRR+",damas_afrr_up*capacity_mult_A,damas_afrr_down*capacity_mult_A)</f>
        <v/>
      </c>
      <c r="E87" s="44">
        <f>acceptance_rate</f>
        <v/>
      </c>
      <c r="F87" s="13">
        <f>IF(C87="aFRR+",power_mw*hours_per_day*damas_afrr_up*capacity_mult_A*stack_capacity*acceptance_rate,power_mw*hours_per_day*damas_afrr_down*capacity_mult_A*stack_capacity*acceptance_rate)</f>
        <v/>
      </c>
      <c r="G87" s="42">
        <f>IF(C87="aFRR+",DAMAS_Daily!I87,DAMAS_Daily!J87)</f>
        <v/>
      </c>
      <c r="H87" s="43">
        <f>IF(C87="aFRR+",DAMAS_Daily!E87,DAMAS_Daily!F87)</f>
        <v/>
      </c>
      <c r="I87" s="43">
        <f>IF(C87="aFRR+",DAMAS_Daily!G87,DAMAS_Daily!H87)</f>
        <v/>
      </c>
      <c r="J87" s="45">
        <f>IF(C87="aFRR+",DAMAS_Daily!C87,DAMAS_Daily!D87)</f>
        <v/>
      </c>
      <c r="K87" s="45">
        <f>IF(C87="aFRR+",MIN(DAMAS_Daily!C87*market_share_A*acceptance_rate*stack_activation,power_mw*hours_per_day,capacity_mwh),MIN(DAMAS_Daily!D87*market_share_A*acceptance_rate*stack_activation,power_mw*hours_per_day,capacity_mwh))</f>
        <v/>
      </c>
      <c r="L87" s="42">
        <f>IF(K87&gt;=capacity_mwh-0.01,"yes","no")</f>
        <v/>
      </c>
      <c r="M87" s="13">
        <f>IF(C87="aFRR+",(MIN(DAMAS_Daily!C87*market_share_A*acceptance_rate*stack_activation,power_mw*hours_per_day,capacity_mwh))*DAMAS_Daily!E87*activation_mult_A,(MIN(DAMAS_Daily!D87*market_share_A*acceptance_rate*stack_activation,power_mw*hours_per_day,capacity_mwh))*DAMAS_Daily!F87*activation_mult_A)</f>
        <v/>
      </c>
      <c r="N87" s="14">
        <f>F87+M87</f>
        <v/>
      </c>
    </row>
    <row r="88">
      <c r="A88" s="41">
        <f>DAMAS_Daily!A88</f>
        <v/>
      </c>
      <c r="B88" s="42">
        <f>DAMAS_Daily!B88</f>
        <v/>
      </c>
      <c r="C88" s="42">
        <f>IF((power_mw*hours_per_day*damas_afrr_up*capacity_mult_A*stack_capacity*acceptance_rate+(MIN(DAMAS_Daily!C88*market_share_A*acceptance_rate*stack_activation,power_mw*hours_per_day,capacity_mwh))*DAMAS_Daily!E88*activation_mult_A)&gt;=(power_mw*hours_per_day*damas_afrr_down*capacity_mult_A*stack_capacity*acceptance_rate+(MIN(DAMAS_Daily!D88*market_share_A*acceptance_rate*stack_activation,power_mw*hours_per_day,capacity_mwh))*DAMAS_Daily!F88*activation_mult_A),"aFRR+","aFRR-")</f>
        <v/>
      </c>
      <c r="D88" s="43">
        <f>IF(C88="aFRR+",damas_afrr_up*capacity_mult_A,damas_afrr_down*capacity_mult_A)</f>
        <v/>
      </c>
      <c r="E88" s="44">
        <f>acceptance_rate</f>
        <v/>
      </c>
      <c r="F88" s="13">
        <f>IF(C88="aFRR+",power_mw*hours_per_day*damas_afrr_up*capacity_mult_A*stack_capacity*acceptance_rate,power_mw*hours_per_day*damas_afrr_down*capacity_mult_A*stack_capacity*acceptance_rate)</f>
        <v/>
      </c>
      <c r="G88" s="42">
        <f>IF(C88="aFRR+",DAMAS_Daily!I88,DAMAS_Daily!J88)</f>
        <v/>
      </c>
      <c r="H88" s="43">
        <f>IF(C88="aFRR+",DAMAS_Daily!E88,DAMAS_Daily!F88)</f>
        <v/>
      </c>
      <c r="I88" s="43">
        <f>IF(C88="aFRR+",DAMAS_Daily!G88,DAMAS_Daily!H88)</f>
        <v/>
      </c>
      <c r="J88" s="45">
        <f>IF(C88="aFRR+",DAMAS_Daily!C88,DAMAS_Daily!D88)</f>
        <v/>
      </c>
      <c r="K88" s="45">
        <f>IF(C88="aFRR+",MIN(DAMAS_Daily!C88*market_share_A*acceptance_rate*stack_activation,power_mw*hours_per_day,capacity_mwh),MIN(DAMAS_Daily!D88*market_share_A*acceptance_rate*stack_activation,power_mw*hours_per_day,capacity_mwh))</f>
        <v/>
      </c>
      <c r="L88" s="42">
        <f>IF(K88&gt;=capacity_mwh-0.01,"yes","no")</f>
        <v/>
      </c>
      <c r="M88" s="13">
        <f>IF(C88="aFRR+",(MIN(DAMAS_Daily!C88*market_share_A*acceptance_rate*stack_activation,power_mw*hours_per_day,capacity_mwh))*DAMAS_Daily!E88*activation_mult_A,(MIN(DAMAS_Daily!D88*market_share_A*acceptance_rate*stack_activation,power_mw*hours_per_day,capacity_mwh))*DAMAS_Daily!F88*activation_mult_A)</f>
        <v/>
      </c>
      <c r="N88" s="14">
        <f>F88+M88</f>
        <v/>
      </c>
    </row>
    <row r="89">
      <c r="A89" s="41">
        <f>DAMAS_Daily!A89</f>
        <v/>
      </c>
      <c r="B89" s="42">
        <f>DAMAS_Daily!B89</f>
        <v/>
      </c>
      <c r="C89" s="42">
        <f>IF((power_mw*hours_per_day*damas_afrr_up*capacity_mult_A*stack_capacity*acceptance_rate+(MIN(DAMAS_Daily!C89*market_share_A*acceptance_rate*stack_activation,power_mw*hours_per_day,capacity_mwh))*DAMAS_Daily!E89*activation_mult_A)&gt;=(power_mw*hours_per_day*damas_afrr_down*capacity_mult_A*stack_capacity*acceptance_rate+(MIN(DAMAS_Daily!D89*market_share_A*acceptance_rate*stack_activation,power_mw*hours_per_day,capacity_mwh))*DAMAS_Daily!F89*activation_mult_A),"aFRR+","aFRR-")</f>
        <v/>
      </c>
      <c r="D89" s="43">
        <f>IF(C89="aFRR+",damas_afrr_up*capacity_mult_A,damas_afrr_down*capacity_mult_A)</f>
        <v/>
      </c>
      <c r="E89" s="44">
        <f>acceptance_rate</f>
        <v/>
      </c>
      <c r="F89" s="13">
        <f>IF(C89="aFRR+",power_mw*hours_per_day*damas_afrr_up*capacity_mult_A*stack_capacity*acceptance_rate,power_mw*hours_per_day*damas_afrr_down*capacity_mult_A*stack_capacity*acceptance_rate)</f>
        <v/>
      </c>
      <c r="G89" s="42">
        <f>IF(C89="aFRR+",DAMAS_Daily!I89,DAMAS_Daily!J89)</f>
        <v/>
      </c>
      <c r="H89" s="43">
        <f>IF(C89="aFRR+",DAMAS_Daily!E89,DAMAS_Daily!F89)</f>
        <v/>
      </c>
      <c r="I89" s="43">
        <f>IF(C89="aFRR+",DAMAS_Daily!G89,DAMAS_Daily!H89)</f>
        <v/>
      </c>
      <c r="J89" s="45">
        <f>IF(C89="aFRR+",DAMAS_Daily!C89,DAMAS_Daily!D89)</f>
        <v/>
      </c>
      <c r="K89" s="45">
        <f>IF(C89="aFRR+",MIN(DAMAS_Daily!C89*market_share_A*acceptance_rate*stack_activation,power_mw*hours_per_day,capacity_mwh),MIN(DAMAS_Daily!D89*market_share_A*acceptance_rate*stack_activation,power_mw*hours_per_day,capacity_mwh))</f>
        <v/>
      </c>
      <c r="L89" s="42">
        <f>IF(K89&gt;=capacity_mwh-0.01,"yes","no")</f>
        <v/>
      </c>
      <c r="M89" s="13">
        <f>IF(C89="aFRR+",(MIN(DAMAS_Daily!C89*market_share_A*acceptance_rate*stack_activation,power_mw*hours_per_day,capacity_mwh))*DAMAS_Daily!E89*activation_mult_A,(MIN(DAMAS_Daily!D89*market_share_A*acceptance_rate*stack_activation,power_mw*hours_per_day,capacity_mwh))*DAMAS_Daily!F89*activation_mult_A)</f>
        <v/>
      </c>
      <c r="N89" s="14">
        <f>F89+M89</f>
        <v/>
      </c>
    </row>
    <row r="90">
      <c r="A90" s="41">
        <f>DAMAS_Daily!A90</f>
        <v/>
      </c>
      <c r="B90" s="42">
        <f>DAMAS_Daily!B90</f>
        <v/>
      </c>
      <c r="C90" s="42">
        <f>IF((power_mw*hours_per_day*damas_afrr_up*capacity_mult_A*stack_capacity*acceptance_rate+(MIN(DAMAS_Daily!C90*market_share_A*acceptance_rate*stack_activation,power_mw*hours_per_day,capacity_mwh))*DAMAS_Daily!E90*activation_mult_A)&gt;=(power_mw*hours_per_day*damas_afrr_down*capacity_mult_A*stack_capacity*acceptance_rate+(MIN(DAMAS_Daily!D90*market_share_A*acceptance_rate*stack_activation,power_mw*hours_per_day,capacity_mwh))*DAMAS_Daily!F90*activation_mult_A),"aFRR+","aFRR-")</f>
        <v/>
      </c>
      <c r="D90" s="43">
        <f>IF(C90="aFRR+",damas_afrr_up*capacity_mult_A,damas_afrr_down*capacity_mult_A)</f>
        <v/>
      </c>
      <c r="E90" s="44">
        <f>acceptance_rate</f>
        <v/>
      </c>
      <c r="F90" s="13">
        <f>IF(C90="aFRR+",power_mw*hours_per_day*damas_afrr_up*capacity_mult_A*stack_capacity*acceptance_rate,power_mw*hours_per_day*damas_afrr_down*capacity_mult_A*stack_capacity*acceptance_rate)</f>
        <v/>
      </c>
      <c r="G90" s="42">
        <f>IF(C90="aFRR+",DAMAS_Daily!I90,DAMAS_Daily!J90)</f>
        <v/>
      </c>
      <c r="H90" s="43">
        <f>IF(C90="aFRR+",DAMAS_Daily!E90,DAMAS_Daily!F90)</f>
        <v/>
      </c>
      <c r="I90" s="43">
        <f>IF(C90="aFRR+",DAMAS_Daily!G90,DAMAS_Daily!H90)</f>
        <v/>
      </c>
      <c r="J90" s="45">
        <f>IF(C90="aFRR+",DAMAS_Daily!C90,DAMAS_Daily!D90)</f>
        <v/>
      </c>
      <c r="K90" s="45">
        <f>IF(C90="aFRR+",MIN(DAMAS_Daily!C90*market_share_A*acceptance_rate*stack_activation,power_mw*hours_per_day,capacity_mwh),MIN(DAMAS_Daily!D90*market_share_A*acceptance_rate*stack_activation,power_mw*hours_per_day,capacity_mwh))</f>
        <v/>
      </c>
      <c r="L90" s="42">
        <f>IF(K90&gt;=capacity_mwh-0.01,"yes","no")</f>
        <v/>
      </c>
      <c r="M90" s="13">
        <f>IF(C90="aFRR+",(MIN(DAMAS_Daily!C90*market_share_A*acceptance_rate*stack_activation,power_mw*hours_per_day,capacity_mwh))*DAMAS_Daily!E90*activation_mult_A,(MIN(DAMAS_Daily!D90*market_share_A*acceptance_rate*stack_activation,power_mw*hours_per_day,capacity_mwh))*DAMAS_Daily!F90*activation_mult_A)</f>
        <v/>
      </c>
      <c r="N90" s="14">
        <f>F90+M90</f>
        <v/>
      </c>
    </row>
    <row r="91">
      <c r="A91" s="41">
        <f>DAMAS_Daily!A91</f>
        <v/>
      </c>
      <c r="B91" s="42">
        <f>DAMAS_Daily!B91</f>
        <v/>
      </c>
      <c r="C91" s="42">
        <f>IF((power_mw*hours_per_day*damas_afrr_up*capacity_mult_A*stack_capacity*acceptance_rate+(MIN(DAMAS_Daily!C91*market_share_A*acceptance_rate*stack_activation,power_mw*hours_per_day,capacity_mwh))*DAMAS_Daily!E91*activation_mult_A)&gt;=(power_mw*hours_per_day*damas_afrr_down*capacity_mult_A*stack_capacity*acceptance_rate+(MIN(DAMAS_Daily!D91*market_share_A*acceptance_rate*stack_activation,power_mw*hours_per_day,capacity_mwh))*DAMAS_Daily!F91*activation_mult_A),"aFRR+","aFRR-")</f>
        <v/>
      </c>
      <c r="D91" s="43">
        <f>IF(C91="aFRR+",damas_afrr_up*capacity_mult_A,damas_afrr_down*capacity_mult_A)</f>
        <v/>
      </c>
      <c r="E91" s="44">
        <f>acceptance_rate</f>
        <v/>
      </c>
      <c r="F91" s="13">
        <f>IF(C91="aFRR+",power_mw*hours_per_day*damas_afrr_up*capacity_mult_A*stack_capacity*acceptance_rate,power_mw*hours_per_day*damas_afrr_down*capacity_mult_A*stack_capacity*acceptance_rate)</f>
        <v/>
      </c>
      <c r="G91" s="42">
        <f>IF(C91="aFRR+",DAMAS_Daily!I91,DAMAS_Daily!J91)</f>
        <v/>
      </c>
      <c r="H91" s="43">
        <f>IF(C91="aFRR+",DAMAS_Daily!E91,DAMAS_Daily!F91)</f>
        <v/>
      </c>
      <c r="I91" s="43">
        <f>IF(C91="aFRR+",DAMAS_Daily!G91,DAMAS_Daily!H91)</f>
        <v/>
      </c>
      <c r="J91" s="45">
        <f>IF(C91="aFRR+",DAMAS_Daily!C91,DAMAS_Daily!D91)</f>
        <v/>
      </c>
      <c r="K91" s="45">
        <f>IF(C91="aFRR+",MIN(DAMAS_Daily!C91*market_share_A*acceptance_rate*stack_activation,power_mw*hours_per_day,capacity_mwh),MIN(DAMAS_Daily!D91*market_share_A*acceptance_rate*stack_activation,power_mw*hours_per_day,capacity_mwh))</f>
        <v/>
      </c>
      <c r="L91" s="42">
        <f>IF(K91&gt;=capacity_mwh-0.01,"yes","no")</f>
        <v/>
      </c>
      <c r="M91" s="13">
        <f>IF(C91="aFRR+",(MIN(DAMAS_Daily!C91*market_share_A*acceptance_rate*stack_activation,power_mw*hours_per_day,capacity_mwh))*DAMAS_Daily!E91*activation_mult_A,(MIN(DAMAS_Daily!D91*market_share_A*acceptance_rate*stack_activation,power_mw*hours_per_day,capacity_mwh))*DAMAS_Daily!F91*activation_mult_A)</f>
        <v/>
      </c>
      <c r="N91" s="14">
        <f>F91+M91</f>
        <v/>
      </c>
    </row>
    <row r="92">
      <c r="A92" s="41">
        <f>DAMAS_Daily!A92</f>
        <v/>
      </c>
      <c r="B92" s="42">
        <f>DAMAS_Daily!B92</f>
        <v/>
      </c>
      <c r="C92" s="42">
        <f>IF((power_mw*hours_per_day*damas_afrr_up*capacity_mult_A*stack_capacity*acceptance_rate+(MIN(DAMAS_Daily!C92*market_share_A*acceptance_rate*stack_activation,power_mw*hours_per_day,capacity_mwh))*DAMAS_Daily!E92*activation_mult_A)&gt;=(power_mw*hours_per_day*damas_afrr_down*capacity_mult_A*stack_capacity*acceptance_rate+(MIN(DAMAS_Daily!D92*market_share_A*acceptance_rate*stack_activation,power_mw*hours_per_day,capacity_mwh))*DAMAS_Daily!F92*activation_mult_A),"aFRR+","aFRR-")</f>
        <v/>
      </c>
      <c r="D92" s="43">
        <f>IF(C92="aFRR+",damas_afrr_up*capacity_mult_A,damas_afrr_down*capacity_mult_A)</f>
        <v/>
      </c>
      <c r="E92" s="44">
        <f>acceptance_rate</f>
        <v/>
      </c>
      <c r="F92" s="13">
        <f>IF(C92="aFRR+",power_mw*hours_per_day*damas_afrr_up*capacity_mult_A*stack_capacity*acceptance_rate,power_mw*hours_per_day*damas_afrr_down*capacity_mult_A*stack_capacity*acceptance_rate)</f>
        <v/>
      </c>
      <c r="G92" s="42">
        <f>IF(C92="aFRR+",DAMAS_Daily!I92,DAMAS_Daily!J92)</f>
        <v/>
      </c>
      <c r="H92" s="43">
        <f>IF(C92="aFRR+",DAMAS_Daily!E92,DAMAS_Daily!F92)</f>
        <v/>
      </c>
      <c r="I92" s="43">
        <f>IF(C92="aFRR+",DAMAS_Daily!G92,DAMAS_Daily!H92)</f>
        <v/>
      </c>
      <c r="J92" s="45">
        <f>IF(C92="aFRR+",DAMAS_Daily!C92,DAMAS_Daily!D92)</f>
        <v/>
      </c>
      <c r="K92" s="45">
        <f>IF(C92="aFRR+",MIN(DAMAS_Daily!C92*market_share_A*acceptance_rate*stack_activation,power_mw*hours_per_day,capacity_mwh),MIN(DAMAS_Daily!D92*market_share_A*acceptance_rate*stack_activation,power_mw*hours_per_day,capacity_mwh))</f>
        <v/>
      </c>
      <c r="L92" s="42">
        <f>IF(K92&gt;=capacity_mwh-0.01,"yes","no")</f>
        <v/>
      </c>
      <c r="M92" s="13">
        <f>IF(C92="aFRR+",(MIN(DAMAS_Daily!C92*market_share_A*acceptance_rate*stack_activation,power_mw*hours_per_day,capacity_mwh))*DAMAS_Daily!E92*activation_mult_A,(MIN(DAMAS_Daily!D92*market_share_A*acceptance_rate*stack_activation,power_mw*hours_per_day,capacity_mwh))*DAMAS_Daily!F92*activation_mult_A)</f>
        <v/>
      </c>
      <c r="N92" s="14">
        <f>F92+M92</f>
        <v/>
      </c>
    </row>
    <row r="93">
      <c r="A93" s="41">
        <f>DAMAS_Daily!A93</f>
        <v/>
      </c>
      <c r="B93" s="42">
        <f>DAMAS_Daily!B93</f>
        <v/>
      </c>
      <c r="C93" s="42">
        <f>IF((power_mw*hours_per_day*damas_afrr_up*capacity_mult_A*stack_capacity*acceptance_rate+(MIN(DAMAS_Daily!C93*market_share_A*acceptance_rate*stack_activation,power_mw*hours_per_day,capacity_mwh))*DAMAS_Daily!E93*activation_mult_A)&gt;=(power_mw*hours_per_day*damas_afrr_down*capacity_mult_A*stack_capacity*acceptance_rate+(MIN(DAMAS_Daily!D93*market_share_A*acceptance_rate*stack_activation,power_mw*hours_per_day,capacity_mwh))*DAMAS_Daily!F93*activation_mult_A),"aFRR+","aFRR-")</f>
        <v/>
      </c>
      <c r="D93" s="43">
        <f>IF(C93="aFRR+",damas_afrr_up*capacity_mult_A,damas_afrr_down*capacity_mult_A)</f>
        <v/>
      </c>
      <c r="E93" s="44">
        <f>acceptance_rate</f>
        <v/>
      </c>
      <c r="F93" s="13">
        <f>IF(C93="aFRR+",power_mw*hours_per_day*damas_afrr_up*capacity_mult_A*stack_capacity*acceptance_rate,power_mw*hours_per_day*damas_afrr_down*capacity_mult_A*stack_capacity*acceptance_rate)</f>
        <v/>
      </c>
      <c r="G93" s="42">
        <f>IF(C93="aFRR+",DAMAS_Daily!I93,DAMAS_Daily!J93)</f>
        <v/>
      </c>
      <c r="H93" s="43">
        <f>IF(C93="aFRR+",DAMAS_Daily!E93,DAMAS_Daily!F93)</f>
        <v/>
      </c>
      <c r="I93" s="43">
        <f>IF(C93="aFRR+",DAMAS_Daily!G93,DAMAS_Daily!H93)</f>
        <v/>
      </c>
      <c r="J93" s="45">
        <f>IF(C93="aFRR+",DAMAS_Daily!C93,DAMAS_Daily!D93)</f>
        <v/>
      </c>
      <c r="K93" s="45">
        <f>IF(C93="aFRR+",MIN(DAMAS_Daily!C93*market_share_A*acceptance_rate*stack_activation,power_mw*hours_per_day,capacity_mwh),MIN(DAMAS_Daily!D93*market_share_A*acceptance_rate*stack_activation,power_mw*hours_per_day,capacity_mwh))</f>
        <v/>
      </c>
      <c r="L93" s="42">
        <f>IF(K93&gt;=capacity_mwh-0.01,"yes","no")</f>
        <v/>
      </c>
      <c r="M93" s="13">
        <f>IF(C93="aFRR+",(MIN(DAMAS_Daily!C93*market_share_A*acceptance_rate*stack_activation,power_mw*hours_per_day,capacity_mwh))*DAMAS_Daily!E93*activation_mult_A,(MIN(DAMAS_Daily!D93*market_share_A*acceptance_rate*stack_activation,power_mw*hours_per_day,capacity_mwh))*DAMAS_Daily!F93*activation_mult_A)</f>
        <v/>
      </c>
      <c r="N93" s="14">
        <f>F93+M93</f>
        <v/>
      </c>
    </row>
    <row r="94">
      <c r="A94" s="41">
        <f>DAMAS_Daily!A94</f>
        <v/>
      </c>
      <c r="B94" s="42">
        <f>DAMAS_Daily!B94</f>
        <v/>
      </c>
      <c r="C94" s="42">
        <f>IF((power_mw*hours_per_day*damas_afrr_up*capacity_mult_A*stack_capacity*acceptance_rate+(MIN(DAMAS_Daily!C94*market_share_A*acceptance_rate*stack_activation,power_mw*hours_per_day,capacity_mwh))*DAMAS_Daily!E94*activation_mult_A)&gt;=(power_mw*hours_per_day*damas_afrr_down*capacity_mult_A*stack_capacity*acceptance_rate+(MIN(DAMAS_Daily!D94*market_share_A*acceptance_rate*stack_activation,power_mw*hours_per_day,capacity_mwh))*DAMAS_Daily!F94*activation_mult_A),"aFRR+","aFRR-")</f>
        <v/>
      </c>
      <c r="D94" s="43">
        <f>IF(C94="aFRR+",damas_afrr_up*capacity_mult_A,damas_afrr_down*capacity_mult_A)</f>
        <v/>
      </c>
      <c r="E94" s="44">
        <f>acceptance_rate</f>
        <v/>
      </c>
      <c r="F94" s="13">
        <f>IF(C94="aFRR+",power_mw*hours_per_day*damas_afrr_up*capacity_mult_A*stack_capacity*acceptance_rate,power_mw*hours_per_day*damas_afrr_down*capacity_mult_A*stack_capacity*acceptance_rate)</f>
        <v/>
      </c>
      <c r="G94" s="42">
        <f>IF(C94="aFRR+",DAMAS_Daily!I94,DAMAS_Daily!J94)</f>
        <v/>
      </c>
      <c r="H94" s="43">
        <f>IF(C94="aFRR+",DAMAS_Daily!E94,DAMAS_Daily!F94)</f>
        <v/>
      </c>
      <c r="I94" s="43">
        <f>IF(C94="aFRR+",DAMAS_Daily!G94,DAMAS_Daily!H94)</f>
        <v/>
      </c>
      <c r="J94" s="45">
        <f>IF(C94="aFRR+",DAMAS_Daily!C94,DAMAS_Daily!D94)</f>
        <v/>
      </c>
      <c r="K94" s="45">
        <f>IF(C94="aFRR+",MIN(DAMAS_Daily!C94*market_share_A*acceptance_rate*stack_activation,power_mw*hours_per_day,capacity_mwh),MIN(DAMAS_Daily!D94*market_share_A*acceptance_rate*stack_activation,power_mw*hours_per_day,capacity_mwh))</f>
        <v/>
      </c>
      <c r="L94" s="42">
        <f>IF(K94&gt;=capacity_mwh-0.01,"yes","no")</f>
        <v/>
      </c>
      <c r="M94" s="13">
        <f>IF(C94="aFRR+",(MIN(DAMAS_Daily!C94*market_share_A*acceptance_rate*stack_activation,power_mw*hours_per_day,capacity_mwh))*DAMAS_Daily!E94*activation_mult_A,(MIN(DAMAS_Daily!D94*market_share_A*acceptance_rate*stack_activation,power_mw*hours_per_day,capacity_mwh))*DAMAS_Daily!F94*activation_mult_A)</f>
        <v/>
      </c>
      <c r="N94" s="14">
        <f>F94+M94</f>
        <v/>
      </c>
    </row>
    <row r="95">
      <c r="A95" s="41">
        <f>DAMAS_Daily!A95</f>
        <v/>
      </c>
      <c r="B95" s="42">
        <f>DAMAS_Daily!B95</f>
        <v/>
      </c>
      <c r="C95" s="42">
        <f>IF((power_mw*hours_per_day*damas_afrr_up*capacity_mult_A*stack_capacity*acceptance_rate+(MIN(DAMAS_Daily!C95*market_share_A*acceptance_rate*stack_activation,power_mw*hours_per_day,capacity_mwh))*DAMAS_Daily!E95*activation_mult_A)&gt;=(power_mw*hours_per_day*damas_afrr_down*capacity_mult_A*stack_capacity*acceptance_rate+(MIN(DAMAS_Daily!D95*market_share_A*acceptance_rate*stack_activation,power_mw*hours_per_day,capacity_mwh))*DAMAS_Daily!F95*activation_mult_A),"aFRR+","aFRR-")</f>
        <v/>
      </c>
      <c r="D95" s="43">
        <f>IF(C95="aFRR+",damas_afrr_up*capacity_mult_A,damas_afrr_down*capacity_mult_A)</f>
        <v/>
      </c>
      <c r="E95" s="44">
        <f>acceptance_rate</f>
        <v/>
      </c>
      <c r="F95" s="13">
        <f>IF(C95="aFRR+",power_mw*hours_per_day*damas_afrr_up*capacity_mult_A*stack_capacity*acceptance_rate,power_mw*hours_per_day*damas_afrr_down*capacity_mult_A*stack_capacity*acceptance_rate)</f>
        <v/>
      </c>
      <c r="G95" s="42">
        <f>IF(C95="aFRR+",DAMAS_Daily!I95,DAMAS_Daily!J95)</f>
        <v/>
      </c>
      <c r="H95" s="43">
        <f>IF(C95="aFRR+",DAMAS_Daily!E95,DAMAS_Daily!F95)</f>
        <v/>
      </c>
      <c r="I95" s="43">
        <f>IF(C95="aFRR+",DAMAS_Daily!G95,DAMAS_Daily!H95)</f>
        <v/>
      </c>
      <c r="J95" s="45">
        <f>IF(C95="aFRR+",DAMAS_Daily!C95,DAMAS_Daily!D95)</f>
        <v/>
      </c>
      <c r="K95" s="45">
        <f>IF(C95="aFRR+",MIN(DAMAS_Daily!C95*market_share_A*acceptance_rate*stack_activation,power_mw*hours_per_day,capacity_mwh),MIN(DAMAS_Daily!D95*market_share_A*acceptance_rate*stack_activation,power_mw*hours_per_day,capacity_mwh))</f>
        <v/>
      </c>
      <c r="L95" s="42">
        <f>IF(K95&gt;=capacity_mwh-0.01,"yes","no")</f>
        <v/>
      </c>
      <c r="M95" s="13">
        <f>IF(C95="aFRR+",(MIN(DAMAS_Daily!C95*market_share_A*acceptance_rate*stack_activation,power_mw*hours_per_day,capacity_mwh))*DAMAS_Daily!E95*activation_mult_A,(MIN(DAMAS_Daily!D95*market_share_A*acceptance_rate*stack_activation,power_mw*hours_per_day,capacity_mwh))*DAMAS_Daily!F95*activation_mult_A)</f>
        <v/>
      </c>
      <c r="N95" s="14">
        <f>F95+M95</f>
        <v/>
      </c>
    </row>
    <row r="96">
      <c r="A96" s="41">
        <f>DAMAS_Daily!A96</f>
        <v/>
      </c>
      <c r="B96" s="42">
        <f>DAMAS_Daily!B96</f>
        <v/>
      </c>
      <c r="C96" s="42">
        <f>IF((power_mw*hours_per_day*damas_afrr_up*capacity_mult_A*stack_capacity*acceptance_rate+(MIN(DAMAS_Daily!C96*market_share_A*acceptance_rate*stack_activation,power_mw*hours_per_day,capacity_mwh))*DAMAS_Daily!E96*activation_mult_A)&gt;=(power_mw*hours_per_day*damas_afrr_down*capacity_mult_A*stack_capacity*acceptance_rate+(MIN(DAMAS_Daily!D96*market_share_A*acceptance_rate*stack_activation,power_mw*hours_per_day,capacity_mwh))*DAMAS_Daily!F96*activation_mult_A),"aFRR+","aFRR-")</f>
        <v/>
      </c>
      <c r="D96" s="43">
        <f>IF(C96="aFRR+",damas_afrr_up*capacity_mult_A,damas_afrr_down*capacity_mult_A)</f>
        <v/>
      </c>
      <c r="E96" s="44">
        <f>acceptance_rate</f>
        <v/>
      </c>
      <c r="F96" s="13">
        <f>IF(C96="aFRR+",power_mw*hours_per_day*damas_afrr_up*capacity_mult_A*stack_capacity*acceptance_rate,power_mw*hours_per_day*damas_afrr_down*capacity_mult_A*stack_capacity*acceptance_rate)</f>
        <v/>
      </c>
      <c r="G96" s="42">
        <f>IF(C96="aFRR+",DAMAS_Daily!I96,DAMAS_Daily!J96)</f>
        <v/>
      </c>
      <c r="H96" s="43">
        <f>IF(C96="aFRR+",DAMAS_Daily!E96,DAMAS_Daily!F96)</f>
        <v/>
      </c>
      <c r="I96" s="43">
        <f>IF(C96="aFRR+",DAMAS_Daily!G96,DAMAS_Daily!H96)</f>
        <v/>
      </c>
      <c r="J96" s="45">
        <f>IF(C96="aFRR+",DAMAS_Daily!C96,DAMAS_Daily!D96)</f>
        <v/>
      </c>
      <c r="K96" s="45">
        <f>IF(C96="aFRR+",MIN(DAMAS_Daily!C96*market_share_A*acceptance_rate*stack_activation,power_mw*hours_per_day,capacity_mwh),MIN(DAMAS_Daily!D96*market_share_A*acceptance_rate*stack_activation,power_mw*hours_per_day,capacity_mwh))</f>
        <v/>
      </c>
      <c r="L96" s="42">
        <f>IF(K96&gt;=capacity_mwh-0.01,"yes","no")</f>
        <v/>
      </c>
      <c r="M96" s="13">
        <f>IF(C96="aFRR+",(MIN(DAMAS_Daily!C96*market_share_A*acceptance_rate*stack_activation,power_mw*hours_per_day,capacity_mwh))*DAMAS_Daily!E96*activation_mult_A,(MIN(DAMAS_Daily!D96*market_share_A*acceptance_rate*stack_activation,power_mw*hours_per_day,capacity_mwh))*DAMAS_Daily!F96*activation_mult_A)</f>
        <v/>
      </c>
      <c r="N96" s="14">
        <f>F96+M96</f>
        <v/>
      </c>
    </row>
    <row r="97">
      <c r="A97" s="41">
        <f>DAMAS_Daily!A97</f>
        <v/>
      </c>
      <c r="B97" s="42">
        <f>DAMAS_Daily!B97</f>
        <v/>
      </c>
      <c r="C97" s="42">
        <f>IF((power_mw*hours_per_day*damas_afrr_up*capacity_mult_A*stack_capacity*acceptance_rate+(MIN(DAMAS_Daily!C97*market_share_A*acceptance_rate*stack_activation,power_mw*hours_per_day,capacity_mwh))*DAMAS_Daily!E97*activation_mult_A)&gt;=(power_mw*hours_per_day*damas_afrr_down*capacity_mult_A*stack_capacity*acceptance_rate+(MIN(DAMAS_Daily!D97*market_share_A*acceptance_rate*stack_activation,power_mw*hours_per_day,capacity_mwh))*DAMAS_Daily!F97*activation_mult_A),"aFRR+","aFRR-")</f>
        <v/>
      </c>
      <c r="D97" s="43">
        <f>IF(C97="aFRR+",damas_afrr_up*capacity_mult_A,damas_afrr_down*capacity_mult_A)</f>
        <v/>
      </c>
      <c r="E97" s="44">
        <f>acceptance_rate</f>
        <v/>
      </c>
      <c r="F97" s="13">
        <f>IF(C97="aFRR+",power_mw*hours_per_day*damas_afrr_up*capacity_mult_A*stack_capacity*acceptance_rate,power_mw*hours_per_day*damas_afrr_down*capacity_mult_A*stack_capacity*acceptance_rate)</f>
        <v/>
      </c>
      <c r="G97" s="42">
        <f>IF(C97="aFRR+",DAMAS_Daily!I97,DAMAS_Daily!J97)</f>
        <v/>
      </c>
      <c r="H97" s="43">
        <f>IF(C97="aFRR+",DAMAS_Daily!E97,DAMAS_Daily!F97)</f>
        <v/>
      </c>
      <c r="I97" s="43">
        <f>IF(C97="aFRR+",DAMAS_Daily!G97,DAMAS_Daily!H97)</f>
        <v/>
      </c>
      <c r="J97" s="45">
        <f>IF(C97="aFRR+",DAMAS_Daily!C97,DAMAS_Daily!D97)</f>
        <v/>
      </c>
      <c r="K97" s="45">
        <f>IF(C97="aFRR+",MIN(DAMAS_Daily!C97*market_share_A*acceptance_rate*stack_activation,power_mw*hours_per_day,capacity_mwh),MIN(DAMAS_Daily!D97*market_share_A*acceptance_rate*stack_activation,power_mw*hours_per_day,capacity_mwh))</f>
        <v/>
      </c>
      <c r="L97" s="42">
        <f>IF(K97&gt;=capacity_mwh-0.01,"yes","no")</f>
        <v/>
      </c>
      <c r="M97" s="13">
        <f>IF(C97="aFRR+",(MIN(DAMAS_Daily!C97*market_share_A*acceptance_rate*stack_activation,power_mw*hours_per_day,capacity_mwh))*DAMAS_Daily!E97*activation_mult_A,(MIN(DAMAS_Daily!D97*market_share_A*acceptance_rate*stack_activation,power_mw*hours_per_day,capacity_mwh))*DAMAS_Daily!F97*activation_mult_A)</f>
        <v/>
      </c>
      <c r="N97" s="14">
        <f>F97+M97</f>
        <v/>
      </c>
    </row>
    <row r="98">
      <c r="A98" s="41">
        <f>DAMAS_Daily!A98</f>
        <v/>
      </c>
      <c r="B98" s="42">
        <f>DAMAS_Daily!B98</f>
        <v/>
      </c>
      <c r="C98" s="42">
        <f>IF((power_mw*hours_per_day*damas_afrr_up*capacity_mult_A*stack_capacity*acceptance_rate+(MIN(DAMAS_Daily!C98*market_share_A*acceptance_rate*stack_activation,power_mw*hours_per_day,capacity_mwh))*DAMAS_Daily!E98*activation_mult_A)&gt;=(power_mw*hours_per_day*damas_afrr_down*capacity_mult_A*stack_capacity*acceptance_rate+(MIN(DAMAS_Daily!D98*market_share_A*acceptance_rate*stack_activation,power_mw*hours_per_day,capacity_mwh))*DAMAS_Daily!F98*activation_mult_A),"aFRR+","aFRR-")</f>
        <v/>
      </c>
      <c r="D98" s="43">
        <f>IF(C98="aFRR+",damas_afrr_up*capacity_mult_A,damas_afrr_down*capacity_mult_A)</f>
        <v/>
      </c>
      <c r="E98" s="44">
        <f>acceptance_rate</f>
        <v/>
      </c>
      <c r="F98" s="13">
        <f>IF(C98="aFRR+",power_mw*hours_per_day*damas_afrr_up*capacity_mult_A*stack_capacity*acceptance_rate,power_mw*hours_per_day*damas_afrr_down*capacity_mult_A*stack_capacity*acceptance_rate)</f>
        <v/>
      </c>
      <c r="G98" s="42">
        <f>IF(C98="aFRR+",DAMAS_Daily!I98,DAMAS_Daily!J98)</f>
        <v/>
      </c>
      <c r="H98" s="43">
        <f>IF(C98="aFRR+",DAMAS_Daily!E98,DAMAS_Daily!F98)</f>
        <v/>
      </c>
      <c r="I98" s="43">
        <f>IF(C98="aFRR+",DAMAS_Daily!G98,DAMAS_Daily!H98)</f>
        <v/>
      </c>
      <c r="J98" s="45">
        <f>IF(C98="aFRR+",DAMAS_Daily!C98,DAMAS_Daily!D98)</f>
        <v/>
      </c>
      <c r="K98" s="45">
        <f>IF(C98="aFRR+",MIN(DAMAS_Daily!C98*market_share_A*acceptance_rate*stack_activation,power_mw*hours_per_day,capacity_mwh),MIN(DAMAS_Daily!D98*market_share_A*acceptance_rate*stack_activation,power_mw*hours_per_day,capacity_mwh))</f>
        <v/>
      </c>
      <c r="L98" s="42">
        <f>IF(K98&gt;=capacity_mwh-0.01,"yes","no")</f>
        <v/>
      </c>
      <c r="M98" s="13">
        <f>IF(C98="aFRR+",(MIN(DAMAS_Daily!C98*market_share_A*acceptance_rate*stack_activation,power_mw*hours_per_day,capacity_mwh))*DAMAS_Daily!E98*activation_mult_A,(MIN(DAMAS_Daily!D98*market_share_A*acceptance_rate*stack_activation,power_mw*hours_per_day,capacity_mwh))*DAMAS_Daily!F98*activation_mult_A)</f>
        <v/>
      </c>
      <c r="N98" s="14">
        <f>F98+M98</f>
        <v/>
      </c>
    </row>
    <row r="99">
      <c r="A99" s="41">
        <f>DAMAS_Daily!A99</f>
        <v/>
      </c>
      <c r="B99" s="42">
        <f>DAMAS_Daily!B99</f>
        <v/>
      </c>
      <c r="C99" s="42">
        <f>IF((power_mw*hours_per_day*damas_afrr_up*capacity_mult_A*stack_capacity*acceptance_rate+(MIN(DAMAS_Daily!C99*market_share_A*acceptance_rate*stack_activation,power_mw*hours_per_day,capacity_mwh))*DAMAS_Daily!E99*activation_mult_A)&gt;=(power_mw*hours_per_day*damas_afrr_down*capacity_mult_A*stack_capacity*acceptance_rate+(MIN(DAMAS_Daily!D99*market_share_A*acceptance_rate*stack_activation,power_mw*hours_per_day,capacity_mwh))*DAMAS_Daily!F99*activation_mult_A),"aFRR+","aFRR-")</f>
        <v/>
      </c>
      <c r="D99" s="43">
        <f>IF(C99="aFRR+",damas_afrr_up*capacity_mult_A,damas_afrr_down*capacity_mult_A)</f>
        <v/>
      </c>
      <c r="E99" s="44">
        <f>acceptance_rate</f>
        <v/>
      </c>
      <c r="F99" s="13">
        <f>IF(C99="aFRR+",power_mw*hours_per_day*damas_afrr_up*capacity_mult_A*stack_capacity*acceptance_rate,power_mw*hours_per_day*damas_afrr_down*capacity_mult_A*stack_capacity*acceptance_rate)</f>
        <v/>
      </c>
      <c r="G99" s="42">
        <f>IF(C99="aFRR+",DAMAS_Daily!I99,DAMAS_Daily!J99)</f>
        <v/>
      </c>
      <c r="H99" s="43">
        <f>IF(C99="aFRR+",DAMAS_Daily!E99,DAMAS_Daily!F99)</f>
        <v/>
      </c>
      <c r="I99" s="43">
        <f>IF(C99="aFRR+",DAMAS_Daily!G99,DAMAS_Daily!H99)</f>
        <v/>
      </c>
      <c r="J99" s="45">
        <f>IF(C99="aFRR+",DAMAS_Daily!C99,DAMAS_Daily!D99)</f>
        <v/>
      </c>
      <c r="K99" s="45">
        <f>IF(C99="aFRR+",MIN(DAMAS_Daily!C99*market_share_A*acceptance_rate*stack_activation,power_mw*hours_per_day,capacity_mwh),MIN(DAMAS_Daily!D99*market_share_A*acceptance_rate*stack_activation,power_mw*hours_per_day,capacity_mwh))</f>
        <v/>
      </c>
      <c r="L99" s="42">
        <f>IF(K99&gt;=capacity_mwh-0.01,"yes","no")</f>
        <v/>
      </c>
      <c r="M99" s="13">
        <f>IF(C99="aFRR+",(MIN(DAMAS_Daily!C99*market_share_A*acceptance_rate*stack_activation,power_mw*hours_per_day,capacity_mwh))*DAMAS_Daily!E99*activation_mult_A,(MIN(DAMAS_Daily!D99*market_share_A*acceptance_rate*stack_activation,power_mw*hours_per_day,capacity_mwh))*DAMAS_Daily!F99*activation_mult_A)</f>
        <v/>
      </c>
      <c r="N99" s="14">
        <f>F99+M99</f>
        <v/>
      </c>
    </row>
    <row r="100">
      <c r="A100" s="41">
        <f>DAMAS_Daily!A100</f>
        <v/>
      </c>
      <c r="B100" s="42">
        <f>DAMAS_Daily!B100</f>
        <v/>
      </c>
      <c r="C100" s="42">
        <f>IF((power_mw*hours_per_day*damas_afrr_up*capacity_mult_A*stack_capacity*acceptance_rate+(MIN(DAMAS_Daily!C100*market_share_A*acceptance_rate*stack_activation,power_mw*hours_per_day,capacity_mwh))*DAMAS_Daily!E100*activation_mult_A)&gt;=(power_mw*hours_per_day*damas_afrr_down*capacity_mult_A*stack_capacity*acceptance_rate+(MIN(DAMAS_Daily!D100*market_share_A*acceptance_rate*stack_activation,power_mw*hours_per_day,capacity_mwh))*DAMAS_Daily!F100*activation_mult_A),"aFRR+","aFRR-")</f>
        <v/>
      </c>
      <c r="D100" s="43">
        <f>IF(C100="aFRR+",damas_afrr_up*capacity_mult_A,damas_afrr_down*capacity_mult_A)</f>
        <v/>
      </c>
      <c r="E100" s="44">
        <f>acceptance_rate</f>
        <v/>
      </c>
      <c r="F100" s="13">
        <f>IF(C100="aFRR+",power_mw*hours_per_day*damas_afrr_up*capacity_mult_A*stack_capacity*acceptance_rate,power_mw*hours_per_day*damas_afrr_down*capacity_mult_A*stack_capacity*acceptance_rate)</f>
        <v/>
      </c>
      <c r="G100" s="42">
        <f>IF(C100="aFRR+",DAMAS_Daily!I100,DAMAS_Daily!J100)</f>
        <v/>
      </c>
      <c r="H100" s="43">
        <f>IF(C100="aFRR+",DAMAS_Daily!E100,DAMAS_Daily!F100)</f>
        <v/>
      </c>
      <c r="I100" s="43">
        <f>IF(C100="aFRR+",DAMAS_Daily!G100,DAMAS_Daily!H100)</f>
        <v/>
      </c>
      <c r="J100" s="45">
        <f>IF(C100="aFRR+",DAMAS_Daily!C100,DAMAS_Daily!D100)</f>
        <v/>
      </c>
      <c r="K100" s="45">
        <f>IF(C100="aFRR+",MIN(DAMAS_Daily!C100*market_share_A*acceptance_rate*stack_activation,power_mw*hours_per_day,capacity_mwh),MIN(DAMAS_Daily!D100*market_share_A*acceptance_rate*stack_activation,power_mw*hours_per_day,capacity_mwh))</f>
        <v/>
      </c>
      <c r="L100" s="42">
        <f>IF(K100&gt;=capacity_mwh-0.01,"yes","no")</f>
        <v/>
      </c>
      <c r="M100" s="13">
        <f>IF(C100="aFRR+",(MIN(DAMAS_Daily!C100*market_share_A*acceptance_rate*stack_activation,power_mw*hours_per_day,capacity_mwh))*DAMAS_Daily!E100*activation_mult_A,(MIN(DAMAS_Daily!D100*market_share_A*acceptance_rate*stack_activation,power_mw*hours_per_day,capacity_mwh))*DAMAS_Daily!F100*activation_mult_A)</f>
        <v/>
      </c>
      <c r="N100" s="14">
        <f>F100+M100</f>
        <v/>
      </c>
    </row>
    <row r="101">
      <c r="A101" s="41">
        <f>DAMAS_Daily!A101</f>
        <v/>
      </c>
      <c r="B101" s="42">
        <f>DAMAS_Daily!B101</f>
        <v/>
      </c>
      <c r="C101" s="42">
        <f>IF((power_mw*hours_per_day*damas_afrr_up*capacity_mult_A*stack_capacity*acceptance_rate+(MIN(DAMAS_Daily!C101*market_share_A*acceptance_rate*stack_activation,power_mw*hours_per_day,capacity_mwh))*DAMAS_Daily!E101*activation_mult_A)&gt;=(power_mw*hours_per_day*damas_afrr_down*capacity_mult_A*stack_capacity*acceptance_rate+(MIN(DAMAS_Daily!D101*market_share_A*acceptance_rate*stack_activation,power_mw*hours_per_day,capacity_mwh))*DAMAS_Daily!F101*activation_mult_A),"aFRR+","aFRR-")</f>
        <v/>
      </c>
      <c r="D101" s="43">
        <f>IF(C101="aFRR+",damas_afrr_up*capacity_mult_A,damas_afrr_down*capacity_mult_A)</f>
        <v/>
      </c>
      <c r="E101" s="44">
        <f>acceptance_rate</f>
        <v/>
      </c>
      <c r="F101" s="13">
        <f>IF(C101="aFRR+",power_mw*hours_per_day*damas_afrr_up*capacity_mult_A*stack_capacity*acceptance_rate,power_mw*hours_per_day*damas_afrr_down*capacity_mult_A*stack_capacity*acceptance_rate)</f>
        <v/>
      </c>
      <c r="G101" s="42">
        <f>IF(C101="aFRR+",DAMAS_Daily!I101,DAMAS_Daily!J101)</f>
        <v/>
      </c>
      <c r="H101" s="43">
        <f>IF(C101="aFRR+",DAMAS_Daily!E101,DAMAS_Daily!F101)</f>
        <v/>
      </c>
      <c r="I101" s="43">
        <f>IF(C101="aFRR+",DAMAS_Daily!G101,DAMAS_Daily!H101)</f>
        <v/>
      </c>
      <c r="J101" s="45">
        <f>IF(C101="aFRR+",DAMAS_Daily!C101,DAMAS_Daily!D101)</f>
        <v/>
      </c>
      <c r="K101" s="45">
        <f>IF(C101="aFRR+",MIN(DAMAS_Daily!C101*market_share_A*acceptance_rate*stack_activation,power_mw*hours_per_day,capacity_mwh),MIN(DAMAS_Daily!D101*market_share_A*acceptance_rate*stack_activation,power_mw*hours_per_day,capacity_mwh))</f>
        <v/>
      </c>
      <c r="L101" s="42">
        <f>IF(K101&gt;=capacity_mwh-0.01,"yes","no")</f>
        <v/>
      </c>
      <c r="M101" s="13">
        <f>IF(C101="aFRR+",(MIN(DAMAS_Daily!C101*market_share_A*acceptance_rate*stack_activation,power_mw*hours_per_day,capacity_mwh))*DAMAS_Daily!E101*activation_mult_A,(MIN(DAMAS_Daily!D101*market_share_A*acceptance_rate*stack_activation,power_mw*hours_per_day,capacity_mwh))*DAMAS_Daily!F101*activation_mult_A)</f>
        <v/>
      </c>
      <c r="N101" s="14">
        <f>F101+M101</f>
        <v/>
      </c>
    </row>
    <row r="102">
      <c r="A102" s="41">
        <f>DAMAS_Daily!A102</f>
        <v/>
      </c>
      <c r="B102" s="42">
        <f>DAMAS_Daily!B102</f>
        <v/>
      </c>
      <c r="C102" s="42">
        <f>IF((power_mw*hours_per_day*damas_afrr_up*capacity_mult_A*stack_capacity*acceptance_rate+(MIN(DAMAS_Daily!C102*market_share_A*acceptance_rate*stack_activation,power_mw*hours_per_day,capacity_mwh))*DAMAS_Daily!E102*activation_mult_A)&gt;=(power_mw*hours_per_day*damas_afrr_down*capacity_mult_A*stack_capacity*acceptance_rate+(MIN(DAMAS_Daily!D102*market_share_A*acceptance_rate*stack_activation,power_mw*hours_per_day,capacity_mwh))*DAMAS_Daily!F102*activation_mult_A),"aFRR+","aFRR-")</f>
        <v/>
      </c>
      <c r="D102" s="43">
        <f>IF(C102="aFRR+",damas_afrr_up*capacity_mult_A,damas_afrr_down*capacity_mult_A)</f>
        <v/>
      </c>
      <c r="E102" s="44">
        <f>acceptance_rate</f>
        <v/>
      </c>
      <c r="F102" s="13">
        <f>IF(C102="aFRR+",power_mw*hours_per_day*damas_afrr_up*capacity_mult_A*stack_capacity*acceptance_rate,power_mw*hours_per_day*damas_afrr_down*capacity_mult_A*stack_capacity*acceptance_rate)</f>
        <v/>
      </c>
      <c r="G102" s="42">
        <f>IF(C102="aFRR+",DAMAS_Daily!I102,DAMAS_Daily!J102)</f>
        <v/>
      </c>
      <c r="H102" s="43">
        <f>IF(C102="aFRR+",DAMAS_Daily!E102,DAMAS_Daily!F102)</f>
        <v/>
      </c>
      <c r="I102" s="43">
        <f>IF(C102="aFRR+",DAMAS_Daily!G102,DAMAS_Daily!H102)</f>
        <v/>
      </c>
      <c r="J102" s="45">
        <f>IF(C102="aFRR+",DAMAS_Daily!C102,DAMAS_Daily!D102)</f>
        <v/>
      </c>
      <c r="K102" s="45">
        <f>IF(C102="aFRR+",MIN(DAMAS_Daily!C102*market_share_A*acceptance_rate*stack_activation,power_mw*hours_per_day,capacity_mwh),MIN(DAMAS_Daily!D102*market_share_A*acceptance_rate*stack_activation,power_mw*hours_per_day,capacity_mwh))</f>
        <v/>
      </c>
      <c r="L102" s="42">
        <f>IF(K102&gt;=capacity_mwh-0.01,"yes","no")</f>
        <v/>
      </c>
      <c r="M102" s="13">
        <f>IF(C102="aFRR+",(MIN(DAMAS_Daily!C102*market_share_A*acceptance_rate*stack_activation,power_mw*hours_per_day,capacity_mwh))*DAMAS_Daily!E102*activation_mult_A,(MIN(DAMAS_Daily!D102*market_share_A*acceptance_rate*stack_activation,power_mw*hours_per_day,capacity_mwh))*DAMAS_Daily!F102*activation_mult_A)</f>
        <v/>
      </c>
      <c r="N102" s="14">
        <f>F102+M102</f>
        <v/>
      </c>
    </row>
    <row r="103">
      <c r="A103" s="41">
        <f>DAMAS_Daily!A103</f>
        <v/>
      </c>
      <c r="B103" s="42">
        <f>DAMAS_Daily!B103</f>
        <v/>
      </c>
      <c r="C103" s="42">
        <f>IF((power_mw*hours_per_day*damas_afrr_up*capacity_mult_A*stack_capacity*acceptance_rate+(MIN(DAMAS_Daily!C103*market_share_A*acceptance_rate*stack_activation,power_mw*hours_per_day,capacity_mwh))*DAMAS_Daily!E103*activation_mult_A)&gt;=(power_mw*hours_per_day*damas_afrr_down*capacity_mult_A*stack_capacity*acceptance_rate+(MIN(DAMAS_Daily!D103*market_share_A*acceptance_rate*stack_activation,power_mw*hours_per_day,capacity_mwh))*DAMAS_Daily!F103*activation_mult_A),"aFRR+","aFRR-")</f>
        <v/>
      </c>
      <c r="D103" s="43">
        <f>IF(C103="aFRR+",damas_afrr_up*capacity_mult_A,damas_afrr_down*capacity_mult_A)</f>
        <v/>
      </c>
      <c r="E103" s="44">
        <f>acceptance_rate</f>
        <v/>
      </c>
      <c r="F103" s="13">
        <f>IF(C103="aFRR+",power_mw*hours_per_day*damas_afrr_up*capacity_mult_A*stack_capacity*acceptance_rate,power_mw*hours_per_day*damas_afrr_down*capacity_mult_A*stack_capacity*acceptance_rate)</f>
        <v/>
      </c>
      <c r="G103" s="42">
        <f>IF(C103="aFRR+",DAMAS_Daily!I103,DAMAS_Daily!J103)</f>
        <v/>
      </c>
      <c r="H103" s="43">
        <f>IF(C103="aFRR+",DAMAS_Daily!E103,DAMAS_Daily!F103)</f>
        <v/>
      </c>
      <c r="I103" s="43">
        <f>IF(C103="aFRR+",DAMAS_Daily!G103,DAMAS_Daily!H103)</f>
        <v/>
      </c>
      <c r="J103" s="45">
        <f>IF(C103="aFRR+",DAMAS_Daily!C103,DAMAS_Daily!D103)</f>
        <v/>
      </c>
      <c r="K103" s="45">
        <f>IF(C103="aFRR+",MIN(DAMAS_Daily!C103*market_share_A*acceptance_rate*stack_activation,power_mw*hours_per_day,capacity_mwh),MIN(DAMAS_Daily!D103*market_share_A*acceptance_rate*stack_activation,power_mw*hours_per_day,capacity_mwh))</f>
        <v/>
      </c>
      <c r="L103" s="42">
        <f>IF(K103&gt;=capacity_mwh-0.01,"yes","no")</f>
        <v/>
      </c>
      <c r="M103" s="13">
        <f>IF(C103="aFRR+",(MIN(DAMAS_Daily!C103*market_share_A*acceptance_rate*stack_activation,power_mw*hours_per_day,capacity_mwh))*DAMAS_Daily!E103*activation_mult_A,(MIN(DAMAS_Daily!D103*market_share_A*acceptance_rate*stack_activation,power_mw*hours_per_day,capacity_mwh))*DAMAS_Daily!F103*activation_mult_A)</f>
        <v/>
      </c>
      <c r="N103" s="14">
        <f>F103+M103</f>
        <v/>
      </c>
    </row>
    <row r="104">
      <c r="A104" s="41">
        <f>DAMAS_Daily!A104</f>
        <v/>
      </c>
      <c r="B104" s="42">
        <f>DAMAS_Daily!B104</f>
        <v/>
      </c>
      <c r="C104" s="42">
        <f>IF((power_mw*hours_per_day*damas_afrr_up*capacity_mult_A*stack_capacity*acceptance_rate+(MIN(DAMAS_Daily!C104*market_share_A*acceptance_rate*stack_activation,power_mw*hours_per_day,capacity_mwh))*DAMAS_Daily!E104*activation_mult_A)&gt;=(power_mw*hours_per_day*damas_afrr_down*capacity_mult_A*stack_capacity*acceptance_rate+(MIN(DAMAS_Daily!D104*market_share_A*acceptance_rate*stack_activation,power_mw*hours_per_day,capacity_mwh))*DAMAS_Daily!F104*activation_mult_A),"aFRR+","aFRR-")</f>
        <v/>
      </c>
      <c r="D104" s="43">
        <f>IF(C104="aFRR+",damas_afrr_up*capacity_mult_A,damas_afrr_down*capacity_mult_A)</f>
        <v/>
      </c>
      <c r="E104" s="44">
        <f>acceptance_rate</f>
        <v/>
      </c>
      <c r="F104" s="13">
        <f>IF(C104="aFRR+",power_mw*hours_per_day*damas_afrr_up*capacity_mult_A*stack_capacity*acceptance_rate,power_mw*hours_per_day*damas_afrr_down*capacity_mult_A*stack_capacity*acceptance_rate)</f>
        <v/>
      </c>
      <c r="G104" s="42">
        <f>IF(C104="aFRR+",DAMAS_Daily!I104,DAMAS_Daily!J104)</f>
        <v/>
      </c>
      <c r="H104" s="43">
        <f>IF(C104="aFRR+",DAMAS_Daily!E104,DAMAS_Daily!F104)</f>
        <v/>
      </c>
      <c r="I104" s="43">
        <f>IF(C104="aFRR+",DAMAS_Daily!G104,DAMAS_Daily!H104)</f>
        <v/>
      </c>
      <c r="J104" s="45">
        <f>IF(C104="aFRR+",DAMAS_Daily!C104,DAMAS_Daily!D104)</f>
        <v/>
      </c>
      <c r="K104" s="45">
        <f>IF(C104="aFRR+",MIN(DAMAS_Daily!C104*market_share_A*acceptance_rate*stack_activation,power_mw*hours_per_day,capacity_mwh),MIN(DAMAS_Daily!D104*market_share_A*acceptance_rate*stack_activation,power_mw*hours_per_day,capacity_mwh))</f>
        <v/>
      </c>
      <c r="L104" s="42">
        <f>IF(K104&gt;=capacity_mwh-0.01,"yes","no")</f>
        <v/>
      </c>
      <c r="M104" s="13">
        <f>IF(C104="aFRR+",(MIN(DAMAS_Daily!C104*market_share_A*acceptance_rate*stack_activation,power_mw*hours_per_day,capacity_mwh))*DAMAS_Daily!E104*activation_mult_A,(MIN(DAMAS_Daily!D104*market_share_A*acceptance_rate*stack_activation,power_mw*hours_per_day,capacity_mwh))*DAMAS_Daily!F104*activation_mult_A)</f>
        <v/>
      </c>
      <c r="N104" s="14">
        <f>F104+M104</f>
        <v/>
      </c>
    </row>
    <row r="105">
      <c r="A105" s="41">
        <f>DAMAS_Daily!A105</f>
        <v/>
      </c>
      <c r="B105" s="42">
        <f>DAMAS_Daily!B105</f>
        <v/>
      </c>
      <c r="C105" s="42">
        <f>IF((power_mw*hours_per_day*damas_afrr_up*capacity_mult_A*stack_capacity*acceptance_rate+(MIN(DAMAS_Daily!C105*market_share_A*acceptance_rate*stack_activation,power_mw*hours_per_day,capacity_mwh))*DAMAS_Daily!E105*activation_mult_A)&gt;=(power_mw*hours_per_day*damas_afrr_down*capacity_mult_A*stack_capacity*acceptance_rate+(MIN(DAMAS_Daily!D105*market_share_A*acceptance_rate*stack_activation,power_mw*hours_per_day,capacity_mwh))*DAMAS_Daily!F105*activation_mult_A),"aFRR+","aFRR-")</f>
        <v/>
      </c>
      <c r="D105" s="43">
        <f>IF(C105="aFRR+",damas_afrr_up*capacity_mult_A,damas_afrr_down*capacity_mult_A)</f>
        <v/>
      </c>
      <c r="E105" s="44">
        <f>acceptance_rate</f>
        <v/>
      </c>
      <c r="F105" s="13">
        <f>IF(C105="aFRR+",power_mw*hours_per_day*damas_afrr_up*capacity_mult_A*stack_capacity*acceptance_rate,power_mw*hours_per_day*damas_afrr_down*capacity_mult_A*stack_capacity*acceptance_rate)</f>
        <v/>
      </c>
      <c r="G105" s="42">
        <f>IF(C105="aFRR+",DAMAS_Daily!I105,DAMAS_Daily!J105)</f>
        <v/>
      </c>
      <c r="H105" s="43">
        <f>IF(C105="aFRR+",DAMAS_Daily!E105,DAMAS_Daily!F105)</f>
        <v/>
      </c>
      <c r="I105" s="43">
        <f>IF(C105="aFRR+",DAMAS_Daily!G105,DAMAS_Daily!H105)</f>
        <v/>
      </c>
      <c r="J105" s="45">
        <f>IF(C105="aFRR+",DAMAS_Daily!C105,DAMAS_Daily!D105)</f>
        <v/>
      </c>
      <c r="K105" s="45">
        <f>IF(C105="aFRR+",MIN(DAMAS_Daily!C105*market_share_A*acceptance_rate*stack_activation,power_mw*hours_per_day,capacity_mwh),MIN(DAMAS_Daily!D105*market_share_A*acceptance_rate*stack_activation,power_mw*hours_per_day,capacity_mwh))</f>
        <v/>
      </c>
      <c r="L105" s="42">
        <f>IF(K105&gt;=capacity_mwh-0.01,"yes","no")</f>
        <v/>
      </c>
      <c r="M105" s="13">
        <f>IF(C105="aFRR+",(MIN(DAMAS_Daily!C105*market_share_A*acceptance_rate*stack_activation,power_mw*hours_per_day,capacity_mwh))*DAMAS_Daily!E105*activation_mult_A,(MIN(DAMAS_Daily!D105*market_share_A*acceptance_rate*stack_activation,power_mw*hours_per_day,capacity_mwh))*DAMAS_Daily!F105*activation_mult_A)</f>
        <v/>
      </c>
      <c r="N105" s="14">
        <f>F105+M105</f>
        <v/>
      </c>
    </row>
    <row r="106">
      <c r="A106" s="41">
        <f>DAMAS_Daily!A106</f>
        <v/>
      </c>
      <c r="B106" s="42">
        <f>DAMAS_Daily!B106</f>
        <v/>
      </c>
      <c r="C106" s="42">
        <f>IF((power_mw*hours_per_day*damas_afrr_up*capacity_mult_A*stack_capacity*acceptance_rate+(MIN(DAMAS_Daily!C106*market_share_A*acceptance_rate*stack_activation,power_mw*hours_per_day,capacity_mwh))*DAMAS_Daily!E106*activation_mult_A)&gt;=(power_mw*hours_per_day*damas_afrr_down*capacity_mult_A*stack_capacity*acceptance_rate+(MIN(DAMAS_Daily!D106*market_share_A*acceptance_rate*stack_activation,power_mw*hours_per_day,capacity_mwh))*DAMAS_Daily!F106*activation_mult_A),"aFRR+","aFRR-")</f>
        <v/>
      </c>
      <c r="D106" s="43">
        <f>IF(C106="aFRR+",damas_afrr_up*capacity_mult_A,damas_afrr_down*capacity_mult_A)</f>
        <v/>
      </c>
      <c r="E106" s="44">
        <f>acceptance_rate</f>
        <v/>
      </c>
      <c r="F106" s="13">
        <f>IF(C106="aFRR+",power_mw*hours_per_day*damas_afrr_up*capacity_mult_A*stack_capacity*acceptance_rate,power_mw*hours_per_day*damas_afrr_down*capacity_mult_A*stack_capacity*acceptance_rate)</f>
        <v/>
      </c>
      <c r="G106" s="42">
        <f>IF(C106="aFRR+",DAMAS_Daily!I106,DAMAS_Daily!J106)</f>
        <v/>
      </c>
      <c r="H106" s="43">
        <f>IF(C106="aFRR+",DAMAS_Daily!E106,DAMAS_Daily!F106)</f>
        <v/>
      </c>
      <c r="I106" s="43">
        <f>IF(C106="aFRR+",DAMAS_Daily!G106,DAMAS_Daily!H106)</f>
        <v/>
      </c>
      <c r="J106" s="45">
        <f>IF(C106="aFRR+",DAMAS_Daily!C106,DAMAS_Daily!D106)</f>
        <v/>
      </c>
      <c r="K106" s="45">
        <f>IF(C106="aFRR+",MIN(DAMAS_Daily!C106*market_share_A*acceptance_rate*stack_activation,power_mw*hours_per_day,capacity_mwh),MIN(DAMAS_Daily!D106*market_share_A*acceptance_rate*stack_activation,power_mw*hours_per_day,capacity_mwh))</f>
        <v/>
      </c>
      <c r="L106" s="42">
        <f>IF(K106&gt;=capacity_mwh-0.01,"yes","no")</f>
        <v/>
      </c>
      <c r="M106" s="13">
        <f>IF(C106="aFRR+",(MIN(DAMAS_Daily!C106*market_share_A*acceptance_rate*stack_activation,power_mw*hours_per_day,capacity_mwh))*DAMAS_Daily!E106*activation_mult_A,(MIN(DAMAS_Daily!D106*market_share_A*acceptance_rate*stack_activation,power_mw*hours_per_day,capacity_mwh))*DAMAS_Daily!F106*activation_mult_A)</f>
        <v/>
      </c>
      <c r="N106" s="14">
        <f>F106+M106</f>
        <v/>
      </c>
    </row>
    <row r="107">
      <c r="A107" s="41">
        <f>DAMAS_Daily!A107</f>
        <v/>
      </c>
      <c r="B107" s="42">
        <f>DAMAS_Daily!B107</f>
        <v/>
      </c>
      <c r="C107" s="42">
        <f>IF((power_mw*hours_per_day*damas_afrr_up*capacity_mult_A*stack_capacity*acceptance_rate+(MIN(DAMAS_Daily!C107*market_share_A*acceptance_rate*stack_activation,power_mw*hours_per_day,capacity_mwh))*DAMAS_Daily!E107*activation_mult_A)&gt;=(power_mw*hours_per_day*damas_afrr_down*capacity_mult_A*stack_capacity*acceptance_rate+(MIN(DAMAS_Daily!D107*market_share_A*acceptance_rate*stack_activation,power_mw*hours_per_day,capacity_mwh))*DAMAS_Daily!F107*activation_mult_A),"aFRR+","aFRR-")</f>
        <v/>
      </c>
      <c r="D107" s="43">
        <f>IF(C107="aFRR+",damas_afrr_up*capacity_mult_A,damas_afrr_down*capacity_mult_A)</f>
        <v/>
      </c>
      <c r="E107" s="44">
        <f>acceptance_rate</f>
        <v/>
      </c>
      <c r="F107" s="13">
        <f>IF(C107="aFRR+",power_mw*hours_per_day*damas_afrr_up*capacity_mult_A*stack_capacity*acceptance_rate,power_mw*hours_per_day*damas_afrr_down*capacity_mult_A*stack_capacity*acceptance_rate)</f>
        <v/>
      </c>
      <c r="G107" s="42">
        <f>IF(C107="aFRR+",DAMAS_Daily!I107,DAMAS_Daily!J107)</f>
        <v/>
      </c>
      <c r="H107" s="43">
        <f>IF(C107="aFRR+",DAMAS_Daily!E107,DAMAS_Daily!F107)</f>
        <v/>
      </c>
      <c r="I107" s="43">
        <f>IF(C107="aFRR+",DAMAS_Daily!G107,DAMAS_Daily!H107)</f>
        <v/>
      </c>
      <c r="J107" s="45">
        <f>IF(C107="aFRR+",DAMAS_Daily!C107,DAMAS_Daily!D107)</f>
        <v/>
      </c>
      <c r="K107" s="45">
        <f>IF(C107="aFRR+",MIN(DAMAS_Daily!C107*market_share_A*acceptance_rate*stack_activation,power_mw*hours_per_day,capacity_mwh),MIN(DAMAS_Daily!D107*market_share_A*acceptance_rate*stack_activation,power_mw*hours_per_day,capacity_mwh))</f>
        <v/>
      </c>
      <c r="L107" s="42">
        <f>IF(K107&gt;=capacity_mwh-0.01,"yes","no")</f>
        <v/>
      </c>
      <c r="M107" s="13">
        <f>IF(C107="aFRR+",(MIN(DAMAS_Daily!C107*market_share_A*acceptance_rate*stack_activation,power_mw*hours_per_day,capacity_mwh))*DAMAS_Daily!E107*activation_mult_A,(MIN(DAMAS_Daily!D107*market_share_A*acceptance_rate*stack_activation,power_mw*hours_per_day,capacity_mwh))*DAMAS_Daily!F107*activation_mult_A)</f>
        <v/>
      </c>
      <c r="N107" s="14">
        <f>F107+M107</f>
        <v/>
      </c>
    </row>
    <row r="108">
      <c r="A108" s="41">
        <f>DAMAS_Daily!A108</f>
        <v/>
      </c>
      <c r="B108" s="42">
        <f>DAMAS_Daily!B108</f>
        <v/>
      </c>
      <c r="C108" s="42">
        <f>IF((power_mw*hours_per_day*damas_afrr_up*capacity_mult_A*stack_capacity*acceptance_rate+(MIN(DAMAS_Daily!C108*market_share_A*acceptance_rate*stack_activation,power_mw*hours_per_day,capacity_mwh))*DAMAS_Daily!E108*activation_mult_A)&gt;=(power_mw*hours_per_day*damas_afrr_down*capacity_mult_A*stack_capacity*acceptance_rate+(MIN(DAMAS_Daily!D108*market_share_A*acceptance_rate*stack_activation,power_mw*hours_per_day,capacity_mwh))*DAMAS_Daily!F108*activation_mult_A),"aFRR+","aFRR-")</f>
        <v/>
      </c>
      <c r="D108" s="43">
        <f>IF(C108="aFRR+",damas_afrr_up*capacity_mult_A,damas_afrr_down*capacity_mult_A)</f>
        <v/>
      </c>
      <c r="E108" s="44">
        <f>acceptance_rate</f>
        <v/>
      </c>
      <c r="F108" s="13">
        <f>IF(C108="aFRR+",power_mw*hours_per_day*damas_afrr_up*capacity_mult_A*stack_capacity*acceptance_rate,power_mw*hours_per_day*damas_afrr_down*capacity_mult_A*stack_capacity*acceptance_rate)</f>
        <v/>
      </c>
      <c r="G108" s="42">
        <f>IF(C108="aFRR+",DAMAS_Daily!I108,DAMAS_Daily!J108)</f>
        <v/>
      </c>
      <c r="H108" s="43">
        <f>IF(C108="aFRR+",DAMAS_Daily!E108,DAMAS_Daily!F108)</f>
        <v/>
      </c>
      <c r="I108" s="43">
        <f>IF(C108="aFRR+",DAMAS_Daily!G108,DAMAS_Daily!H108)</f>
        <v/>
      </c>
      <c r="J108" s="45">
        <f>IF(C108="aFRR+",DAMAS_Daily!C108,DAMAS_Daily!D108)</f>
        <v/>
      </c>
      <c r="K108" s="45">
        <f>IF(C108="aFRR+",MIN(DAMAS_Daily!C108*market_share_A*acceptance_rate*stack_activation,power_mw*hours_per_day,capacity_mwh),MIN(DAMAS_Daily!D108*market_share_A*acceptance_rate*stack_activation,power_mw*hours_per_day,capacity_mwh))</f>
        <v/>
      </c>
      <c r="L108" s="42">
        <f>IF(K108&gt;=capacity_mwh-0.01,"yes","no")</f>
        <v/>
      </c>
      <c r="M108" s="13">
        <f>IF(C108="aFRR+",(MIN(DAMAS_Daily!C108*market_share_A*acceptance_rate*stack_activation,power_mw*hours_per_day,capacity_mwh))*DAMAS_Daily!E108*activation_mult_A,(MIN(DAMAS_Daily!D108*market_share_A*acceptance_rate*stack_activation,power_mw*hours_per_day,capacity_mwh))*DAMAS_Daily!F108*activation_mult_A)</f>
        <v/>
      </c>
      <c r="N108" s="14">
        <f>F108+M108</f>
        <v/>
      </c>
    </row>
    <row r="109">
      <c r="A109" s="41">
        <f>DAMAS_Daily!A109</f>
        <v/>
      </c>
      <c r="B109" s="42">
        <f>DAMAS_Daily!B109</f>
        <v/>
      </c>
      <c r="C109" s="42">
        <f>IF((power_mw*hours_per_day*damas_afrr_up*capacity_mult_A*stack_capacity*acceptance_rate+(MIN(DAMAS_Daily!C109*market_share_A*acceptance_rate*stack_activation,power_mw*hours_per_day,capacity_mwh))*DAMAS_Daily!E109*activation_mult_A)&gt;=(power_mw*hours_per_day*damas_afrr_down*capacity_mult_A*stack_capacity*acceptance_rate+(MIN(DAMAS_Daily!D109*market_share_A*acceptance_rate*stack_activation,power_mw*hours_per_day,capacity_mwh))*DAMAS_Daily!F109*activation_mult_A),"aFRR+","aFRR-")</f>
        <v/>
      </c>
      <c r="D109" s="43">
        <f>IF(C109="aFRR+",damas_afrr_up*capacity_mult_A,damas_afrr_down*capacity_mult_A)</f>
        <v/>
      </c>
      <c r="E109" s="44">
        <f>acceptance_rate</f>
        <v/>
      </c>
      <c r="F109" s="13">
        <f>IF(C109="aFRR+",power_mw*hours_per_day*damas_afrr_up*capacity_mult_A*stack_capacity*acceptance_rate,power_mw*hours_per_day*damas_afrr_down*capacity_mult_A*stack_capacity*acceptance_rate)</f>
        <v/>
      </c>
      <c r="G109" s="42">
        <f>IF(C109="aFRR+",DAMAS_Daily!I109,DAMAS_Daily!J109)</f>
        <v/>
      </c>
      <c r="H109" s="43">
        <f>IF(C109="aFRR+",DAMAS_Daily!E109,DAMAS_Daily!F109)</f>
        <v/>
      </c>
      <c r="I109" s="43">
        <f>IF(C109="aFRR+",DAMAS_Daily!G109,DAMAS_Daily!H109)</f>
        <v/>
      </c>
      <c r="J109" s="45">
        <f>IF(C109="aFRR+",DAMAS_Daily!C109,DAMAS_Daily!D109)</f>
        <v/>
      </c>
      <c r="K109" s="45">
        <f>IF(C109="aFRR+",MIN(DAMAS_Daily!C109*market_share_A*acceptance_rate*stack_activation,power_mw*hours_per_day,capacity_mwh),MIN(DAMAS_Daily!D109*market_share_A*acceptance_rate*stack_activation,power_mw*hours_per_day,capacity_mwh))</f>
        <v/>
      </c>
      <c r="L109" s="42">
        <f>IF(K109&gt;=capacity_mwh-0.01,"yes","no")</f>
        <v/>
      </c>
      <c r="M109" s="13">
        <f>IF(C109="aFRR+",(MIN(DAMAS_Daily!C109*market_share_A*acceptance_rate*stack_activation,power_mw*hours_per_day,capacity_mwh))*DAMAS_Daily!E109*activation_mult_A,(MIN(DAMAS_Daily!D109*market_share_A*acceptance_rate*stack_activation,power_mw*hours_per_day,capacity_mwh))*DAMAS_Daily!F109*activation_mult_A)</f>
        <v/>
      </c>
      <c r="N109" s="14">
        <f>F109+M109</f>
        <v/>
      </c>
    </row>
    <row r="110">
      <c r="A110" s="41">
        <f>DAMAS_Daily!A110</f>
        <v/>
      </c>
      <c r="B110" s="42">
        <f>DAMAS_Daily!B110</f>
        <v/>
      </c>
      <c r="C110" s="42">
        <f>IF((power_mw*hours_per_day*damas_afrr_up*capacity_mult_A*stack_capacity*acceptance_rate+(MIN(DAMAS_Daily!C110*market_share_A*acceptance_rate*stack_activation,power_mw*hours_per_day,capacity_mwh))*DAMAS_Daily!E110*activation_mult_A)&gt;=(power_mw*hours_per_day*damas_afrr_down*capacity_mult_A*stack_capacity*acceptance_rate+(MIN(DAMAS_Daily!D110*market_share_A*acceptance_rate*stack_activation,power_mw*hours_per_day,capacity_mwh))*DAMAS_Daily!F110*activation_mult_A),"aFRR+","aFRR-")</f>
        <v/>
      </c>
      <c r="D110" s="43">
        <f>IF(C110="aFRR+",damas_afrr_up*capacity_mult_A,damas_afrr_down*capacity_mult_A)</f>
        <v/>
      </c>
      <c r="E110" s="44">
        <f>acceptance_rate</f>
        <v/>
      </c>
      <c r="F110" s="13">
        <f>IF(C110="aFRR+",power_mw*hours_per_day*damas_afrr_up*capacity_mult_A*stack_capacity*acceptance_rate,power_mw*hours_per_day*damas_afrr_down*capacity_mult_A*stack_capacity*acceptance_rate)</f>
        <v/>
      </c>
      <c r="G110" s="42">
        <f>IF(C110="aFRR+",DAMAS_Daily!I110,DAMAS_Daily!J110)</f>
        <v/>
      </c>
      <c r="H110" s="43">
        <f>IF(C110="aFRR+",DAMAS_Daily!E110,DAMAS_Daily!F110)</f>
        <v/>
      </c>
      <c r="I110" s="43">
        <f>IF(C110="aFRR+",DAMAS_Daily!G110,DAMAS_Daily!H110)</f>
        <v/>
      </c>
      <c r="J110" s="45">
        <f>IF(C110="aFRR+",DAMAS_Daily!C110,DAMAS_Daily!D110)</f>
        <v/>
      </c>
      <c r="K110" s="45">
        <f>IF(C110="aFRR+",MIN(DAMAS_Daily!C110*market_share_A*acceptance_rate*stack_activation,power_mw*hours_per_day,capacity_mwh),MIN(DAMAS_Daily!D110*market_share_A*acceptance_rate*stack_activation,power_mw*hours_per_day,capacity_mwh))</f>
        <v/>
      </c>
      <c r="L110" s="42">
        <f>IF(K110&gt;=capacity_mwh-0.01,"yes","no")</f>
        <v/>
      </c>
      <c r="M110" s="13">
        <f>IF(C110="aFRR+",(MIN(DAMAS_Daily!C110*market_share_A*acceptance_rate*stack_activation,power_mw*hours_per_day,capacity_mwh))*DAMAS_Daily!E110*activation_mult_A,(MIN(DAMAS_Daily!D110*market_share_A*acceptance_rate*stack_activation,power_mw*hours_per_day,capacity_mwh))*DAMAS_Daily!F110*activation_mult_A)</f>
        <v/>
      </c>
      <c r="N110" s="14">
        <f>F110+M110</f>
        <v/>
      </c>
    </row>
    <row r="111">
      <c r="A111" s="41">
        <f>DAMAS_Daily!A111</f>
        <v/>
      </c>
      <c r="B111" s="42">
        <f>DAMAS_Daily!B111</f>
        <v/>
      </c>
      <c r="C111" s="42">
        <f>IF((power_mw*hours_per_day*damas_afrr_up*capacity_mult_A*stack_capacity*acceptance_rate+(MIN(DAMAS_Daily!C111*market_share_A*acceptance_rate*stack_activation,power_mw*hours_per_day,capacity_mwh))*DAMAS_Daily!E111*activation_mult_A)&gt;=(power_mw*hours_per_day*damas_afrr_down*capacity_mult_A*stack_capacity*acceptance_rate+(MIN(DAMAS_Daily!D111*market_share_A*acceptance_rate*stack_activation,power_mw*hours_per_day,capacity_mwh))*DAMAS_Daily!F111*activation_mult_A),"aFRR+","aFRR-")</f>
        <v/>
      </c>
      <c r="D111" s="43">
        <f>IF(C111="aFRR+",damas_afrr_up*capacity_mult_A,damas_afrr_down*capacity_mult_A)</f>
        <v/>
      </c>
      <c r="E111" s="44">
        <f>acceptance_rate</f>
        <v/>
      </c>
      <c r="F111" s="13">
        <f>IF(C111="aFRR+",power_mw*hours_per_day*damas_afrr_up*capacity_mult_A*stack_capacity*acceptance_rate,power_mw*hours_per_day*damas_afrr_down*capacity_mult_A*stack_capacity*acceptance_rate)</f>
        <v/>
      </c>
      <c r="G111" s="42">
        <f>IF(C111="aFRR+",DAMAS_Daily!I111,DAMAS_Daily!J111)</f>
        <v/>
      </c>
      <c r="H111" s="43">
        <f>IF(C111="aFRR+",DAMAS_Daily!E111,DAMAS_Daily!F111)</f>
        <v/>
      </c>
      <c r="I111" s="43">
        <f>IF(C111="aFRR+",DAMAS_Daily!G111,DAMAS_Daily!H111)</f>
        <v/>
      </c>
      <c r="J111" s="45">
        <f>IF(C111="aFRR+",DAMAS_Daily!C111,DAMAS_Daily!D111)</f>
        <v/>
      </c>
      <c r="K111" s="45">
        <f>IF(C111="aFRR+",MIN(DAMAS_Daily!C111*market_share_A*acceptance_rate*stack_activation,power_mw*hours_per_day,capacity_mwh),MIN(DAMAS_Daily!D111*market_share_A*acceptance_rate*stack_activation,power_mw*hours_per_day,capacity_mwh))</f>
        <v/>
      </c>
      <c r="L111" s="42">
        <f>IF(K111&gt;=capacity_mwh-0.01,"yes","no")</f>
        <v/>
      </c>
      <c r="M111" s="13">
        <f>IF(C111="aFRR+",(MIN(DAMAS_Daily!C111*market_share_A*acceptance_rate*stack_activation,power_mw*hours_per_day,capacity_mwh))*DAMAS_Daily!E111*activation_mult_A,(MIN(DAMAS_Daily!D111*market_share_A*acceptance_rate*stack_activation,power_mw*hours_per_day,capacity_mwh))*DAMAS_Daily!F111*activation_mult_A)</f>
        <v/>
      </c>
      <c r="N111" s="14">
        <f>F111+M111</f>
        <v/>
      </c>
    </row>
    <row r="112">
      <c r="A112" s="41">
        <f>DAMAS_Daily!A112</f>
        <v/>
      </c>
      <c r="B112" s="42">
        <f>DAMAS_Daily!B112</f>
        <v/>
      </c>
      <c r="C112" s="42">
        <f>IF((power_mw*hours_per_day*damas_afrr_up*capacity_mult_A*stack_capacity*acceptance_rate+(MIN(DAMAS_Daily!C112*market_share_A*acceptance_rate*stack_activation,power_mw*hours_per_day,capacity_mwh))*DAMAS_Daily!E112*activation_mult_A)&gt;=(power_mw*hours_per_day*damas_afrr_down*capacity_mult_A*stack_capacity*acceptance_rate+(MIN(DAMAS_Daily!D112*market_share_A*acceptance_rate*stack_activation,power_mw*hours_per_day,capacity_mwh))*DAMAS_Daily!F112*activation_mult_A),"aFRR+","aFRR-")</f>
        <v/>
      </c>
      <c r="D112" s="43">
        <f>IF(C112="aFRR+",damas_afrr_up*capacity_mult_A,damas_afrr_down*capacity_mult_A)</f>
        <v/>
      </c>
      <c r="E112" s="44">
        <f>acceptance_rate</f>
        <v/>
      </c>
      <c r="F112" s="13">
        <f>IF(C112="aFRR+",power_mw*hours_per_day*damas_afrr_up*capacity_mult_A*stack_capacity*acceptance_rate,power_mw*hours_per_day*damas_afrr_down*capacity_mult_A*stack_capacity*acceptance_rate)</f>
        <v/>
      </c>
      <c r="G112" s="42">
        <f>IF(C112="aFRR+",DAMAS_Daily!I112,DAMAS_Daily!J112)</f>
        <v/>
      </c>
      <c r="H112" s="43">
        <f>IF(C112="aFRR+",DAMAS_Daily!E112,DAMAS_Daily!F112)</f>
        <v/>
      </c>
      <c r="I112" s="43">
        <f>IF(C112="aFRR+",DAMAS_Daily!G112,DAMAS_Daily!H112)</f>
        <v/>
      </c>
      <c r="J112" s="45">
        <f>IF(C112="aFRR+",DAMAS_Daily!C112,DAMAS_Daily!D112)</f>
        <v/>
      </c>
      <c r="K112" s="45">
        <f>IF(C112="aFRR+",MIN(DAMAS_Daily!C112*market_share_A*acceptance_rate*stack_activation,power_mw*hours_per_day,capacity_mwh),MIN(DAMAS_Daily!D112*market_share_A*acceptance_rate*stack_activation,power_mw*hours_per_day,capacity_mwh))</f>
        <v/>
      </c>
      <c r="L112" s="42">
        <f>IF(K112&gt;=capacity_mwh-0.01,"yes","no")</f>
        <v/>
      </c>
      <c r="M112" s="13">
        <f>IF(C112="aFRR+",(MIN(DAMAS_Daily!C112*market_share_A*acceptance_rate*stack_activation,power_mw*hours_per_day,capacity_mwh))*DAMAS_Daily!E112*activation_mult_A,(MIN(DAMAS_Daily!D112*market_share_A*acceptance_rate*stack_activation,power_mw*hours_per_day,capacity_mwh))*DAMAS_Daily!F112*activation_mult_A)</f>
        <v/>
      </c>
      <c r="N112" s="14">
        <f>F112+M112</f>
        <v/>
      </c>
    </row>
    <row r="113">
      <c r="A113" s="41">
        <f>DAMAS_Daily!A113</f>
        <v/>
      </c>
      <c r="B113" s="42">
        <f>DAMAS_Daily!B113</f>
        <v/>
      </c>
      <c r="C113" s="42">
        <f>IF((power_mw*hours_per_day*damas_afrr_up*capacity_mult_A*stack_capacity*acceptance_rate+(MIN(DAMAS_Daily!C113*market_share_A*acceptance_rate*stack_activation,power_mw*hours_per_day,capacity_mwh))*DAMAS_Daily!E113*activation_mult_A)&gt;=(power_mw*hours_per_day*damas_afrr_down*capacity_mult_A*stack_capacity*acceptance_rate+(MIN(DAMAS_Daily!D113*market_share_A*acceptance_rate*stack_activation,power_mw*hours_per_day,capacity_mwh))*DAMAS_Daily!F113*activation_mult_A),"aFRR+","aFRR-")</f>
        <v/>
      </c>
      <c r="D113" s="43">
        <f>IF(C113="aFRR+",damas_afrr_up*capacity_mult_A,damas_afrr_down*capacity_mult_A)</f>
        <v/>
      </c>
      <c r="E113" s="44">
        <f>acceptance_rate</f>
        <v/>
      </c>
      <c r="F113" s="13">
        <f>IF(C113="aFRR+",power_mw*hours_per_day*damas_afrr_up*capacity_mult_A*stack_capacity*acceptance_rate,power_mw*hours_per_day*damas_afrr_down*capacity_mult_A*stack_capacity*acceptance_rate)</f>
        <v/>
      </c>
      <c r="G113" s="42">
        <f>IF(C113="aFRR+",DAMAS_Daily!I113,DAMAS_Daily!J113)</f>
        <v/>
      </c>
      <c r="H113" s="43">
        <f>IF(C113="aFRR+",DAMAS_Daily!E113,DAMAS_Daily!F113)</f>
        <v/>
      </c>
      <c r="I113" s="43">
        <f>IF(C113="aFRR+",DAMAS_Daily!G113,DAMAS_Daily!H113)</f>
        <v/>
      </c>
      <c r="J113" s="45">
        <f>IF(C113="aFRR+",DAMAS_Daily!C113,DAMAS_Daily!D113)</f>
        <v/>
      </c>
      <c r="K113" s="45">
        <f>IF(C113="aFRR+",MIN(DAMAS_Daily!C113*market_share_A*acceptance_rate*stack_activation,power_mw*hours_per_day,capacity_mwh),MIN(DAMAS_Daily!D113*market_share_A*acceptance_rate*stack_activation,power_mw*hours_per_day,capacity_mwh))</f>
        <v/>
      </c>
      <c r="L113" s="42">
        <f>IF(K113&gt;=capacity_mwh-0.01,"yes","no")</f>
        <v/>
      </c>
      <c r="M113" s="13">
        <f>IF(C113="aFRR+",(MIN(DAMAS_Daily!C113*market_share_A*acceptance_rate*stack_activation,power_mw*hours_per_day,capacity_mwh))*DAMAS_Daily!E113*activation_mult_A,(MIN(DAMAS_Daily!D113*market_share_A*acceptance_rate*stack_activation,power_mw*hours_per_day,capacity_mwh))*DAMAS_Daily!F113*activation_mult_A)</f>
        <v/>
      </c>
      <c r="N113" s="14">
        <f>F113+M113</f>
        <v/>
      </c>
    </row>
    <row r="114">
      <c r="A114" s="41">
        <f>DAMAS_Daily!A114</f>
        <v/>
      </c>
      <c r="B114" s="42">
        <f>DAMAS_Daily!B114</f>
        <v/>
      </c>
      <c r="C114" s="42">
        <f>IF((power_mw*hours_per_day*damas_afrr_up*capacity_mult_A*stack_capacity*acceptance_rate+(MIN(DAMAS_Daily!C114*market_share_A*acceptance_rate*stack_activation,power_mw*hours_per_day,capacity_mwh))*DAMAS_Daily!E114*activation_mult_A)&gt;=(power_mw*hours_per_day*damas_afrr_down*capacity_mult_A*stack_capacity*acceptance_rate+(MIN(DAMAS_Daily!D114*market_share_A*acceptance_rate*stack_activation,power_mw*hours_per_day,capacity_mwh))*DAMAS_Daily!F114*activation_mult_A),"aFRR+","aFRR-")</f>
        <v/>
      </c>
      <c r="D114" s="43">
        <f>IF(C114="aFRR+",damas_afrr_up*capacity_mult_A,damas_afrr_down*capacity_mult_A)</f>
        <v/>
      </c>
      <c r="E114" s="44">
        <f>acceptance_rate</f>
        <v/>
      </c>
      <c r="F114" s="13">
        <f>IF(C114="aFRR+",power_mw*hours_per_day*damas_afrr_up*capacity_mult_A*stack_capacity*acceptance_rate,power_mw*hours_per_day*damas_afrr_down*capacity_mult_A*stack_capacity*acceptance_rate)</f>
        <v/>
      </c>
      <c r="G114" s="42">
        <f>IF(C114="aFRR+",DAMAS_Daily!I114,DAMAS_Daily!J114)</f>
        <v/>
      </c>
      <c r="H114" s="43">
        <f>IF(C114="aFRR+",DAMAS_Daily!E114,DAMAS_Daily!F114)</f>
        <v/>
      </c>
      <c r="I114" s="43">
        <f>IF(C114="aFRR+",DAMAS_Daily!G114,DAMAS_Daily!H114)</f>
        <v/>
      </c>
      <c r="J114" s="45">
        <f>IF(C114="aFRR+",DAMAS_Daily!C114,DAMAS_Daily!D114)</f>
        <v/>
      </c>
      <c r="K114" s="45">
        <f>IF(C114="aFRR+",MIN(DAMAS_Daily!C114*market_share_A*acceptance_rate*stack_activation,power_mw*hours_per_day,capacity_mwh),MIN(DAMAS_Daily!D114*market_share_A*acceptance_rate*stack_activation,power_mw*hours_per_day,capacity_mwh))</f>
        <v/>
      </c>
      <c r="L114" s="42">
        <f>IF(K114&gt;=capacity_mwh-0.01,"yes","no")</f>
        <v/>
      </c>
      <c r="M114" s="13">
        <f>IF(C114="aFRR+",(MIN(DAMAS_Daily!C114*market_share_A*acceptance_rate*stack_activation,power_mw*hours_per_day,capacity_mwh))*DAMAS_Daily!E114*activation_mult_A,(MIN(DAMAS_Daily!D114*market_share_A*acceptance_rate*stack_activation,power_mw*hours_per_day,capacity_mwh))*DAMAS_Daily!F114*activation_mult_A)</f>
        <v/>
      </c>
      <c r="N114" s="14">
        <f>F114+M114</f>
        <v/>
      </c>
    </row>
    <row r="115">
      <c r="A115" s="41">
        <f>DAMAS_Daily!A115</f>
        <v/>
      </c>
      <c r="B115" s="42">
        <f>DAMAS_Daily!B115</f>
        <v/>
      </c>
      <c r="C115" s="42">
        <f>IF((power_mw*hours_per_day*damas_afrr_up*capacity_mult_A*stack_capacity*acceptance_rate+(MIN(DAMAS_Daily!C115*market_share_A*acceptance_rate*stack_activation,power_mw*hours_per_day,capacity_mwh))*DAMAS_Daily!E115*activation_mult_A)&gt;=(power_mw*hours_per_day*damas_afrr_down*capacity_mult_A*stack_capacity*acceptance_rate+(MIN(DAMAS_Daily!D115*market_share_A*acceptance_rate*stack_activation,power_mw*hours_per_day,capacity_mwh))*DAMAS_Daily!F115*activation_mult_A),"aFRR+","aFRR-")</f>
        <v/>
      </c>
      <c r="D115" s="43">
        <f>IF(C115="aFRR+",damas_afrr_up*capacity_mult_A,damas_afrr_down*capacity_mult_A)</f>
        <v/>
      </c>
      <c r="E115" s="44">
        <f>acceptance_rate</f>
        <v/>
      </c>
      <c r="F115" s="13">
        <f>IF(C115="aFRR+",power_mw*hours_per_day*damas_afrr_up*capacity_mult_A*stack_capacity*acceptance_rate,power_mw*hours_per_day*damas_afrr_down*capacity_mult_A*stack_capacity*acceptance_rate)</f>
        <v/>
      </c>
      <c r="G115" s="42">
        <f>IF(C115="aFRR+",DAMAS_Daily!I115,DAMAS_Daily!J115)</f>
        <v/>
      </c>
      <c r="H115" s="43">
        <f>IF(C115="aFRR+",DAMAS_Daily!E115,DAMAS_Daily!F115)</f>
        <v/>
      </c>
      <c r="I115" s="43">
        <f>IF(C115="aFRR+",DAMAS_Daily!G115,DAMAS_Daily!H115)</f>
        <v/>
      </c>
      <c r="J115" s="45">
        <f>IF(C115="aFRR+",DAMAS_Daily!C115,DAMAS_Daily!D115)</f>
        <v/>
      </c>
      <c r="K115" s="45">
        <f>IF(C115="aFRR+",MIN(DAMAS_Daily!C115*market_share_A*acceptance_rate*stack_activation,power_mw*hours_per_day,capacity_mwh),MIN(DAMAS_Daily!D115*market_share_A*acceptance_rate*stack_activation,power_mw*hours_per_day,capacity_mwh))</f>
        <v/>
      </c>
      <c r="L115" s="42">
        <f>IF(K115&gt;=capacity_mwh-0.01,"yes","no")</f>
        <v/>
      </c>
      <c r="M115" s="13">
        <f>IF(C115="aFRR+",(MIN(DAMAS_Daily!C115*market_share_A*acceptance_rate*stack_activation,power_mw*hours_per_day,capacity_mwh))*DAMAS_Daily!E115*activation_mult_A,(MIN(DAMAS_Daily!D115*market_share_A*acceptance_rate*stack_activation,power_mw*hours_per_day,capacity_mwh))*DAMAS_Daily!F115*activation_mult_A)</f>
        <v/>
      </c>
      <c r="N115" s="14">
        <f>F115+M115</f>
        <v/>
      </c>
    </row>
    <row r="116">
      <c r="A116" s="41">
        <f>DAMAS_Daily!A116</f>
        <v/>
      </c>
      <c r="B116" s="42">
        <f>DAMAS_Daily!B116</f>
        <v/>
      </c>
      <c r="C116" s="42">
        <f>IF((power_mw*hours_per_day*damas_afrr_up*capacity_mult_A*stack_capacity*acceptance_rate+(MIN(DAMAS_Daily!C116*market_share_A*acceptance_rate*stack_activation,power_mw*hours_per_day,capacity_mwh))*DAMAS_Daily!E116*activation_mult_A)&gt;=(power_mw*hours_per_day*damas_afrr_down*capacity_mult_A*stack_capacity*acceptance_rate+(MIN(DAMAS_Daily!D116*market_share_A*acceptance_rate*stack_activation,power_mw*hours_per_day,capacity_mwh))*DAMAS_Daily!F116*activation_mult_A),"aFRR+","aFRR-")</f>
        <v/>
      </c>
      <c r="D116" s="43">
        <f>IF(C116="aFRR+",damas_afrr_up*capacity_mult_A,damas_afrr_down*capacity_mult_A)</f>
        <v/>
      </c>
      <c r="E116" s="44">
        <f>acceptance_rate</f>
        <v/>
      </c>
      <c r="F116" s="13">
        <f>IF(C116="aFRR+",power_mw*hours_per_day*damas_afrr_up*capacity_mult_A*stack_capacity*acceptance_rate,power_mw*hours_per_day*damas_afrr_down*capacity_mult_A*stack_capacity*acceptance_rate)</f>
        <v/>
      </c>
      <c r="G116" s="42">
        <f>IF(C116="aFRR+",DAMAS_Daily!I116,DAMAS_Daily!J116)</f>
        <v/>
      </c>
      <c r="H116" s="43">
        <f>IF(C116="aFRR+",DAMAS_Daily!E116,DAMAS_Daily!F116)</f>
        <v/>
      </c>
      <c r="I116" s="43">
        <f>IF(C116="aFRR+",DAMAS_Daily!G116,DAMAS_Daily!H116)</f>
        <v/>
      </c>
      <c r="J116" s="45">
        <f>IF(C116="aFRR+",DAMAS_Daily!C116,DAMAS_Daily!D116)</f>
        <v/>
      </c>
      <c r="K116" s="45">
        <f>IF(C116="aFRR+",MIN(DAMAS_Daily!C116*market_share_A*acceptance_rate*stack_activation,power_mw*hours_per_day,capacity_mwh),MIN(DAMAS_Daily!D116*market_share_A*acceptance_rate*stack_activation,power_mw*hours_per_day,capacity_mwh))</f>
        <v/>
      </c>
      <c r="L116" s="42">
        <f>IF(K116&gt;=capacity_mwh-0.01,"yes","no")</f>
        <v/>
      </c>
      <c r="M116" s="13">
        <f>IF(C116="aFRR+",(MIN(DAMAS_Daily!C116*market_share_A*acceptance_rate*stack_activation,power_mw*hours_per_day,capacity_mwh))*DAMAS_Daily!E116*activation_mult_A,(MIN(DAMAS_Daily!D116*market_share_A*acceptance_rate*stack_activation,power_mw*hours_per_day,capacity_mwh))*DAMAS_Daily!F116*activation_mult_A)</f>
        <v/>
      </c>
      <c r="N116" s="14">
        <f>F116+M116</f>
        <v/>
      </c>
    </row>
    <row r="117">
      <c r="A117" s="41">
        <f>DAMAS_Daily!A117</f>
        <v/>
      </c>
      <c r="B117" s="42">
        <f>DAMAS_Daily!B117</f>
        <v/>
      </c>
      <c r="C117" s="42">
        <f>IF((power_mw*hours_per_day*damas_afrr_up*capacity_mult_A*stack_capacity*acceptance_rate+(MIN(DAMAS_Daily!C117*market_share_A*acceptance_rate*stack_activation,power_mw*hours_per_day,capacity_mwh))*DAMAS_Daily!E117*activation_mult_A)&gt;=(power_mw*hours_per_day*damas_afrr_down*capacity_mult_A*stack_capacity*acceptance_rate+(MIN(DAMAS_Daily!D117*market_share_A*acceptance_rate*stack_activation,power_mw*hours_per_day,capacity_mwh))*DAMAS_Daily!F117*activation_mult_A),"aFRR+","aFRR-")</f>
        <v/>
      </c>
      <c r="D117" s="43">
        <f>IF(C117="aFRR+",damas_afrr_up*capacity_mult_A,damas_afrr_down*capacity_mult_A)</f>
        <v/>
      </c>
      <c r="E117" s="44">
        <f>acceptance_rate</f>
        <v/>
      </c>
      <c r="F117" s="13">
        <f>IF(C117="aFRR+",power_mw*hours_per_day*damas_afrr_up*capacity_mult_A*stack_capacity*acceptance_rate,power_mw*hours_per_day*damas_afrr_down*capacity_mult_A*stack_capacity*acceptance_rate)</f>
        <v/>
      </c>
      <c r="G117" s="42">
        <f>IF(C117="aFRR+",DAMAS_Daily!I117,DAMAS_Daily!J117)</f>
        <v/>
      </c>
      <c r="H117" s="43">
        <f>IF(C117="aFRR+",DAMAS_Daily!E117,DAMAS_Daily!F117)</f>
        <v/>
      </c>
      <c r="I117" s="43">
        <f>IF(C117="aFRR+",DAMAS_Daily!G117,DAMAS_Daily!H117)</f>
        <v/>
      </c>
      <c r="J117" s="45">
        <f>IF(C117="aFRR+",DAMAS_Daily!C117,DAMAS_Daily!D117)</f>
        <v/>
      </c>
      <c r="K117" s="45">
        <f>IF(C117="aFRR+",MIN(DAMAS_Daily!C117*market_share_A*acceptance_rate*stack_activation,power_mw*hours_per_day,capacity_mwh),MIN(DAMAS_Daily!D117*market_share_A*acceptance_rate*stack_activation,power_mw*hours_per_day,capacity_mwh))</f>
        <v/>
      </c>
      <c r="L117" s="42">
        <f>IF(K117&gt;=capacity_mwh-0.01,"yes","no")</f>
        <v/>
      </c>
      <c r="M117" s="13">
        <f>IF(C117="aFRR+",(MIN(DAMAS_Daily!C117*market_share_A*acceptance_rate*stack_activation,power_mw*hours_per_day,capacity_mwh))*DAMAS_Daily!E117*activation_mult_A,(MIN(DAMAS_Daily!D117*market_share_A*acceptance_rate*stack_activation,power_mw*hours_per_day,capacity_mwh))*DAMAS_Daily!F117*activation_mult_A)</f>
        <v/>
      </c>
      <c r="N117" s="14">
        <f>F117+M117</f>
        <v/>
      </c>
    </row>
    <row r="118">
      <c r="A118" s="41">
        <f>DAMAS_Daily!A118</f>
        <v/>
      </c>
      <c r="B118" s="42">
        <f>DAMAS_Daily!B118</f>
        <v/>
      </c>
      <c r="C118" s="42">
        <f>IF((power_mw*hours_per_day*damas_afrr_up*capacity_mult_A*stack_capacity*acceptance_rate+(MIN(DAMAS_Daily!C118*market_share_A*acceptance_rate*stack_activation,power_mw*hours_per_day,capacity_mwh))*DAMAS_Daily!E118*activation_mult_A)&gt;=(power_mw*hours_per_day*damas_afrr_down*capacity_mult_A*stack_capacity*acceptance_rate+(MIN(DAMAS_Daily!D118*market_share_A*acceptance_rate*stack_activation,power_mw*hours_per_day,capacity_mwh))*DAMAS_Daily!F118*activation_mult_A),"aFRR+","aFRR-")</f>
        <v/>
      </c>
      <c r="D118" s="43">
        <f>IF(C118="aFRR+",damas_afrr_up*capacity_mult_A,damas_afrr_down*capacity_mult_A)</f>
        <v/>
      </c>
      <c r="E118" s="44">
        <f>acceptance_rate</f>
        <v/>
      </c>
      <c r="F118" s="13">
        <f>IF(C118="aFRR+",power_mw*hours_per_day*damas_afrr_up*capacity_mult_A*stack_capacity*acceptance_rate,power_mw*hours_per_day*damas_afrr_down*capacity_mult_A*stack_capacity*acceptance_rate)</f>
        <v/>
      </c>
      <c r="G118" s="42">
        <f>IF(C118="aFRR+",DAMAS_Daily!I118,DAMAS_Daily!J118)</f>
        <v/>
      </c>
      <c r="H118" s="43">
        <f>IF(C118="aFRR+",DAMAS_Daily!E118,DAMAS_Daily!F118)</f>
        <v/>
      </c>
      <c r="I118" s="43">
        <f>IF(C118="aFRR+",DAMAS_Daily!G118,DAMAS_Daily!H118)</f>
        <v/>
      </c>
      <c r="J118" s="45">
        <f>IF(C118="aFRR+",DAMAS_Daily!C118,DAMAS_Daily!D118)</f>
        <v/>
      </c>
      <c r="K118" s="45">
        <f>IF(C118="aFRR+",MIN(DAMAS_Daily!C118*market_share_A*acceptance_rate*stack_activation,power_mw*hours_per_day,capacity_mwh),MIN(DAMAS_Daily!D118*market_share_A*acceptance_rate*stack_activation,power_mw*hours_per_day,capacity_mwh))</f>
        <v/>
      </c>
      <c r="L118" s="42">
        <f>IF(K118&gt;=capacity_mwh-0.01,"yes","no")</f>
        <v/>
      </c>
      <c r="M118" s="13">
        <f>IF(C118="aFRR+",(MIN(DAMAS_Daily!C118*market_share_A*acceptance_rate*stack_activation,power_mw*hours_per_day,capacity_mwh))*DAMAS_Daily!E118*activation_mult_A,(MIN(DAMAS_Daily!D118*market_share_A*acceptance_rate*stack_activation,power_mw*hours_per_day,capacity_mwh))*DAMAS_Daily!F118*activation_mult_A)</f>
        <v/>
      </c>
      <c r="N118" s="14">
        <f>F118+M118</f>
        <v/>
      </c>
    </row>
    <row r="119">
      <c r="A119" s="41">
        <f>DAMAS_Daily!A119</f>
        <v/>
      </c>
      <c r="B119" s="42">
        <f>DAMAS_Daily!B119</f>
        <v/>
      </c>
      <c r="C119" s="42">
        <f>IF((power_mw*hours_per_day*damas_afrr_up*capacity_mult_A*stack_capacity*acceptance_rate+(MIN(DAMAS_Daily!C119*market_share_A*acceptance_rate*stack_activation,power_mw*hours_per_day,capacity_mwh))*DAMAS_Daily!E119*activation_mult_A)&gt;=(power_mw*hours_per_day*damas_afrr_down*capacity_mult_A*stack_capacity*acceptance_rate+(MIN(DAMAS_Daily!D119*market_share_A*acceptance_rate*stack_activation,power_mw*hours_per_day,capacity_mwh))*DAMAS_Daily!F119*activation_mult_A),"aFRR+","aFRR-")</f>
        <v/>
      </c>
      <c r="D119" s="43">
        <f>IF(C119="aFRR+",damas_afrr_up*capacity_mult_A,damas_afrr_down*capacity_mult_A)</f>
        <v/>
      </c>
      <c r="E119" s="44">
        <f>acceptance_rate</f>
        <v/>
      </c>
      <c r="F119" s="13">
        <f>IF(C119="aFRR+",power_mw*hours_per_day*damas_afrr_up*capacity_mult_A*stack_capacity*acceptance_rate,power_mw*hours_per_day*damas_afrr_down*capacity_mult_A*stack_capacity*acceptance_rate)</f>
        <v/>
      </c>
      <c r="G119" s="42">
        <f>IF(C119="aFRR+",DAMAS_Daily!I119,DAMAS_Daily!J119)</f>
        <v/>
      </c>
      <c r="H119" s="43">
        <f>IF(C119="aFRR+",DAMAS_Daily!E119,DAMAS_Daily!F119)</f>
        <v/>
      </c>
      <c r="I119" s="43">
        <f>IF(C119="aFRR+",DAMAS_Daily!G119,DAMAS_Daily!H119)</f>
        <v/>
      </c>
      <c r="J119" s="45">
        <f>IF(C119="aFRR+",DAMAS_Daily!C119,DAMAS_Daily!D119)</f>
        <v/>
      </c>
      <c r="K119" s="45">
        <f>IF(C119="aFRR+",MIN(DAMAS_Daily!C119*market_share_A*acceptance_rate*stack_activation,power_mw*hours_per_day,capacity_mwh),MIN(DAMAS_Daily!D119*market_share_A*acceptance_rate*stack_activation,power_mw*hours_per_day,capacity_mwh))</f>
        <v/>
      </c>
      <c r="L119" s="42">
        <f>IF(K119&gt;=capacity_mwh-0.01,"yes","no")</f>
        <v/>
      </c>
      <c r="M119" s="13">
        <f>IF(C119="aFRR+",(MIN(DAMAS_Daily!C119*market_share_A*acceptance_rate*stack_activation,power_mw*hours_per_day,capacity_mwh))*DAMAS_Daily!E119*activation_mult_A,(MIN(DAMAS_Daily!D119*market_share_A*acceptance_rate*stack_activation,power_mw*hours_per_day,capacity_mwh))*DAMAS_Daily!F119*activation_mult_A)</f>
        <v/>
      </c>
      <c r="N119" s="14">
        <f>F119+M119</f>
        <v/>
      </c>
    </row>
    <row r="120">
      <c r="A120" s="41">
        <f>DAMAS_Daily!A120</f>
        <v/>
      </c>
      <c r="B120" s="42">
        <f>DAMAS_Daily!B120</f>
        <v/>
      </c>
      <c r="C120" s="42">
        <f>IF((power_mw*hours_per_day*damas_afrr_up*capacity_mult_A*stack_capacity*acceptance_rate+(MIN(DAMAS_Daily!C120*market_share_A*acceptance_rate*stack_activation,power_mw*hours_per_day,capacity_mwh))*DAMAS_Daily!E120*activation_mult_A)&gt;=(power_mw*hours_per_day*damas_afrr_down*capacity_mult_A*stack_capacity*acceptance_rate+(MIN(DAMAS_Daily!D120*market_share_A*acceptance_rate*stack_activation,power_mw*hours_per_day,capacity_mwh))*DAMAS_Daily!F120*activation_mult_A),"aFRR+","aFRR-")</f>
        <v/>
      </c>
      <c r="D120" s="43">
        <f>IF(C120="aFRR+",damas_afrr_up*capacity_mult_A,damas_afrr_down*capacity_mult_A)</f>
        <v/>
      </c>
      <c r="E120" s="44">
        <f>acceptance_rate</f>
        <v/>
      </c>
      <c r="F120" s="13">
        <f>IF(C120="aFRR+",power_mw*hours_per_day*damas_afrr_up*capacity_mult_A*stack_capacity*acceptance_rate,power_mw*hours_per_day*damas_afrr_down*capacity_mult_A*stack_capacity*acceptance_rate)</f>
        <v/>
      </c>
      <c r="G120" s="42">
        <f>IF(C120="aFRR+",DAMAS_Daily!I120,DAMAS_Daily!J120)</f>
        <v/>
      </c>
      <c r="H120" s="43">
        <f>IF(C120="aFRR+",DAMAS_Daily!E120,DAMAS_Daily!F120)</f>
        <v/>
      </c>
      <c r="I120" s="43">
        <f>IF(C120="aFRR+",DAMAS_Daily!G120,DAMAS_Daily!H120)</f>
        <v/>
      </c>
      <c r="J120" s="45">
        <f>IF(C120="aFRR+",DAMAS_Daily!C120,DAMAS_Daily!D120)</f>
        <v/>
      </c>
      <c r="K120" s="45">
        <f>IF(C120="aFRR+",MIN(DAMAS_Daily!C120*market_share_A*acceptance_rate*stack_activation,power_mw*hours_per_day,capacity_mwh),MIN(DAMAS_Daily!D120*market_share_A*acceptance_rate*stack_activation,power_mw*hours_per_day,capacity_mwh))</f>
        <v/>
      </c>
      <c r="L120" s="42">
        <f>IF(K120&gt;=capacity_mwh-0.01,"yes","no")</f>
        <v/>
      </c>
      <c r="M120" s="13">
        <f>IF(C120="aFRR+",(MIN(DAMAS_Daily!C120*market_share_A*acceptance_rate*stack_activation,power_mw*hours_per_day,capacity_mwh))*DAMAS_Daily!E120*activation_mult_A,(MIN(DAMAS_Daily!D120*market_share_A*acceptance_rate*stack_activation,power_mw*hours_per_day,capacity_mwh))*DAMAS_Daily!F120*activation_mult_A)</f>
        <v/>
      </c>
      <c r="N120" s="14">
        <f>F120+M120</f>
        <v/>
      </c>
    </row>
    <row r="121">
      <c r="A121" s="41">
        <f>DAMAS_Daily!A121</f>
        <v/>
      </c>
      <c r="B121" s="42">
        <f>DAMAS_Daily!B121</f>
        <v/>
      </c>
      <c r="C121" s="42">
        <f>IF((power_mw*hours_per_day*damas_afrr_up*capacity_mult_A*stack_capacity*acceptance_rate+(MIN(DAMAS_Daily!C121*market_share_A*acceptance_rate*stack_activation,power_mw*hours_per_day,capacity_mwh))*DAMAS_Daily!E121*activation_mult_A)&gt;=(power_mw*hours_per_day*damas_afrr_down*capacity_mult_A*stack_capacity*acceptance_rate+(MIN(DAMAS_Daily!D121*market_share_A*acceptance_rate*stack_activation,power_mw*hours_per_day,capacity_mwh))*DAMAS_Daily!F121*activation_mult_A),"aFRR+","aFRR-")</f>
        <v/>
      </c>
      <c r="D121" s="43">
        <f>IF(C121="aFRR+",damas_afrr_up*capacity_mult_A,damas_afrr_down*capacity_mult_A)</f>
        <v/>
      </c>
      <c r="E121" s="44">
        <f>acceptance_rate</f>
        <v/>
      </c>
      <c r="F121" s="13">
        <f>IF(C121="aFRR+",power_mw*hours_per_day*damas_afrr_up*capacity_mult_A*stack_capacity*acceptance_rate,power_mw*hours_per_day*damas_afrr_down*capacity_mult_A*stack_capacity*acceptance_rate)</f>
        <v/>
      </c>
      <c r="G121" s="42">
        <f>IF(C121="aFRR+",DAMAS_Daily!I121,DAMAS_Daily!J121)</f>
        <v/>
      </c>
      <c r="H121" s="43">
        <f>IF(C121="aFRR+",DAMAS_Daily!E121,DAMAS_Daily!F121)</f>
        <v/>
      </c>
      <c r="I121" s="43">
        <f>IF(C121="aFRR+",DAMAS_Daily!G121,DAMAS_Daily!H121)</f>
        <v/>
      </c>
      <c r="J121" s="45">
        <f>IF(C121="aFRR+",DAMAS_Daily!C121,DAMAS_Daily!D121)</f>
        <v/>
      </c>
      <c r="K121" s="45">
        <f>IF(C121="aFRR+",MIN(DAMAS_Daily!C121*market_share_A*acceptance_rate*stack_activation,power_mw*hours_per_day,capacity_mwh),MIN(DAMAS_Daily!D121*market_share_A*acceptance_rate*stack_activation,power_mw*hours_per_day,capacity_mwh))</f>
        <v/>
      </c>
      <c r="L121" s="42">
        <f>IF(K121&gt;=capacity_mwh-0.01,"yes","no")</f>
        <v/>
      </c>
      <c r="M121" s="13">
        <f>IF(C121="aFRR+",(MIN(DAMAS_Daily!C121*market_share_A*acceptance_rate*stack_activation,power_mw*hours_per_day,capacity_mwh))*DAMAS_Daily!E121*activation_mult_A,(MIN(DAMAS_Daily!D121*market_share_A*acceptance_rate*stack_activation,power_mw*hours_per_day,capacity_mwh))*DAMAS_Daily!F121*activation_mult_A)</f>
        <v/>
      </c>
      <c r="N121" s="14">
        <f>F121+M121</f>
        <v/>
      </c>
    </row>
    <row r="122">
      <c r="A122" s="41">
        <f>DAMAS_Daily!A122</f>
        <v/>
      </c>
      <c r="B122" s="42">
        <f>DAMAS_Daily!B122</f>
        <v/>
      </c>
      <c r="C122" s="42">
        <f>IF((power_mw*hours_per_day*damas_afrr_up*capacity_mult_A*stack_capacity*acceptance_rate+(MIN(DAMAS_Daily!C122*market_share_A*acceptance_rate*stack_activation,power_mw*hours_per_day,capacity_mwh))*DAMAS_Daily!E122*activation_mult_A)&gt;=(power_mw*hours_per_day*damas_afrr_down*capacity_mult_A*stack_capacity*acceptance_rate+(MIN(DAMAS_Daily!D122*market_share_A*acceptance_rate*stack_activation,power_mw*hours_per_day,capacity_mwh))*DAMAS_Daily!F122*activation_mult_A),"aFRR+","aFRR-")</f>
        <v/>
      </c>
      <c r="D122" s="43">
        <f>IF(C122="aFRR+",damas_afrr_up*capacity_mult_A,damas_afrr_down*capacity_mult_A)</f>
        <v/>
      </c>
      <c r="E122" s="44">
        <f>acceptance_rate</f>
        <v/>
      </c>
      <c r="F122" s="13">
        <f>IF(C122="aFRR+",power_mw*hours_per_day*damas_afrr_up*capacity_mult_A*stack_capacity*acceptance_rate,power_mw*hours_per_day*damas_afrr_down*capacity_mult_A*stack_capacity*acceptance_rate)</f>
        <v/>
      </c>
      <c r="G122" s="42">
        <f>IF(C122="aFRR+",DAMAS_Daily!I122,DAMAS_Daily!J122)</f>
        <v/>
      </c>
      <c r="H122" s="43">
        <f>IF(C122="aFRR+",DAMAS_Daily!E122,DAMAS_Daily!F122)</f>
        <v/>
      </c>
      <c r="I122" s="43">
        <f>IF(C122="aFRR+",DAMAS_Daily!G122,DAMAS_Daily!H122)</f>
        <v/>
      </c>
      <c r="J122" s="45">
        <f>IF(C122="aFRR+",DAMAS_Daily!C122,DAMAS_Daily!D122)</f>
        <v/>
      </c>
      <c r="K122" s="45">
        <f>IF(C122="aFRR+",MIN(DAMAS_Daily!C122*market_share_A*acceptance_rate*stack_activation,power_mw*hours_per_day,capacity_mwh),MIN(DAMAS_Daily!D122*market_share_A*acceptance_rate*stack_activation,power_mw*hours_per_day,capacity_mwh))</f>
        <v/>
      </c>
      <c r="L122" s="42">
        <f>IF(K122&gt;=capacity_mwh-0.01,"yes","no")</f>
        <v/>
      </c>
      <c r="M122" s="13">
        <f>IF(C122="aFRR+",(MIN(DAMAS_Daily!C122*market_share_A*acceptance_rate*stack_activation,power_mw*hours_per_day,capacity_mwh))*DAMAS_Daily!E122*activation_mult_A,(MIN(DAMAS_Daily!D122*market_share_A*acceptance_rate*stack_activation,power_mw*hours_per_day,capacity_mwh))*DAMAS_Daily!F122*activation_mult_A)</f>
        <v/>
      </c>
      <c r="N122" s="14">
        <f>F122+M122</f>
        <v/>
      </c>
    </row>
    <row r="123">
      <c r="A123" s="41">
        <f>DAMAS_Daily!A123</f>
        <v/>
      </c>
      <c r="B123" s="42">
        <f>DAMAS_Daily!B123</f>
        <v/>
      </c>
      <c r="C123" s="42">
        <f>IF((power_mw*hours_per_day*damas_afrr_up*capacity_mult_A*stack_capacity*acceptance_rate+(MIN(DAMAS_Daily!C123*market_share_A*acceptance_rate*stack_activation,power_mw*hours_per_day,capacity_mwh))*DAMAS_Daily!E123*activation_mult_A)&gt;=(power_mw*hours_per_day*damas_afrr_down*capacity_mult_A*stack_capacity*acceptance_rate+(MIN(DAMAS_Daily!D123*market_share_A*acceptance_rate*stack_activation,power_mw*hours_per_day,capacity_mwh))*DAMAS_Daily!F123*activation_mult_A),"aFRR+","aFRR-")</f>
        <v/>
      </c>
      <c r="D123" s="43">
        <f>IF(C123="aFRR+",damas_afrr_up*capacity_mult_A,damas_afrr_down*capacity_mult_A)</f>
        <v/>
      </c>
      <c r="E123" s="44">
        <f>acceptance_rate</f>
        <v/>
      </c>
      <c r="F123" s="13">
        <f>IF(C123="aFRR+",power_mw*hours_per_day*damas_afrr_up*capacity_mult_A*stack_capacity*acceptance_rate,power_mw*hours_per_day*damas_afrr_down*capacity_mult_A*stack_capacity*acceptance_rate)</f>
        <v/>
      </c>
      <c r="G123" s="42">
        <f>IF(C123="aFRR+",DAMAS_Daily!I123,DAMAS_Daily!J123)</f>
        <v/>
      </c>
      <c r="H123" s="43">
        <f>IF(C123="aFRR+",DAMAS_Daily!E123,DAMAS_Daily!F123)</f>
        <v/>
      </c>
      <c r="I123" s="43">
        <f>IF(C123="aFRR+",DAMAS_Daily!G123,DAMAS_Daily!H123)</f>
        <v/>
      </c>
      <c r="J123" s="45">
        <f>IF(C123="aFRR+",DAMAS_Daily!C123,DAMAS_Daily!D123)</f>
        <v/>
      </c>
      <c r="K123" s="45">
        <f>IF(C123="aFRR+",MIN(DAMAS_Daily!C123*market_share_A*acceptance_rate*stack_activation,power_mw*hours_per_day,capacity_mwh),MIN(DAMAS_Daily!D123*market_share_A*acceptance_rate*stack_activation,power_mw*hours_per_day,capacity_mwh))</f>
        <v/>
      </c>
      <c r="L123" s="42">
        <f>IF(K123&gt;=capacity_mwh-0.01,"yes","no")</f>
        <v/>
      </c>
      <c r="M123" s="13">
        <f>IF(C123="aFRR+",(MIN(DAMAS_Daily!C123*market_share_A*acceptance_rate*stack_activation,power_mw*hours_per_day,capacity_mwh))*DAMAS_Daily!E123*activation_mult_A,(MIN(DAMAS_Daily!D123*market_share_A*acceptance_rate*stack_activation,power_mw*hours_per_day,capacity_mwh))*DAMAS_Daily!F123*activation_mult_A)</f>
        <v/>
      </c>
      <c r="N123" s="14">
        <f>F123+M123</f>
        <v/>
      </c>
    </row>
    <row r="124">
      <c r="A124" s="41">
        <f>DAMAS_Daily!A124</f>
        <v/>
      </c>
      <c r="B124" s="42">
        <f>DAMAS_Daily!B124</f>
        <v/>
      </c>
      <c r="C124" s="42">
        <f>IF((power_mw*hours_per_day*damas_afrr_up*capacity_mult_A*stack_capacity*acceptance_rate+(MIN(DAMAS_Daily!C124*market_share_A*acceptance_rate*stack_activation,power_mw*hours_per_day,capacity_mwh))*DAMAS_Daily!E124*activation_mult_A)&gt;=(power_mw*hours_per_day*damas_afrr_down*capacity_mult_A*stack_capacity*acceptance_rate+(MIN(DAMAS_Daily!D124*market_share_A*acceptance_rate*stack_activation,power_mw*hours_per_day,capacity_mwh))*DAMAS_Daily!F124*activation_mult_A),"aFRR+","aFRR-")</f>
        <v/>
      </c>
      <c r="D124" s="43">
        <f>IF(C124="aFRR+",damas_afrr_up*capacity_mult_A,damas_afrr_down*capacity_mult_A)</f>
        <v/>
      </c>
      <c r="E124" s="44">
        <f>acceptance_rate</f>
        <v/>
      </c>
      <c r="F124" s="13">
        <f>IF(C124="aFRR+",power_mw*hours_per_day*damas_afrr_up*capacity_mult_A*stack_capacity*acceptance_rate,power_mw*hours_per_day*damas_afrr_down*capacity_mult_A*stack_capacity*acceptance_rate)</f>
        <v/>
      </c>
      <c r="G124" s="42">
        <f>IF(C124="aFRR+",DAMAS_Daily!I124,DAMAS_Daily!J124)</f>
        <v/>
      </c>
      <c r="H124" s="43">
        <f>IF(C124="aFRR+",DAMAS_Daily!E124,DAMAS_Daily!F124)</f>
        <v/>
      </c>
      <c r="I124" s="43">
        <f>IF(C124="aFRR+",DAMAS_Daily!G124,DAMAS_Daily!H124)</f>
        <v/>
      </c>
      <c r="J124" s="45">
        <f>IF(C124="aFRR+",DAMAS_Daily!C124,DAMAS_Daily!D124)</f>
        <v/>
      </c>
      <c r="K124" s="45">
        <f>IF(C124="aFRR+",MIN(DAMAS_Daily!C124*market_share_A*acceptance_rate*stack_activation,power_mw*hours_per_day,capacity_mwh),MIN(DAMAS_Daily!D124*market_share_A*acceptance_rate*stack_activation,power_mw*hours_per_day,capacity_mwh))</f>
        <v/>
      </c>
      <c r="L124" s="42">
        <f>IF(K124&gt;=capacity_mwh-0.01,"yes","no")</f>
        <v/>
      </c>
      <c r="M124" s="13">
        <f>IF(C124="aFRR+",(MIN(DAMAS_Daily!C124*market_share_A*acceptance_rate*stack_activation,power_mw*hours_per_day,capacity_mwh))*DAMAS_Daily!E124*activation_mult_A,(MIN(DAMAS_Daily!D124*market_share_A*acceptance_rate*stack_activation,power_mw*hours_per_day,capacity_mwh))*DAMAS_Daily!F124*activation_mult_A)</f>
        <v/>
      </c>
      <c r="N124" s="14">
        <f>F124+M124</f>
        <v/>
      </c>
    </row>
    <row r="125">
      <c r="A125" s="41">
        <f>DAMAS_Daily!A125</f>
        <v/>
      </c>
      <c r="B125" s="42">
        <f>DAMAS_Daily!B125</f>
        <v/>
      </c>
      <c r="C125" s="42">
        <f>IF((power_mw*hours_per_day*damas_afrr_up*capacity_mult_A*stack_capacity*acceptance_rate+(MIN(DAMAS_Daily!C125*market_share_A*acceptance_rate*stack_activation,power_mw*hours_per_day,capacity_mwh))*DAMAS_Daily!E125*activation_mult_A)&gt;=(power_mw*hours_per_day*damas_afrr_down*capacity_mult_A*stack_capacity*acceptance_rate+(MIN(DAMAS_Daily!D125*market_share_A*acceptance_rate*stack_activation,power_mw*hours_per_day,capacity_mwh))*DAMAS_Daily!F125*activation_mult_A),"aFRR+","aFRR-")</f>
        <v/>
      </c>
      <c r="D125" s="43">
        <f>IF(C125="aFRR+",damas_afrr_up*capacity_mult_A,damas_afrr_down*capacity_mult_A)</f>
        <v/>
      </c>
      <c r="E125" s="44">
        <f>acceptance_rate</f>
        <v/>
      </c>
      <c r="F125" s="13">
        <f>IF(C125="aFRR+",power_mw*hours_per_day*damas_afrr_up*capacity_mult_A*stack_capacity*acceptance_rate,power_mw*hours_per_day*damas_afrr_down*capacity_mult_A*stack_capacity*acceptance_rate)</f>
        <v/>
      </c>
      <c r="G125" s="42">
        <f>IF(C125="aFRR+",DAMAS_Daily!I125,DAMAS_Daily!J125)</f>
        <v/>
      </c>
      <c r="H125" s="43">
        <f>IF(C125="aFRR+",DAMAS_Daily!E125,DAMAS_Daily!F125)</f>
        <v/>
      </c>
      <c r="I125" s="43">
        <f>IF(C125="aFRR+",DAMAS_Daily!G125,DAMAS_Daily!H125)</f>
        <v/>
      </c>
      <c r="J125" s="45">
        <f>IF(C125="aFRR+",DAMAS_Daily!C125,DAMAS_Daily!D125)</f>
        <v/>
      </c>
      <c r="K125" s="45">
        <f>IF(C125="aFRR+",MIN(DAMAS_Daily!C125*market_share_A*acceptance_rate*stack_activation,power_mw*hours_per_day,capacity_mwh),MIN(DAMAS_Daily!D125*market_share_A*acceptance_rate*stack_activation,power_mw*hours_per_day,capacity_mwh))</f>
        <v/>
      </c>
      <c r="L125" s="42">
        <f>IF(K125&gt;=capacity_mwh-0.01,"yes","no")</f>
        <v/>
      </c>
      <c r="M125" s="13">
        <f>IF(C125="aFRR+",(MIN(DAMAS_Daily!C125*market_share_A*acceptance_rate*stack_activation,power_mw*hours_per_day,capacity_mwh))*DAMAS_Daily!E125*activation_mult_A,(MIN(DAMAS_Daily!D125*market_share_A*acceptance_rate*stack_activation,power_mw*hours_per_day,capacity_mwh))*DAMAS_Daily!F125*activation_mult_A)</f>
        <v/>
      </c>
      <c r="N125" s="14">
        <f>F125+M125</f>
        <v/>
      </c>
    </row>
    <row r="126">
      <c r="A126" s="41">
        <f>DAMAS_Daily!A126</f>
        <v/>
      </c>
      <c r="B126" s="42">
        <f>DAMAS_Daily!B126</f>
        <v/>
      </c>
      <c r="C126" s="42">
        <f>IF((power_mw*hours_per_day*damas_afrr_up*capacity_mult_A*stack_capacity*acceptance_rate+(MIN(DAMAS_Daily!C126*market_share_A*acceptance_rate*stack_activation,power_mw*hours_per_day,capacity_mwh))*DAMAS_Daily!E126*activation_mult_A)&gt;=(power_mw*hours_per_day*damas_afrr_down*capacity_mult_A*stack_capacity*acceptance_rate+(MIN(DAMAS_Daily!D126*market_share_A*acceptance_rate*stack_activation,power_mw*hours_per_day,capacity_mwh))*DAMAS_Daily!F126*activation_mult_A),"aFRR+","aFRR-")</f>
        <v/>
      </c>
      <c r="D126" s="43">
        <f>IF(C126="aFRR+",damas_afrr_up*capacity_mult_A,damas_afrr_down*capacity_mult_A)</f>
        <v/>
      </c>
      <c r="E126" s="44">
        <f>acceptance_rate</f>
        <v/>
      </c>
      <c r="F126" s="13">
        <f>IF(C126="aFRR+",power_mw*hours_per_day*damas_afrr_up*capacity_mult_A*stack_capacity*acceptance_rate,power_mw*hours_per_day*damas_afrr_down*capacity_mult_A*stack_capacity*acceptance_rate)</f>
        <v/>
      </c>
      <c r="G126" s="42">
        <f>IF(C126="aFRR+",DAMAS_Daily!I126,DAMAS_Daily!J126)</f>
        <v/>
      </c>
      <c r="H126" s="43">
        <f>IF(C126="aFRR+",DAMAS_Daily!E126,DAMAS_Daily!F126)</f>
        <v/>
      </c>
      <c r="I126" s="43">
        <f>IF(C126="aFRR+",DAMAS_Daily!G126,DAMAS_Daily!H126)</f>
        <v/>
      </c>
      <c r="J126" s="45">
        <f>IF(C126="aFRR+",DAMAS_Daily!C126,DAMAS_Daily!D126)</f>
        <v/>
      </c>
      <c r="K126" s="45">
        <f>IF(C126="aFRR+",MIN(DAMAS_Daily!C126*market_share_A*acceptance_rate*stack_activation,power_mw*hours_per_day,capacity_mwh),MIN(DAMAS_Daily!D126*market_share_A*acceptance_rate*stack_activation,power_mw*hours_per_day,capacity_mwh))</f>
        <v/>
      </c>
      <c r="L126" s="42">
        <f>IF(K126&gt;=capacity_mwh-0.01,"yes","no")</f>
        <v/>
      </c>
      <c r="M126" s="13">
        <f>IF(C126="aFRR+",(MIN(DAMAS_Daily!C126*market_share_A*acceptance_rate*stack_activation,power_mw*hours_per_day,capacity_mwh))*DAMAS_Daily!E126*activation_mult_A,(MIN(DAMAS_Daily!D126*market_share_A*acceptance_rate*stack_activation,power_mw*hours_per_day,capacity_mwh))*DAMAS_Daily!F126*activation_mult_A)</f>
        <v/>
      </c>
      <c r="N126" s="14">
        <f>F126+M126</f>
        <v/>
      </c>
    </row>
    <row r="127">
      <c r="A127" s="41">
        <f>DAMAS_Daily!A127</f>
        <v/>
      </c>
      <c r="B127" s="42">
        <f>DAMAS_Daily!B127</f>
        <v/>
      </c>
      <c r="C127" s="42">
        <f>IF((power_mw*hours_per_day*damas_afrr_up*capacity_mult_A*stack_capacity*acceptance_rate+(MIN(DAMAS_Daily!C127*market_share_A*acceptance_rate*stack_activation,power_mw*hours_per_day,capacity_mwh))*DAMAS_Daily!E127*activation_mult_A)&gt;=(power_mw*hours_per_day*damas_afrr_down*capacity_mult_A*stack_capacity*acceptance_rate+(MIN(DAMAS_Daily!D127*market_share_A*acceptance_rate*stack_activation,power_mw*hours_per_day,capacity_mwh))*DAMAS_Daily!F127*activation_mult_A),"aFRR+","aFRR-")</f>
        <v/>
      </c>
      <c r="D127" s="43">
        <f>IF(C127="aFRR+",damas_afrr_up*capacity_mult_A,damas_afrr_down*capacity_mult_A)</f>
        <v/>
      </c>
      <c r="E127" s="44">
        <f>acceptance_rate</f>
        <v/>
      </c>
      <c r="F127" s="13">
        <f>IF(C127="aFRR+",power_mw*hours_per_day*damas_afrr_up*capacity_mult_A*stack_capacity*acceptance_rate,power_mw*hours_per_day*damas_afrr_down*capacity_mult_A*stack_capacity*acceptance_rate)</f>
        <v/>
      </c>
      <c r="G127" s="42">
        <f>IF(C127="aFRR+",DAMAS_Daily!I127,DAMAS_Daily!J127)</f>
        <v/>
      </c>
      <c r="H127" s="43">
        <f>IF(C127="aFRR+",DAMAS_Daily!E127,DAMAS_Daily!F127)</f>
        <v/>
      </c>
      <c r="I127" s="43">
        <f>IF(C127="aFRR+",DAMAS_Daily!G127,DAMAS_Daily!H127)</f>
        <v/>
      </c>
      <c r="J127" s="45">
        <f>IF(C127="aFRR+",DAMAS_Daily!C127,DAMAS_Daily!D127)</f>
        <v/>
      </c>
      <c r="K127" s="45">
        <f>IF(C127="aFRR+",MIN(DAMAS_Daily!C127*market_share_A*acceptance_rate*stack_activation,power_mw*hours_per_day,capacity_mwh),MIN(DAMAS_Daily!D127*market_share_A*acceptance_rate*stack_activation,power_mw*hours_per_day,capacity_mwh))</f>
        <v/>
      </c>
      <c r="L127" s="42">
        <f>IF(K127&gt;=capacity_mwh-0.01,"yes","no")</f>
        <v/>
      </c>
      <c r="M127" s="13">
        <f>IF(C127="aFRR+",(MIN(DAMAS_Daily!C127*market_share_A*acceptance_rate*stack_activation,power_mw*hours_per_day,capacity_mwh))*DAMAS_Daily!E127*activation_mult_A,(MIN(DAMAS_Daily!D127*market_share_A*acceptance_rate*stack_activation,power_mw*hours_per_day,capacity_mwh))*DAMAS_Daily!F127*activation_mult_A)</f>
        <v/>
      </c>
      <c r="N127" s="14">
        <f>F127+M127</f>
        <v/>
      </c>
    </row>
    <row r="128">
      <c r="A128" s="41">
        <f>DAMAS_Daily!A128</f>
        <v/>
      </c>
      <c r="B128" s="42">
        <f>DAMAS_Daily!B128</f>
        <v/>
      </c>
      <c r="C128" s="42">
        <f>IF((power_mw*hours_per_day*damas_afrr_up*capacity_mult_A*stack_capacity*acceptance_rate+(MIN(DAMAS_Daily!C128*market_share_A*acceptance_rate*stack_activation,power_mw*hours_per_day,capacity_mwh))*DAMAS_Daily!E128*activation_mult_A)&gt;=(power_mw*hours_per_day*damas_afrr_down*capacity_mult_A*stack_capacity*acceptance_rate+(MIN(DAMAS_Daily!D128*market_share_A*acceptance_rate*stack_activation,power_mw*hours_per_day,capacity_mwh))*DAMAS_Daily!F128*activation_mult_A),"aFRR+","aFRR-")</f>
        <v/>
      </c>
      <c r="D128" s="43">
        <f>IF(C128="aFRR+",damas_afrr_up*capacity_mult_A,damas_afrr_down*capacity_mult_A)</f>
        <v/>
      </c>
      <c r="E128" s="44">
        <f>acceptance_rate</f>
        <v/>
      </c>
      <c r="F128" s="13">
        <f>IF(C128="aFRR+",power_mw*hours_per_day*damas_afrr_up*capacity_mult_A*stack_capacity*acceptance_rate,power_mw*hours_per_day*damas_afrr_down*capacity_mult_A*stack_capacity*acceptance_rate)</f>
        <v/>
      </c>
      <c r="G128" s="42">
        <f>IF(C128="aFRR+",DAMAS_Daily!I128,DAMAS_Daily!J128)</f>
        <v/>
      </c>
      <c r="H128" s="43">
        <f>IF(C128="aFRR+",DAMAS_Daily!E128,DAMAS_Daily!F128)</f>
        <v/>
      </c>
      <c r="I128" s="43">
        <f>IF(C128="aFRR+",DAMAS_Daily!G128,DAMAS_Daily!H128)</f>
        <v/>
      </c>
      <c r="J128" s="45">
        <f>IF(C128="aFRR+",DAMAS_Daily!C128,DAMAS_Daily!D128)</f>
        <v/>
      </c>
      <c r="K128" s="45">
        <f>IF(C128="aFRR+",MIN(DAMAS_Daily!C128*market_share_A*acceptance_rate*stack_activation,power_mw*hours_per_day,capacity_mwh),MIN(DAMAS_Daily!D128*market_share_A*acceptance_rate*stack_activation,power_mw*hours_per_day,capacity_mwh))</f>
        <v/>
      </c>
      <c r="L128" s="42">
        <f>IF(K128&gt;=capacity_mwh-0.01,"yes","no")</f>
        <v/>
      </c>
      <c r="M128" s="13">
        <f>IF(C128="aFRR+",(MIN(DAMAS_Daily!C128*market_share_A*acceptance_rate*stack_activation,power_mw*hours_per_day,capacity_mwh))*DAMAS_Daily!E128*activation_mult_A,(MIN(DAMAS_Daily!D128*market_share_A*acceptance_rate*stack_activation,power_mw*hours_per_day,capacity_mwh))*DAMAS_Daily!F128*activation_mult_A)</f>
        <v/>
      </c>
      <c r="N128" s="14">
        <f>F128+M128</f>
        <v/>
      </c>
    </row>
    <row r="129">
      <c r="A129" s="41">
        <f>DAMAS_Daily!A129</f>
        <v/>
      </c>
      <c r="B129" s="42">
        <f>DAMAS_Daily!B129</f>
        <v/>
      </c>
      <c r="C129" s="42">
        <f>IF((power_mw*hours_per_day*damas_afrr_up*capacity_mult_A*stack_capacity*acceptance_rate+(MIN(DAMAS_Daily!C129*market_share_A*acceptance_rate*stack_activation,power_mw*hours_per_day,capacity_mwh))*DAMAS_Daily!E129*activation_mult_A)&gt;=(power_mw*hours_per_day*damas_afrr_down*capacity_mult_A*stack_capacity*acceptance_rate+(MIN(DAMAS_Daily!D129*market_share_A*acceptance_rate*stack_activation,power_mw*hours_per_day,capacity_mwh))*DAMAS_Daily!F129*activation_mult_A),"aFRR+","aFRR-")</f>
        <v/>
      </c>
      <c r="D129" s="43">
        <f>IF(C129="aFRR+",damas_afrr_up*capacity_mult_A,damas_afrr_down*capacity_mult_A)</f>
        <v/>
      </c>
      <c r="E129" s="44">
        <f>acceptance_rate</f>
        <v/>
      </c>
      <c r="F129" s="13">
        <f>IF(C129="aFRR+",power_mw*hours_per_day*damas_afrr_up*capacity_mult_A*stack_capacity*acceptance_rate,power_mw*hours_per_day*damas_afrr_down*capacity_mult_A*stack_capacity*acceptance_rate)</f>
        <v/>
      </c>
      <c r="G129" s="42">
        <f>IF(C129="aFRR+",DAMAS_Daily!I129,DAMAS_Daily!J129)</f>
        <v/>
      </c>
      <c r="H129" s="43">
        <f>IF(C129="aFRR+",DAMAS_Daily!E129,DAMAS_Daily!F129)</f>
        <v/>
      </c>
      <c r="I129" s="43">
        <f>IF(C129="aFRR+",DAMAS_Daily!G129,DAMAS_Daily!H129)</f>
        <v/>
      </c>
      <c r="J129" s="45">
        <f>IF(C129="aFRR+",DAMAS_Daily!C129,DAMAS_Daily!D129)</f>
        <v/>
      </c>
      <c r="K129" s="45">
        <f>IF(C129="aFRR+",MIN(DAMAS_Daily!C129*market_share_A*acceptance_rate*stack_activation,power_mw*hours_per_day,capacity_mwh),MIN(DAMAS_Daily!D129*market_share_A*acceptance_rate*stack_activation,power_mw*hours_per_day,capacity_mwh))</f>
        <v/>
      </c>
      <c r="L129" s="42">
        <f>IF(K129&gt;=capacity_mwh-0.01,"yes","no")</f>
        <v/>
      </c>
      <c r="M129" s="13">
        <f>IF(C129="aFRR+",(MIN(DAMAS_Daily!C129*market_share_A*acceptance_rate*stack_activation,power_mw*hours_per_day,capacity_mwh))*DAMAS_Daily!E129*activation_mult_A,(MIN(DAMAS_Daily!D129*market_share_A*acceptance_rate*stack_activation,power_mw*hours_per_day,capacity_mwh))*DAMAS_Daily!F129*activation_mult_A)</f>
        <v/>
      </c>
      <c r="N129" s="14">
        <f>F129+M129</f>
        <v/>
      </c>
    </row>
    <row r="130">
      <c r="A130" s="41">
        <f>DAMAS_Daily!A130</f>
        <v/>
      </c>
      <c r="B130" s="42">
        <f>DAMAS_Daily!B130</f>
        <v/>
      </c>
      <c r="C130" s="42">
        <f>IF((power_mw*hours_per_day*damas_afrr_up*capacity_mult_A*stack_capacity*acceptance_rate+(MIN(DAMAS_Daily!C130*market_share_A*acceptance_rate*stack_activation,power_mw*hours_per_day,capacity_mwh))*DAMAS_Daily!E130*activation_mult_A)&gt;=(power_mw*hours_per_day*damas_afrr_down*capacity_mult_A*stack_capacity*acceptance_rate+(MIN(DAMAS_Daily!D130*market_share_A*acceptance_rate*stack_activation,power_mw*hours_per_day,capacity_mwh))*DAMAS_Daily!F130*activation_mult_A),"aFRR+","aFRR-")</f>
        <v/>
      </c>
      <c r="D130" s="43">
        <f>IF(C130="aFRR+",damas_afrr_up*capacity_mult_A,damas_afrr_down*capacity_mult_A)</f>
        <v/>
      </c>
      <c r="E130" s="44">
        <f>acceptance_rate</f>
        <v/>
      </c>
      <c r="F130" s="13">
        <f>IF(C130="aFRR+",power_mw*hours_per_day*damas_afrr_up*capacity_mult_A*stack_capacity*acceptance_rate,power_mw*hours_per_day*damas_afrr_down*capacity_mult_A*stack_capacity*acceptance_rate)</f>
        <v/>
      </c>
      <c r="G130" s="42">
        <f>IF(C130="aFRR+",DAMAS_Daily!I130,DAMAS_Daily!J130)</f>
        <v/>
      </c>
      <c r="H130" s="43">
        <f>IF(C130="aFRR+",DAMAS_Daily!E130,DAMAS_Daily!F130)</f>
        <v/>
      </c>
      <c r="I130" s="43">
        <f>IF(C130="aFRR+",DAMAS_Daily!G130,DAMAS_Daily!H130)</f>
        <v/>
      </c>
      <c r="J130" s="45">
        <f>IF(C130="aFRR+",DAMAS_Daily!C130,DAMAS_Daily!D130)</f>
        <v/>
      </c>
      <c r="K130" s="45">
        <f>IF(C130="aFRR+",MIN(DAMAS_Daily!C130*market_share_A*acceptance_rate*stack_activation,power_mw*hours_per_day,capacity_mwh),MIN(DAMAS_Daily!D130*market_share_A*acceptance_rate*stack_activation,power_mw*hours_per_day,capacity_mwh))</f>
        <v/>
      </c>
      <c r="L130" s="42">
        <f>IF(K130&gt;=capacity_mwh-0.01,"yes","no")</f>
        <v/>
      </c>
      <c r="M130" s="13">
        <f>IF(C130="aFRR+",(MIN(DAMAS_Daily!C130*market_share_A*acceptance_rate*stack_activation,power_mw*hours_per_day,capacity_mwh))*DAMAS_Daily!E130*activation_mult_A,(MIN(DAMAS_Daily!D130*market_share_A*acceptance_rate*stack_activation,power_mw*hours_per_day,capacity_mwh))*DAMAS_Daily!F130*activation_mult_A)</f>
        <v/>
      </c>
      <c r="N130" s="14">
        <f>F130+M130</f>
        <v/>
      </c>
    </row>
    <row r="131">
      <c r="A131" s="41">
        <f>DAMAS_Daily!A131</f>
        <v/>
      </c>
      <c r="B131" s="42">
        <f>DAMAS_Daily!B131</f>
        <v/>
      </c>
      <c r="C131" s="42">
        <f>IF((power_mw*hours_per_day*damas_afrr_up*capacity_mult_A*stack_capacity*acceptance_rate+(MIN(DAMAS_Daily!C131*market_share_A*acceptance_rate*stack_activation,power_mw*hours_per_day,capacity_mwh))*DAMAS_Daily!E131*activation_mult_A)&gt;=(power_mw*hours_per_day*damas_afrr_down*capacity_mult_A*stack_capacity*acceptance_rate+(MIN(DAMAS_Daily!D131*market_share_A*acceptance_rate*stack_activation,power_mw*hours_per_day,capacity_mwh))*DAMAS_Daily!F131*activation_mult_A),"aFRR+","aFRR-")</f>
        <v/>
      </c>
      <c r="D131" s="43">
        <f>IF(C131="aFRR+",damas_afrr_up*capacity_mult_A,damas_afrr_down*capacity_mult_A)</f>
        <v/>
      </c>
      <c r="E131" s="44">
        <f>acceptance_rate</f>
        <v/>
      </c>
      <c r="F131" s="13">
        <f>IF(C131="aFRR+",power_mw*hours_per_day*damas_afrr_up*capacity_mult_A*stack_capacity*acceptance_rate,power_mw*hours_per_day*damas_afrr_down*capacity_mult_A*stack_capacity*acceptance_rate)</f>
        <v/>
      </c>
      <c r="G131" s="42">
        <f>IF(C131="aFRR+",DAMAS_Daily!I131,DAMAS_Daily!J131)</f>
        <v/>
      </c>
      <c r="H131" s="43">
        <f>IF(C131="aFRR+",DAMAS_Daily!E131,DAMAS_Daily!F131)</f>
        <v/>
      </c>
      <c r="I131" s="43">
        <f>IF(C131="aFRR+",DAMAS_Daily!G131,DAMAS_Daily!H131)</f>
        <v/>
      </c>
      <c r="J131" s="45">
        <f>IF(C131="aFRR+",DAMAS_Daily!C131,DAMAS_Daily!D131)</f>
        <v/>
      </c>
      <c r="K131" s="45">
        <f>IF(C131="aFRR+",MIN(DAMAS_Daily!C131*market_share_A*acceptance_rate*stack_activation,power_mw*hours_per_day,capacity_mwh),MIN(DAMAS_Daily!D131*market_share_A*acceptance_rate*stack_activation,power_mw*hours_per_day,capacity_mwh))</f>
        <v/>
      </c>
      <c r="L131" s="42">
        <f>IF(K131&gt;=capacity_mwh-0.01,"yes","no")</f>
        <v/>
      </c>
      <c r="M131" s="13">
        <f>IF(C131="aFRR+",(MIN(DAMAS_Daily!C131*market_share_A*acceptance_rate*stack_activation,power_mw*hours_per_day,capacity_mwh))*DAMAS_Daily!E131*activation_mult_A,(MIN(DAMAS_Daily!D131*market_share_A*acceptance_rate*stack_activation,power_mw*hours_per_day,capacity_mwh))*DAMAS_Daily!F131*activation_mult_A)</f>
        <v/>
      </c>
      <c r="N131" s="14">
        <f>F131+M131</f>
        <v/>
      </c>
    </row>
    <row r="132">
      <c r="A132" s="41">
        <f>DAMAS_Daily!A132</f>
        <v/>
      </c>
      <c r="B132" s="42">
        <f>DAMAS_Daily!B132</f>
        <v/>
      </c>
      <c r="C132" s="42">
        <f>IF((power_mw*hours_per_day*damas_afrr_up*capacity_mult_A*stack_capacity*acceptance_rate+(MIN(DAMAS_Daily!C132*market_share_A*acceptance_rate*stack_activation,power_mw*hours_per_day,capacity_mwh))*DAMAS_Daily!E132*activation_mult_A)&gt;=(power_mw*hours_per_day*damas_afrr_down*capacity_mult_A*stack_capacity*acceptance_rate+(MIN(DAMAS_Daily!D132*market_share_A*acceptance_rate*stack_activation,power_mw*hours_per_day,capacity_mwh))*DAMAS_Daily!F132*activation_mult_A),"aFRR+","aFRR-")</f>
        <v/>
      </c>
      <c r="D132" s="43">
        <f>IF(C132="aFRR+",damas_afrr_up*capacity_mult_A,damas_afrr_down*capacity_mult_A)</f>
        <v/>
      </c>
      <c r="E132" s="44">
        <f>acceptance_rate</f>
        <v/>
      </c>
      <c r="F132" s="13">
        <f>IF(C132="aFRR+",power_mw*hours_per_day*damas_afrr_up*capacity_mult_A*stack_capacity*acceptance_rate,power_mw*hours_per_day*damas_afrr_down*capacity_mult_A*stack_capacity*acceptance_rate)</f>
        <v/>
      </c>
      <c r="G132" s="42">
        <f>IF(C132="aFRR+",DAMAS_Daily!I132,DAMAS_Daily!J132)</f>
        <v/>
      </c>
      <c r="H132" s="43">
        <f>IF(C132="aFRR+",DAMAS_Daily!E132,DAMAS_Daily!F132)</f>
        <v/>
      </c>
      <c r="I132" s="43">
        <f>IF(C132="aFRR+",DAMAS_Daily!G132,DAMAS_Daily!H132)</f>
        <v/>
      </c>
      <c r="J132" s="45">
        <f>IF(C132="aFRR+",DAMAS_Daily!C132,DAMAS_Daily!D132)</f>
        <v/>
      </c>
      <c r="K132" s="45">
        <f>IF(C132="aFRR+",MIN(DAMAS_Daily!C132*market_share_A*acceptance_rate*stack_activation,power_mw*hours_per_day,capacity_mwh),MIN(DAMAS_Daily!D132*market_share_A*acceptance_rate*stack_activation,power_mw*hours_per_day,capacity_mwh))</f>
        <v/>
      </c>
      <c r="L132" s="42">
        <f>IF(K132&gt;=capacity_mwh-0.01,"yes","no")</f>
        <v/>
      </c>
      <c r="M132" s="13">
        <f>IF(C132="aFRR+",(MIN(DAMAS_Daily!C132*market_share_A*acceptance_rate*stack_activation,power_mw*hours_per_day,capacity_mwh))*DAMAS_Daily!E132*activation_mult_A,(MIN(DAMAS_Daily!D132*market_share_A*acceptance_rate*stack_activation,power_mw*hours_per_day,capacity_mwh))*DAMAS_Daily!F132*activation_mult_A)</f>
        <v/>
      </c>
      <c r="N132" s="14">
        <f>F132+M132</f>
        <v/>
      </c>
    </row>
    <row r="133">
      <c r="A133" s="41">
        <f>DAMAS_Daily!A133</f>
        <v/>
      </c>
      <c r="B133" s="42">
        <f>DAMAS_Daily!B133</f>
        <v/>
      </c>
      <c r="C133" s="42">
        <f>IF((power_mw*hours_per_day*damas_afrr_up*capacity_mult_A*stack_capacity*acceptance_rate+(MIN(DAMAS_Daily!C133*market_share_A*acceptance_rate*stack_activation,power_mw*hours_per_day,capacity_mwh))*DAMAS_Daily!E133*activation_mult_A)&gt;=(power_mw*hours_per_day*damas_afrr_down*capacity_mult_A*stack_capacity*acceptance_rate+(MIN(DAMAS_Daily!D133*market_share_A*acceptance_rate*stack_activation,power_mw*hours_per_day,capacity_mwh))*DAMAS_Daily!F133*activation_mult_A),"aFRR+","aFRR-")</f>
        <v/>
      </c>
      <c r="D133" s="43">
        <f>IF(C133="aFRR+",damas_afrr_up*capacity_mult_A,damas_afrr_down*capacity_mult_A)</f>
        <v/>
      </c>
      <c r="E133" s="44">
        <f>acceptance_rate</f>
        <v/>
      </c>
      <c r="F133" s="13">
        <f>IF(C133="aFRR+",power_mw*hours_per_day*damas_afrr_up*capacity_mult_A*stack_capacity*acceptance_rate,power_mw*hours_per_day*damas_afrr_down*capacity_mult_A*stack_capacity*acceptance_rate)</f>
        <v/>
      </c>
      <c r="G133" s="42">
        <f>IF(C133="aFRR+",DAMAS_Daily!I133,DAMAS_Daily!J133)</f>
        <v/>
      </c>
      <c r="H133" s="43">
        <f>IF(C133="aFRR+",DAMAS_Daily!E133,DAMAS_Daily!F133)</f>
        <v/>
      </c>
      <c r="I133" s="43">
        <f>IF(C133="aFRR+",DAMAS_Daily!G133,DAMAS_Daily!H133)</f>
        <v/>
      </c>
      <c r="J133" s="45">
        <f>IF(C133="aFRR+",DAMAS_Daily!C133,DAMAS_Daily!D133)</f>
        <v/>
      </c>
      <c r="K133" s="45">
        <f>IF(C133="aFRR+",MIN(DAMAS_Daily!C133*market_share_A*acceptance_rate*stack_activation,power_mw*hours_per_day,capacity_mwh),MIN(DAMAS_Daily!D133*market_share_A*acceptance_rate*stack_activation,power_mw*hours_per_day,capacity_mwh))</f>
        <v/>
      </c>
      <c r="L133" s="42">
        <f>IF(K133&gt;=capacity_mwh-0.01,"yes","no")</f>
        <v/>
      </c>
      <c r="M133" s="13">
        <f>IF(C133="aFRR+",(MIN(DAMAS_Daily!C133*market_share_A*acceptance_rate*stack_activation,power_mw*hours_per_day,capacity_mwh))*DAMAS_Daily!E133*activation_mult_A,(MIN(DAMAS_Daily!D133*market_share_A*acceptance_rate*stack_activation,power_mw*hours_per_day,capacity_mwh))*DAMAS_Daily!F133*activation_mult_A)</f>
        <v/>
      </c>
      <c r="N133" s="14">
        <f>F133+M133</f>
        <v/>
      </c>
    </row>
    <row r="134">
      <c r="A134" s="41">
        <f>DAMAS_Daily!A134</f>
        <v/>
      </c>
      <c r="B134" s="42">
        <f>DAMAS_Daily!B134</f>
        <v/>
      </c>
      <c r="C134" s="42">
        <f>IF((power_mw*hours_per_day*damas_afrr_up*capacity_mult_A*stack_capacity*acceptance_rate+(MIN(DAMAS_Daily!C134*market_share_A*acceptance_rate*stack_activation,power_mw*hours_per_day,capacity_mwh))*DAMAS_Daily!E134*activation_mult_A)&gt;=(power_mw*hours_per_day*damas_afrr_down*capacity_mult_A*stack_capacity*acceptance_rate+(MIN(DAMAS_Daily!D134*market_share_A*acceptance_rate*stack_activation,power_mw*hours_per_day,capacity_mwh))*DAMAS_Daily!F134*activation_mult_A),"aFRR+","aFRR-")</f>
        <v/>
      </c>
      <c r="D134" s="43">
        <f>IF(C134="aFRR+",damas_afrr_up*capacity_mult_A,damas_afrr_down*capacity_mult_A)</f>
        <v/>
      </c>
      <c r="E134" s="44">
        <f>acceptance_rate</f>
        <v/>
      </c>
      <c r="F134" s="13">
        <f>IF(C134="aFRR+",power_mw*hours_per_day*damas_afrr_up*capacity_mult_A*stack_capacity*acceptance_rate,power_mw*hours_per_day*damas_afrr_down*capacity_mult_A*stack_capacity*acceptance_rate)</f>
        <v/>
      </c>
      <c r="G134" s="42">
        <f>IF(C134="aFRR+",DAMAS_Daily!I134,DAMAS_Daily!J134)</f>
        <v/>
      </c>
      <c r="H134" s="43">
        <f>IF(C134="aFRR+",DAMAS_Daily!E134,DAMAS_Daily!F134)</f>
        <v/>
      </c>
      <c r="I134" s="43">
        <f>IF(C134="aFRR+",DAMAS_Daily!G134,DAMAS_Daily!H134)</f>
        <v/>
      </c>
      <c r="J134" s="45">
        <f>IF(C134="aFRR+",DAMAS_Daily!C134,DAMAS_Daily!D134)</f>
        <v/>
      </c>
      <c r="K134" s="45">
        <f>IF(C134="aFRR+",MIN(DAMAS_Daily!C134*market_share_A*acceptance_rate*stack_activation,power_mw*hours_per_day,capacity_mwh),MIN(DAMAS_Daily!D134*market_share_A*acceptance_rate*stack_activation,power_mw*hours_per_day,capacity_mwh))</f>
        <v/>
      </c>
      <c r="L134" s="42">
        <f>IF(K134&gt;=capacity_mwh-0.01,"yes","no")</f>
        <v/>
      </c>
      <c r="M134" s="13">
        <f>IF(C134="aFRR+",(MIN(DAMAS_Daily!C134*market_share_A*acceptance_rate*stack_activation,power_mw*hours_per_day,capacity_mwh))*DAMAS_Daily!E134*activation_mult_A,(MIN(DAMAS_Daily!D134*market_share_A*acceptance_rate*stack_activation,power_mw*hours_per_day,capacity_mwh))*DAMAS_Daily!F134*activation_mult_A)</f>
        <v/>
      </c>
      <c r="N134" s="14">
        <f>F134+M134</f>
        <v/>
      </c>
    </row>
    <row r="135">
      <c r="A135" s="41">
        <f>DAMAS_Daily!A135</f>
        <v/>
      </c>
      <c r="B135" s="42">
        <f>DAMAS_Daily!B135</f>
        <v/>
      </c>
      <c r="C135" s="42">
        <f>IF((power_mw*hours_per_day*damas_afrr_up*capacity_mult_A*stack_capacity*acceptance_rate+(MIN(DAMAS_Daily!C135*market_share_A*acceptance_rate*stack_activation,power_mw*hours_per_day,capacity_mwh))*DAMAS_Daily!E135*activation_mult_A)&gt;=(power_mw*hours_per_day*damas_afrr_down*capacity_mult_A*stack_capacity*acceptance_rate+(MIN(DAMAS_Daily!D135*market_share_A*acceptance_rate*stack_activation,power_mw*hours_per_day,capacity_mwh))*DAMAS_Daily!F135*activation_mult_A),"aFRR+","aFRR-")</f>
        <v/>
      </c>
      <c r="D135" s="43">
        <f>IF(C135="aFRR+",damas_afrr_up*capacity_mult_A,damas_afrr_down*capacity_mult_A)</f>
        <v/>
      </c>
      <c r="E135" s="44">
        <f>acceptance_rate</f>
        <v/>
      </c>
      <c r="F135" s="13">
        <f>IF(C135="aFRR+",power_mw*hours_per_day*damas_afrr_up*capacity_mult_A*stack_capacity*acceptance_rate,power_mw*hours_per_day*damas_afrr_down*capacity_mult_A*stack_capacity*acceptance_rate)</f>
        <v/>
      </c>
      <c r="G135" s="42">
        <f>IF(C135="aFRR+",DAMAS_Daily!I135,DAMAS_Daily!J135)</f>
        <v/>
      </c>
      <c r="H135" s="43">
        <f>IF(C135="aFRR+",DAMAS_Daily!E135,DAMAS_Daily!F135)</f>
        <v/>
      </c>
      <c r="I135" s="43">
        <f>IF(C135="aFRR+",DAMAS_Daily!G135,DAMAS_Daily!H135)</f>
        <v/>
      </c>
      <c r="J135" s="45">
        <f>IF(C135="aFRR+",DAMAS_Daily!C135,DAMAS_Daily!D135)</f>
        <v/>
      </c>
      <c r="K135" s="45">
        <f>IF(C135="aFRR+",MIN(DAMAS_Daily!C135*market_share_A*acceptance_rate*stack_activation,power_mw*hours_per_day,capacity_mwh),MIN(DAMAS_Daily!D135*market_share_A*acceptance_rate*stack_activation,power_mw*hours_per_day,capacity_mwh))</f>
        <v/>
      </c>
      <c r="L135" s="42">
        <f>IF(K135&gt;=capacity_mwh-0.01,"yes","no")</f>
        <v/>
      </c>
      <c r="M135" s="13">
        <f>IF(C135="aFRR+",(MIN(DAMAS_Daily!C135*market_share_A*acceptance_rate*stack_activation,power_mw*hours_per_day,capacity_mwh))*DAMAS_Daily!E135*activation_mult_A,(MIN(DAMAS_Daily!D135*market_share_A*acceptance_rate*stack_activation,power_mw*hours_per_day,capacity_mwh))*DAMAS_Daily!F135*activation_mult_A)</f>
        <v/>
      </c>
      <c r="N135" s="14">
        <f>F135+M135</f>
        <v/>
      </c>
    </row>
    <row r="136">
      <c r="A136" s="41">
        <f>DAMAS_Daily!A136</f>
        <v/>
      </c>
      <c r="B136" s="42">
        <f>DAMAS_Daily!B136</f>
        <v/>
      </c>
      <c r="C136" s="42">
        <f>IF((power_mw*hours_per_day*damas_afrr_up*capacity_mult_A*stack_capacity*acceptance_rate+(MIN(DAMAS_Daily!C136*market_share_A*acceptance_rate*stack_activation,power_mw*hours_per_day,capacity_mwh))*DAMAS_Daily!E136*activation_mult_A)&gt;=(power_mw*hours_per_day*damas_afrr_down*capacity_mult_A*stack_capacity*acceptance_rate+(MIN(DAMAS_Daily!D136*market_share_A*acceptance_rate*stack_activation,power_mw*hours_per_day,capacity_mwh))*DAMAS_Daily!F136*activation_mult_A),"aFRR+","aFRR-")</f>
        <v/>
      </c>
      <c r="D136" s="43">
        <f>IF(C136="aFRR+",damas_afrr_up*capacity_mult_A,damas_afrr_down*capacity_mult_A)</f>
        <v/>
      </c>
      <c r="E136" s="44">
        <f>acceptance_rate</f>
        <v/>
      </c>
      <c r="F136" s="13">
        <f>IF(C136="aFRR+",power_mw*hours_per_day*damas_afrr_up*capacity_mult_A*stack_capacity*acceptance_rate,power_mw*hours_per_day*damas_afrr_down*capacity_mult_A*stack_capacity*acceptance_rate)</f>
        <v/>
      </c>
      <c r="G136" s="42">
        <f>IF(C136="aFRR+",DAMAS_Daily!I136,DAMAS_Daily!J136)</f>
        <v/>
      </c>
      <c r="H136" s="43">
        <f>IF(C136="aFRR+",DAMAS_Daily!E136,DAMAS_Daily!F136)</f>
        <v/>
      </c>
      <c r="I136" s="43">
        <f>IF(C136="aFRR+",DAMAS_Daily!G136,DAMAS_Daily!H136)</f>
        <v/>
      </c>
      <c r="J136" s="45">
        <f>IF(C136="aFRR+",DAMAS_Daily!C136,DAMAS_Daily!D136)</f>
        <v/>
      </c>
      <c r="K136" s="45">
        <f>IF(C136="aFRR+",MIN(DAMAS_Daily!C136*market_share_A*acceptance_rate*stack_activation,power_mw*hours_per_day,capacity_mwh),MIN(DAMAS_Daily!D136*market_share_A*acceptance_rate*stack_activation,power_mw*hours_per_day,capacity_mwh))</f>
        <v/>
      </c>
      <c r="L136" s="42">
        <f>IF(K136&gt;=capacity_mwh-0.01,"yes","no")</f>
        <v/>
      </c>
      <c r="M136" s="13">
        <f>IF(C136="aFRR+",(MIN(DAMAS_Daily!C136*market_share_A*acceptance_rate*stack_activation,power_mw*hours_per_day,capacity_mwh))*DAMAS_Daily!E136*activation_mult_A,(MIN(DAMAS_Daily!D136*market_share_A*acceptance_rate*stack_activation,power_mw*hours_per_day,capacity_mwh))*DAMAS_Daily!F136*activation_mult_A)</f>
        <v/>
      </c>
      <c r="N136" s="14">
        <f>F136+M136</f>
        <v/>
      </c>
    </row>
    <row r="137">
      <c r="A137" s="41">
        <f>DAMAS_Daily!A137</f>
        <v/>
      </c>
      <c r="B137" s="42">
        <f>DAMAS_Daily!B137</f>
        <v/>
      </c>
      <c r="C137" s="42">
        <f>IF((power_mw*hours_per_day*damas_afrr_up*capacity_mult_A*stack_capacity*acceptance_rate+(MIN(DAMAS_Daily!C137*market_share_A*acceptance_rate*stack_activation,power_mw*hours_per_day,capacity_mwh))*DAMAS_Daily!E137*activation_mult_A)&gt;=(power_mw*hours_per_day*damas_afrr_down*capacity_mult_A*stack_capacity*acceptance_rate+(MIN(DAMAS_Daily!D137*market_share_A*acceptance_rate*stack_activation,power_mw*hours_per_day,capacity_mwh))*DAMAS_Daily!F137*activation_mult_A),"aFRR+","aFRR-")</f>
        <v/>
      </c>
      <c r="D137" s="43">
        <f>IF(C137="aFRR+",damas_afrr_up*capacity_mult_A,damas_afrr_down*capacity_mult_A)</f>
        <v/>
      </c>
      <c r="E137" s="44">
        <f>acceptance_rate</f>
        <v/>
      </c>
      <c r="F137" s="13">
        <f>IF(C137="aFRR+",power_mw*hours_per_day*damas_afrr_up*capacity_mult_A*stack_capacity*acceptance_rate,power_mw*hours_per_day*damas_afrr_down*capacity_mult_A*stack_capacity*acceptance_rate)</f>
        <v/>
      </c>
      <c r="G137" s="42">
        <f>IF(C137="aFRR+",DAMAS_Daily!I137,DAMAS_Daily!J137)</f>
        <v/>
      </c>
      <c r="H137" s="43">
        <f>IF(C137="aFRR+",DAMAS_Daily!E137,DAMAS_Daily!F137)</f>
        <v/>
      </c>
      <c r="I137" s="43">
        <f>IF(C137="aFRR+",DAMAS_Daily!G137,DAMAS_Daily!H137)</f>
        <v/>
      </c>
      <c r="J137" s="45">
        <f>IF(C137="aFRR+",DAMAS_Daily!C137,DAMAS_Daily!D137)</f>
        <v/>
      </c>
      <c r="K137" s="45">
        <f>IF(C137="aFRR+",MIN(DAMAS_Daily!C137*market_share_A*acceptance_rate*stack_activation,power_mw*hours_per_day,capacity_mwh),MIN(DAMAS_Daily!D137*market_share_A*acceptance_rate*stack_activation,power_mw*hours_per_day,capacity_mwh))</f>
        <v/>
      </c>
      <c r="L137" s="42">
        <f>IF(K137&gt;=capacity_mwh-0.01,"yes","no")</f>
        <v/>
      </c>
      <c r="M137" s="13">
        <f>IF(C137="aFRR+",(MIN(DAMAS_Daily!C137*market_share_A*acceptance_rate*stack_activation,power_mw*hours_per_day,capacity_mwh))*DAMAS_Daily!E137*activation_mult_A,(MIN(DAMAS_Daily!D137*market_share_A*acceptance_rate*stack_activation,power_mw*hours_per_day,capacity_mwh))*DAMAS_Daily!F137*activation_mult_A)</f>
        <v/>
      </c>
      <c r="N137" s="14">
        <f>F137+M137</f>
        <v/>
      </c>
    </row>
    <row r="138">
      <c r="A138" s="41">
        <f>DAMAS_Daily!A138</f>
        <v/>
      </c>
      <c r="B138" s="42">
        <f>DAMAS_Daily!B138</f>
        <v/>
      </c>
      <c r="C138" s="42">
        <f>IF((power_mw*hours_per_day*damas_afrr_up*capacity_mult_A*stack_capacity*acceptance_rate+(MIN(DAMAS_Daily!C138*market_share_A*acceptance_rate*stack_activation,power_mw*hours_per_day,capacity_mwh))*DAMAS_Daily!E138*activation_mult_A)&gt;=(power_mw*hours_per_day*damas_afrr_down*capacity_mult_A*stack_capacity*acceptance_rate+(MIN(DAMAS_Daily!D138*market_share_A*acceptance_rate*stack_activation,power_mw*hours_per_day,capacity_mwh))*DAMAS_Daily!F138*activation_mult_A),"aFRR+","aFRR-")</f>
        <v/>
      </c>
      <c r="D138" s="43">
        <f>IF(C138="aFRR+",damas_afrr_up*capacity_mult_A,damas_afrr_down*capacity_mult_A)</f>
        <v/>
      </c>
      <c r="E138" s="44">
        <f>acceptance_rate</f>
        <v/>
      </c>
      <c r="F138" s="13">
        <f>IF(C138="aFRR+",power_mw*hours_per_day*damas_afrr_up*capacity_mult_A*stack_capacity*acceptance_rate,power_mw*hours_per_day*damas_afrr_down*capacity_mult_A*stack_capacity*acceptance_rate)</f>
        <v/>
      </c>
      <c r="G138" s="42">
        <f>IF(C138="aFRR+",DAMAS_Daily!I138,DAMAS_Daily!J138)</f>
        <v/>
      </c>
      <c r="H138" s="43">
        <f>IF(C138="aFRR+",DAMAS_Daily!E138,DAMAS_Daily!F138)</f>
        <v/>
      </c>
      <c r="I138" s="43">
        <f>IF(C138="aFRR+",DAMAS_Daily!G138,DAMAS_Daily!H138)</f>
        <v/>
      </c>
      <c r="J138" s="45">
        <f>IF(C138="aFRR+",DAMAS_Daily!C138,DAMAS_Daily!D138)</f>
        <v/>
      </c>
      <c r="K138" s="45">
        <f>IF(C138="aFRR+",MIN(DAMAS_Daily!C138*market_share_A*acceptance_rate*stack_activation,power_mw*hours_per_day,capacity_mwh),MIN(DAMAS_Daily!D138*market_share_A*acceptance_rate*stack_activation,power_mw*hours_per_day,capacity_mwh))</f>
        <v/>
      </c>
      <c r="L138" s="42">
        <f>IF(K138&gt;=capacity_mwh-0.01,"yes","no")</f>
        <v/>
      </c>
      <c r="M138" s="13">
        <f>IF(C138="aFRR+",(MIN(DAMAS_Daily!C138*market_share_A*acceptance_rate*stack_activation,power_mw*hours_per_day,capacity_mwh))*DAMAS_Daily!E138*activation_mult_A,(MIN(DAMAS_Daily!D138*market_share_A*acceptance_rate*stack_activation,power_mw*hours_per_day,capacity_mwh))*DAMAS_Daily!F138*activation_mult_A)</f>
        <v/>
      </c>
      <c r="N138" s="14">
        <f>F138+M138</f>
        <v/>
      </c>
    </row>
    <row r="139">
      <c r="A139" s="41">
        <f>DAMAS_Daily!A139</f>
        <v/>
      </c>
      <c r="B139" s="42">
        <f>DAMAS_Daily!B139</f>
        <v/>
      </c>
      <c r="C139" s="42">
        <f>IF((power_mw*hours_per_day*damas_afrr_up*capacity_mult_A*stack_capacity*acceptance_rate+(MIN(DAMAS_Daily!C139*market_share_A*acceptance_rate*stack_activation,power_mw*hours_per_day,capacity_mwh))*DAMAS_Daily!E139*activation_mult_A)&gt;=(power_mw*hours_per_day*damas_afrr_down*capacity_mult_A*stack_capacity*acceptance_rate+(MIN(DAMAS_Daily!D139*market_share_A*acceptance_rate*stack_activation,power_mw*hours_per_day,capacity_mwh))*DAMAS_Daily!F139*activation_mult_A),"aFRR+","aFRR-")</f>
        <v/>
      </c>
      <c r="D139" s="43">
        <f>IF(C139="aFRR+",damas_afrr_up*capacity_mult_A,damas_afrr_down*capacity_mult_A)</f>
        <v/>
      </c>
      <c r="E139" s="44">
        <f>acceptance_rate</f>
        <v/>
      </c>
      <c r="F139" s="13">
        <f>IF(C139="aFRR+",power_mw*hours_per_day*damas_afrr_up*capacity_mult_A*stack_capacity*acceptance_rate,power_mw*hours_per_day*damas_afrr_down*capacity_mult_A*stack_capacity*acceptance_rate)</f>
        <v/>
      </c>
      <c r="G139" s="42">
        <f>IF(C139="aFRR+",DAMAS_Daily!I139,DAMAS_Daily!J139)</f>
        <v/>
      </c>
      <c r="H139" s="43">
        <f>IF(C139="aFRR+",DAMAS_Daily!E139,DAMAS_Daily!F139)</f>
        <v/>
      </c>
      <c r="I139" s="43">
        <f>IF(C139="aFRR+",DAMAS_Daily!G139,DAMAS_Daily!H139)</f>
        <v/>
      </c>
      <c r="J139" s="45">
        <f>IF(C139="aFRR+",DAMAS_Daily!C139,DAMAS_Daily!D139)</f>
        <v/>
      </c>
      <c r="K139" s="45">
        <f>IF(C139="aFRR+",MIN(DAMAS_Daily!C139*market_share_A*acceptance_rate*stack_activation,power_mw*hours_per_day,capacity_mwh),MIN(DAMAS_Daily!D139*market_share_A*acceptance_rate*stack_activation,power_mw*hours_per_day,capacity_mwh))</f>
        <v/>
      </c>
      <c r="L139" s="42">
        <f>IF(K139&gt;=capacity_mwh-0.01,"yes","no")</f>
        <v/>
      </c>
      <c r="M139" s="13">
        <f>IF(C139="aFRR+",(MIN(DAMAS_Daily!C139*market_share_A*acceptance_rate*stack_activation,power_mw*hours_per_day,capacity_mwh))*DAMAS_Daily!E139*activation_mult_A,(MIN(DAMAS_Daily!D139*market_share_A*acceptance_rate*stack_activation,power_mw*hours_per_day,capacity_mwh))*DAMAS_Daily!F139*activation_mult_A)</f>
        <v/>
      </c>
      <c r="N139" s="14">
        <f>F139+M139</f>
        <v/>
      </c>
    </row>
    <row r="140">
      <c r="A140" s="41">
        <f>DAMAS_Daily!A140</f>
        <v/>
      </c>
      <c r="B140" s="42">
        <f>DAMAS_Daily!B140</f>
        <v/>
      </c>
      <c r="C140" s="42">
        <f>IF((power_mw*hours_per_day*damas_afrr_up*capacity_mult_A*stack_capacity*acceptance_rate+(MIN(DAMAS_Daily!C140*market_share_A*acceptance_rate*stack_activation,power_mw*hours_per_day,capacity_mwh))*DAMAS_Daily!E140*activation_mult_A)&gt;=(power_mw*hours_per_day*damas_afrr_down*capacity_mult_A*stack_capacity*acceptance_rate+(MIN(DAMAS_Daily!D140*market_share_A*acceptance_rate*stack_activation,power_mw*hours_per_day,capacity_mwh))*DAMAS_Daily!F140*activation_mult_A),"aFRR+","aFRR-")</f>
        <v/>
      </c>
      <c r="D140" s="43">
        <f>IF(C140="aFRR+",damas_afrr_up*capacity_mult_A,damas_afrr_down*capacity_mult_A)</f>
        <v/>
      </c>
      <c r="E140" s="44">
        <f>acceptance_rate</f>
        <v/>
      </c>
      <c r="F140" s="13">
        <f>IF(C140="aFRR+",power_mw*hours_per_day*damas_afrr_up*capacity_mult_A*stack_capacity*acceptance_rate,power_mw*hours_per_day*damas_afrr_down*capacity_mult_A*stack_capacity*acceptance_rate)</f>
        <v/>
      </c>
      <c r="G140" s="42">
        <f>IF(C140="aFRR+",DAMAS_Daily!I140,DAMAS_Daily!J140)</f>
        <v/>
      </c>
      <c r="H140" s="43">
        <f>IF(C140="aFRR+",DAMAS_Daily!E140,DAMAS_Daily!F140)</f>
        <v/>
      </c>
      <c r="I140" s="43">
        <f>IF(C140="aFRR+",DAMAS_Daily!G140,DAMAS_Daily!H140)</f>
        <v/>
      </c>
      <c r="J140" s="45">
        <f>IF(C140="aFRR+",DAMAS_Daily!C140,DAMAS_Daily!D140)</f>
        <v/>
      </c>
      <c r="K140" s="45">
        <f>IF(C140="aFRR+",MIN(DAMAS_Daily!C140*market_share_A*acceptance_rate*stack_activation,power_mw*hours_per_day,capacity_mwh),MIN(DAMAS_Daily!D140*market_share_A*acceptance_rate*stack_activation,power_mw*hours_per_day,capacity_mwh))</f>
        <v/>
      </c>
      <c r="L140" s="42">
        <f>IF(K140&gt;=capacity_mwh-0.01,"yes","no")</f>
        <v/>
      </c>
      <c r="M140" s="13">
        <f>IF(C140="aFRR+",(MIN(DAMAS_Daily!C140*market_share_A*acceptance_rate*stack_activation,power_mw*hours_per_day,capacity_mwh))*DAMAS_Daily!E140*activation_mult_A,(MIN(DAMAS_Daily!D140*market_share_A*acceptance_rate*stack_activation,power_mw*hours_per_day,capacity_mwh))*DAMAS_Daily!F140*activation_mult_A)</f>
        <v/>
      </c>
      <c r="N140" s="14">
        <f>F140+M140</f>
        <v/>
      </c>
    </row>
    <row r="141">
      <c r="A141" s="41">
        <f>DAMAS_Daily!A141</f>
        <v/>
      </c>
      <c r="B141" s="42">
        <f>DAMAS_Daily!B141</f>
        <v/>
      </c>
      <c r="C141" s="42">
        <f>IF((power_mw*hours_per_day*damas_afrr_up*capacity_mult_A*stack_capacity*acceptance_rate+(MIN(DAMAS_Daily!C141*market_share_A*acceptance_rate*stack_activation,power_mw*hours_per_day,capacity_mwh))*DAMAS_Daily!E141*activation_mult_A)&gt;=(power_mw*hours_per_day*damas_afrr_down*capacity_mult_A*stack_capacity*acceptance_rate+(MIN(DAMAS_Daily!D141*market_share_A*acceptance_rate*stack_activation,power_mw*hours_per_day,capacity_mwh))*DAMAS_Daily!F141*activation_mult_A),"aFRR+","aFRR-")</f>
        <v/>
      </c>
      <c r="D141" s="43">
        <f>IF(C141="aFRR+",damas_afrr_up*capacity_mult_A,damas_afrr_down*capacity_mult_A)</f>
        <v/>
      </c>
      <c r="E141" s="44">
        <f>acceptance_rate</f>
        <v/>
      </c>
      <c r="F141" s="13">
        <f>IF(C141="aFRR+",power_mw*hours_per_day*damas_afrr_up*capacity_mult_A*stack_capacity*acceptance_rate,power_mw*hours_per_day*damas_afrr_down*capacity_mult_A*stack_capacity*acceptance_rate)</f>
        <v/>
      </c>
      <c r="G141" s="42">
        <f>IF(C141="aFRR+",DAMAS_Daily!I141,DAMAS_Daily!J141)</f>
        <v/>
      </c>
      <c r="H141" s="43">
        <f>IF(C141="aFRR+",DAMAS_Daily!E141,DAMAS_Daily!F141)</f>
        <v/>
      </c>
      <c r="I141" s="43">
        <f>IF(C141="aFRR+",DAMAS_Daily!G141,DAMAS_Daily!H141)</f>
        <v/>
      </c>
      <c r="J141" s="45">
        <f>IF(C141="aFRR+",DAMAS_Daily!C141,DAMAS_Daily!D141)</f>
        <v/>
      </c>
      <c r="K141" s="45">
        <f>IF(C141="aFRR+",MIN(DAMAS_Daily!C141*market_share_A*acceptance_rate*stack_activation,power_mw*hours_per_day,capacity_mwh),MIN(DAMAS_Daily!D141*market_share_A*acceptance_rate*stack_activation,power_mw*hours_per_day,capacity_mwh))</f>
        <v/>
      </c>
      <c r="L141" s="42">
        <f>IF(K141&gt;=capacity_mwh-0.01,"yes","no")</f>
        <v/>
      </c>
      <c r="M141" s="13">
        <f>IF(C141="aFRR+",(MIN(DAMAS_Daily!C141*market_share_A*acceptance_rate*stack_activation,power_mw*hours_per_day,capacity_mwh))*DAMAS_Daily!E141*activation_mult_A,(MIN(DAMAS_Daily!D141*market_share_A*acceptance_rate*stack_activation,power_mw*hours_per_day,capacity_mwh))*DAMAS_Daily!F141*activation_mult_A)</f>
        <v/>
      </c>
      <c r="N141" s="14">
        <f>F141+M141</f>
        <v/>
      </c>
    </row>
    <row r="142">
      <c r="A142" s="41">
        <f>DAMAS_Daily!A142</f>
        <v/>
      </c>
      <c r="B142" s="42">
        <f>DAMAS_Daily!B142</f>
        <v/>
      </c>
      <c r="C142" s="42">
        <f>IF((power_mw*hours_per_day*damas_afrr_up*capacity_mult_A*stack_capacity*acceptance_rate+(MIN(DAMAS_Daily!C142*market_share_A*acceptance_rate*stack_activation,power_mw*hours_per_day,capacity_mwh))*DAMAS_Daily!E142*activation_mult_A)&gt;=(power_mw*hours_per_day*damas_afrr_down*capacity_mult_A*stack_capacity*acceptance_rate+(MIN(DAMAS_Daily!D142*market_share_A*acceptance_rate*stack_activation,power_mw*hours_per_day,capacity_mwh))*DAMAS_Daily!F142*activation_mult_A),"aFRR+","aFRR-")</f>
        <v/>
      </c>
      <c r="D142" s="43">
        <f>IF(C142="aFRR+",damas_afrr_up*capacity_mult_A,damas_afrr_down*capacity_mult_A)</f>
        <v/>
      </c>
      <c r="E142" s="44">
        <f>acceptance_rate</f>
        <v/>
      </c>
      <c r="F142" s="13">
        <f>IF(C142="aFRR+",power_mw*hours_per_day*damas_afrr_up*capacity_mult_A*stack_capacity*acceptance_rate,power_mw*hours_per_day*damas_afrr_down*capacity_mult_A*stack_capacity*acceptance_rate)</f>
        <v/>
      </c>
      <c r="G142" s="42">
        <f>IF(C142="aFRR+",DAMAS_Daily!I142,DAMAS_Daily!J142)</f>
        <v/>
      </c>
      <c r="H142" s="43">
        <f>IF(C142="aFRR+",DAMAS_Daily!E142,DAMAS_Daily!F142)</f>
        <v/>
      </c>
      <c r="I142" s="43">
        <f>IF(C142="aFRR+",DAMAS_Daily!G142,DAMAS_Daily!H142)</f>
        <v/>
      </c>
      <c r="J142" s="45">
        <f>IF(C142="aFRR+",DAMAS_Daily!C142,DAMAS_Daily!D142)</f>
        <v/>
      </c>
      <c r="K142" s="45">
        <f>IF(C142="aFRR+",MIN(DAMAS_Daily!C142*market_share_A*acceptance_rate*stack_activation,power_mw*hours_per_day,capacity_mwh),MIN(DAMAS_Daily!D142*market_share_A*acceptance_rate*stack_activation,power_mw*hours_per_day,capacity_mwh))</f>
        <v/>
      </c>
      <c r="L142" s="42">
        <f>IF(K142&gt;=capacity_mwh-0.01,"yes","no")</f>
        <v/>
      </c>
      <c r="M142" s="13">
        <f>IF(C142="aFRR+",(MIN(DAMAS_Daily!C142*market_share_A*acceptance_rate*stack_activation,power_mw*hours_per_day,capacity_mwh))*DAMAS_Daily!E142*activation_mult_A,(MIN(DAMAS_Daily!D142*market_share_A*acceptance_rate*stack_activation,power_mw*hours_per_day,capacity_mwh))*DAMAS_Daily!F142*activation_mult_A)</f>
        <v/>
      </c>
      <c r="N142" s="14">
        <f>F142+M142</f>
        <v/>
      </c>
    </row>
    <row r="143">
      <c r="A143" s="41">
        <f>DAMAS_Daily!A143</f>
        <v/>
      </c>
      <c r="B143" s="42">
        <f>DAMAS_Daily!B143</f>
        <v/>
      </c>
      <c r="C143" s="42">
        <f>IF((power_mw*hours_per_day*damas_afrr_up*capacity_mult_A*stack_capacity*acceptance_rate+(MIN(DAMAS_Daily!C143*market_share_A*acceptance_rate*stack_activation,power_mw*hours_per_day,capacity_mwh))*DAMAS_Daily!E143*activation_mult_A)&gt;=(power_mw*hours_per_day*damas_afrr_down*capacity_mult_A*stack_capacity*acceptance_rate+(MIN(DAMAS_Daily!D143*market_share_A*acceptance_rate*stack_activation,power_mw*hours_per_day,capacity_mwh))*DAMAS_Daily!F143*activation_mult_A),"aFRR+","aFRR-")</f>
        <v/>
      </c>
      <c r="D143" s="43">
        <f>IF(C143="aFRR+",damas_afrr_up*capacity_mult_A,damas_afrr_down*capacity_mult_A)</f>
        <v/>
      </c>
      <c r="E143" s="44">
        <f>acceptance_rate</f>
        <v/>
      </c>
      <c r="F143" s="13">
        <f>IF(C143="aFRR+",power_mw*hours_per_day*damas_afrr_up*capacity_mult_A*stack_capacity*acceptance_rate,power_mw*hours_per_day*damas_afrr_down*capacity_mult_A*stack_capacity*acceptance_rate)</f>
        <v/>
      </c>
      <c r="G143" s="42">
        <f>IF(C143="aFRR+",DAMAS_Daily!I143,DAMAS_Daily!J143)</f>
        <v/>
      </c>
      <c r="H143" s="43">
        <f>IF(C143="aFRR+",DAMAS_Daily!E143,DAMAS_Daily!F143)</f>
        <v/>
      </c>
      <c r="I143" s="43">
        <f>IF(C143="aFRR+",DAMAS_Daily!G143,DAMAS_Daily!H143)</f>
        <v/>
      </c>
      <c r="J143" s="45">
        <f>IF(C143="aFRR+",DAMAS_Daily!C143,DAMAS_Daily!D143)</f>
        <v/>
      </c>
      <c r="K143" s="45">
        <f>IF(C143="aFRR+",MIN(DAMAS_Daily!C143*market_share_A*acceptance_rate*stack_activation,power_mw*hours_per_day,capacity_mwh),MIN(DAMAS_Daily!D143*market_share_A*acceptance_rate*stack_activation,power_mw*hours_per_day,capacity_mwh))</f>
        <v/>
      </c>
      <c r="L143" s="42">
        <f>IF(K143&gt;=capacity_mwh-0.01,"yes","no")</f>
        <v/>
      </c>
      <c r="M143" s="13">
        <f>IF(C143="aFRR+",(MIN(DAMAS_Daily!C143*market_share_A*acceptance_rate*stack_activation,power_mw*hours_per_day,capacity_mwh))*DAMAS_Daily!E143*activation_mult_A,(MIN(DAMAS_Daily!D143*market_share_A*acceptance_rate*stack_activation,power_mw*hours_per_day,capacity_mwh))*DAMAS_Daily!F143*activation_mult_A)</f>
        <v/>
      </c>
      <c r="N143" s="14">
        <f>F143+M143</f>
        <v/>
      </c>
    </row>
    <row r="144">
      <c r="A144" s="41">
        <f>DAMAS_Daily!A144</f>
        <v/>
      </c>
      <c r="B144" s="42">
        <f>DAMAS_Daily!B144</f>
        <v/>
      </c>
      <c r="C144" s="42">
        <f>IF((power_mw*hours_per_day*damas_afrr_up*capacity_mult_A*stack_capacity*acceptance_rate+(MIN(DAMAS_Daily!C144*market_share_A*acceptance_rate*stack_activation,power_mw*hours_per_day,capacity_mwh))*DAMAS_Daily!E144*activation_mult_A)&gt;=(power_mw*hours_per_day*damas_afrr_down*capacity_mult_A*stack_capacity*acceptance_rate+(MIN(DAMAS_Daily!D144*market_share_A*acceptance_rate*stack_activation,power_mw*hours_per_day,capacity_mwh))*DAMAS_Daily!F144*activation_mult_A),"aFRR+","aFRR-")</f>
        <v/>
      </c>
      <c r="D144" s="43">
        <f>IF(C144="aFRR+",damas_afrr_up*capacity_mult_A,damas_afrr_down*capacity_mult_A)</f>
        <v/>
      </c>
      <c r="E144" s="44">
        <f>acceptance_rate</f>
        <v/>
      </c>
      <c r="F144" s="13">
        <f>IF(C144="aFRR+",power_mw*hours_per_day*damas_afrr_up*capacity_mult_A*stack_capacity*acceptance_rate,power_mw*hours_per_day*damas_afrr_down*capacity_mult_A*stack_capacity*acceptance_rate)</f>
        <v/>
      </c>
      <c r="G144" s="42">
        <f>IF(C144="aFRR+",DAMAS_Daily!I144,DAMAS_Daily!J144)</f>
        <v/>
      </c>
      <c r="H144" s="43">
        <f>IF(C144="aFRR+",DAMAS_Daily!E144,DAMAS_Daily!F144)</f>
        <v/>
      </c>
      <c r="I144" s="43">
        <f>IF(C144="aFRR+",DAMAS_Daily!G144,DAMAS_Daily!H144)</f>
        <v/>
      </c>
      <c r="J144" s="45">
        <f>IF(C144="aFRR+",DAMAS_Daily!C144,DAMAS_Daily!D144)</f>
        <v/>
      </c>
      <c r="K144" s="45">
        <f>IF(C144="aFRR+",MIN(DAMAS_Daily!C144*market_share_A*acceptance_rate*stack_activation,power_mw*hours_per_day,capacity_mwh),MIN(DAMAS_Daily!D144*market_share_A*acceptance_rate*stack_activation,power_mw*hours_per_day,capacity_mwh))</f>
        <v/>
      </c>
      <c r="L144" s="42">
        <f>IF(K144&gt;=capacity_mwh-0.01,"yes","no")</f>
        <v/>
      </c>
      <c r="M144" s="13">
        <f>IF(C144="aFRR+",(MIN(DAMAS_Daily!C144*market_share_A*acceptance_rate*stack_activation,power_mw*hours_per_day,capacity_mwh))*DAMAS_Daily!E144*activation_mult_A,(MIN(DAMAS_Daily!D144*market_share_A*acceptance_rate*stack_activation,power_mw*hours_per_day,capacity_mwh))*DAMAS_Daily!F144*activation_mult_A)</f>
        <v/>
      </c>
      <c r="N144" s="14">
        <f>F144+M144</f>
        <v/>
      </c>
    </row>
    <row r="145">
      <c r="A145" s="41">
        <f>DAMAS_Daily!A145</f>
        <v/>
      </c>
      <c r="B145" s="42">
        <f>DAMAS_Daily!B145</f>
        <v/>
      </c>
      <c r="C145" s="42">
        <f>IF((power_mw*hours_per_day*damas_afrr_up*capacity_mult_A*stack_capacity*acceptance_rate+(MIN(DAMAS_Daily!C145*market_share_A*acceptance_rate*stack_activation,power_mw*hours_per_day,capacity_mwh))*DAMAS_Daily!E145*activation_mult_A)&gt;=(power_mw*hours_per_day*damas_afrr_down*capacity_mult_A*stack_capacity*acceptance_rate+(MIN(DAMAS_Daily!D145*market_share_A*acceptance_rate*stack_activation,power_mw*hours_per_day,capacity_mwh))*DAMAS_Daily!F145*activation_mult_A),"aFRR+","aFRR-")</f>
        <v/>
      </c>
      <c r="D145" s="43">
        <f>IF(C145="aFRR+",damas_afrr_up*capacity_mult_A,damas_afrr_down*capacity_mult_A)</f>
        <v/>
      </c>
      <c r="E145" s="44">
        <f>acceptance_rate</f>
        <v/>
      </c>
      <c r="F145" s="13">
        <f>IF(C145="aFRR+",power_mw*hours_per_day*damas_afrr_up*capacity_mult_A*stack_capacity*acceptance_rate,power_mw*hours_per_day*damas_afrr_down*capacity_mult_A*stack_capacity*acceptance_rate)</f>
        <v/>
      </c>
      <c r="G145" s="42">
        <f>IF(C145="aFRR+",DAMAS_Daily!I145,DAMAS_Daily!J145)</f>
        <v/>
      </c>
      <c r="H145" s="43">
        <f>IF(C145="aFRR+",DAMAS_Daily!E145,DAMAS_Daily!F145)</f>
        <v/>
      </c>
      <c r="I145" s="43">
        <f>IF(C145="aFRR+",DAMAS_Daily!G145,DAMAS_Daily!H145)</f>
        <v/>
      </c>
      <c r="J145" s="45">
        <f>IF(C145="aFRR+",DAMAS_Daily!C145,DAMAS_Daily!D145)</f>
        <v/>
      </c>
      <c r="K145" s="45">
        <f>IF(C145="aFRR+",MIN(DAMAS_Daily!C145*market_share_A*acceptance_rate*stack_activation,power_mw*hours_per_day,capacity_mwh),MIN(DAMAS_Daily!D145*market_share_A*acceptance_rate*stack_activation,power_mw*hours_per_day,capacity_mwh))</f>
        <v/>
      </c>
      <c r="L145" s="42">
        <f>IF(K145&gt;=capacity_mwh-0.01,"yes","no")</f>
        <v/>
      </c>
      <c r="M145" s="13">
        <f>IF(C145="aFRR+",(MIN(DAMAS_Daily!C145*market_share_A*acceptance_rate*stack_activation,power_mw*hours_per_day,capacity_mwh))*DAMAS_Daily!E145*activation_mult_A,(MIN(DAMAS_Daily!D145*market_share_A*acceptance_rate*stack_activation,power_mw*hours_per_day,capacity_mwh))*DAMAS_Daily!F145*activation_mult_A)</f>
        <v/>
      </c>
      <c r="N145" s="14">
        <f>F145+M145</f>
        <v/>
      </c>
    </row>
    <row r="146">
      <c r="A146" s="41">
        <f>DAMAS_Daily!A146</f>
        <v/>
      </c>
      <c r="B146" s="42">
        <f>DAMAS_Daily!B146</f>
        <v/>
      </c>
      <c r="C146" s="42">
        <f>IF((power_mw*hours_per_day*damas_afrr_up*capacity_mult_A*stack_capacity*acceptance_rate+(MIN(DAMAS_Daily!C146*market_share_A*acceptance_rate*stack_activation,power_mw*hours_per_day,capacity_mwh))*DAMAS_Daily!E146*activation_mult_A)&gt;=(power_mw*hours_per_day*damas_afrr_down*capacity_mult_A*stack_capacity*acceptance_rate+(MIN(DAMAS_Daily!D146*market_share_A*acceptance_rate*stack_activation,power_mw*hours_per_day,capacity_mwh))*DAMAS_Daily!F146*activation_mult_A),"aFRR+","aFRR-")</f>
        <v/>
      </c>
      <c r="D146" s="43">
        <f>IF(C146="aFRR+",damas_afrr_up*capacity_mult_A,damas_afrr_down*capacity_mult_A)</f>
        <v/>
      </c>
      <c r="E146" s="44">
        <f>acceptance_rate</f>
        <v/>
      </c>
      <c r="F146" s="13">
        <f>IF(C146="aFRR+",power_mw*hours_per_day*damas_afrr_up*capacity_mult_A*stack_capacity*acceptance_rate,power_mw*hours_per_day*damas_afrr_down*capacity_mult_A*stack_capacity*acceptance_rate)</f>
        <v/>
      </c>
      <c r="G146" s="42">
        <f>IF(C146="aFRR+",DAMAS_Daily!I146,DAMAS_Daily!J146)</f>
        <v/>
      </c>
      <c r="H146" s="43">
        <f>IF(C146="aFRR+",DAMAS_Daily!E146,DAMAS_Daily!F146)</f>
        <v/>
      </c>
      <c r="I146" s="43">
        <f>IF(C146="aFRR+",DAMAS_Daily!G146,DAMAS_Daily!H146)</f>
        <v/>
      </c>
      <c r="J146" s="45">
        <f>IF(C146="aFRR+",DAMAS_Daily!C146,DAMAS_Daily!D146)</f>
        <v/>
      </c>
      <c r="K146" s="45">
        <f>IF(C146="aFRR+",MIN(DAMAS_Daily!C146*market_share_A*acceptance_rate*stack_activation,power_mw*hours_per_day,capacity_mwh),MIN(DAMAS_Daily!D146*market_share_A*acceptance_rate*stack_activation,power_mw*hours_per_day,capacity_mwh))</f>
        <v/>
      </c>
      <c r="L146" s="42">
        <f>IF(K146&gt;=capacity_mwh-0.01,"yes","no")</f>
        <v/>
      </c>
      <c r="M146" s="13">
        <f>IF(C146="aFRR+",(MIN(DAMAS_Daily!C146*market_share_A*acceptance_rate*stack_activation,power_mw*hours_per_day,capacity_mwh))*DAMAS_Daily!E146*activation_mult_A,(MIN(DAMAS_Daily!D146*market_share_A*acceptance_rate*stack_activation,power_mw*hours_per_day,capacity_mwh))*DAMAS_Daily!F146*activation_mult_A)</f>
        <v/>
      </c>
      <c r="N146" s="14">
        <f>F146+M146</f>
        <v/>
      </c>
    </row>
    <row r="147">
      <c r="A147" s="41">
        <f>DAMAS_Daily!A147</f>
        <v/>
      </c>
      <c r="B147" s="42">
        <f>DAMAS_Daily!B147</f>
        <v/>
      </c>
      <c r="C147" s="42">
        <f>IF((power_mw*hours_per_day*damas_afrr_up*capacity_mult_A*stack_capacity*acceptance_rate+(MIN(DAMAS_Daily!C147*market_share_A*acceptance_rate*stack_activation,power_mw*hours_per_day,capacity_mwh))*DAMAS_Daily!E147*activation_mult_A)&gt;=(power_mw*hours_per_day*damas_afrr_down*capacity_mult_A*stack_capacity*acceptance_rate+(MIN(DAMAS_Daily!D147*market_share_A*acceptance_rate*stack_activation,power_mw*hours_per_day,capacity_mwh))*DAMAS_Daily!F147*activation_mult_A),"aFRR+","aFRR-")</f>
        <v/>
      </c>
      <c r="D147" s="43">
        <f>IF(C147="aFRR+",damas_afrr_up*capacity_mult_A,damas_afrr_down*capacity_mult_A)</f>
        <v/>
      </c>
      <c r="E147" s="44">
        <f>acceptance_rate</f>
        <v/>
      </c>
      <c r="F147" s="13">
        <f>IF(C147="aFRR+",power_mw*hours_per_day*damas_afrr_up*capacity_mult_A*stack_capacity*acceptance_rate,power_mw*hours_per_day*damas_afrr_down*capacity_mult_A*stack_capacity*acceptance_rate)</f>
        <v/>
      </c>
      <c r="G147" s="42">
        <f>IF(C147="aFRR+",DAMAS_Daily!I147,DAMAS_Daily!J147)</f>
        <v/>
      </c>
      <c r="H147" s="43">
        <f>IF(C147="aFRR+",DAMAS_Daily!E147,DAMAS_Daily!F147)</f>
        <v/>
      </c>
      <c r="I147" s="43">
        <f>IF(C147="aFRR+",DAMAS_Daily!G147,DAMAS_Daily!H147)</f>
        <v/>
      </c>
      <c r="J147" s="45">
        <f>IF(C147="aFRR+",DAMAS_Daily!C147,DAMAS_Daily!D147)</f>
        <v/>
      </c>
      <c r="K147" s="45">
        <f>IF(C147="aFRR+",MIN(DAMAS_Daily!C147*market_share_A*acceptance_rate*stack_activation,power_mw*hours_per_day,capacity_mwh),MIN(DAMAS_Daily!D147*market_share_A*acceptance_rate*stack_activation,power_mw*hours_per_day,capacity_mwh))</f>
        <v/>
      </c>
      <c r="L147" s="42">
        <f>IF(K147&gt;=capacity_mwh-0.01,"yes","no")</f>
        <v/>
      </c>
      <c r="M147" s="13">
        <f>IF(C147="aFRR+",(MIN(DAMAS_Daily!C147*market_share_A*acceptance_rate*stack_activation,power_mw*hours_per_day,capacity_mwh))*DAMAS_Daily!E147*activation_mult_A,(MIN(DAMAS_Daily!D147*market_share_A*acceptance_rate*stack_activation,power_mw*hours_per_day,capacity_mwh))*DAMAS_Daily!F147*activation_mult_A)</f>
        <v/>
      </c>
      <c r="N147" s="14">
        <f>F147+M147</f>
        <v/>
      </c>
    </row>
    <row r="148">
      <c r="A148" s="41">
        <f>DAMAS_Daily!A148</f>
        <v/>
      </c>
      <c r="B148" s="42">
        <f>DAMAS_Daily!B148</f>
        <v/>
      </c>
      <c r="C148" s="42">
        <f>IF((power_mw*hours_per_day*damas_afrr_up*capacity_mult_A*stack_capacity*acceptance_rate+(MIN(DAMAS_Daily!C148*market_share_A*acceptance_rate*stack_activation,power_mw*hours_per_day,capacity_mwh))*DAMAS_Daily!E148*activation_mult_A)&gt;=(power_mw*hours_per_day*damas_afrr_down*capacity_mult_A*stack_capacity*acceptance_rate+(MIN(DAMAS_Daily!D148*market_share_A*acceptance_rate*stack_activation,power_mw*hours_per_day,capacity_mwh))*DAMAS_Daily!F148*activation_mult_A),"aFRR+","aFRR-")</f>
        <v/>
      </c>
      <c r="D148" s="43">
        <f>IF(C148="aFRR+",damas_afrr_up*capacity_mult_A,damas_afrr_down*capacity_mult_A)</f>
        <v/>
      </c>
      <c r="E148" s="44">
        <f>acceptance_rate</f>
        <v/>
      </c>
      <c r="F148" s="13">
        <f>IF(C148="aFRR+",power_mw*hours_per_day*damas_afrr_up*capacity_mult_A*stack_capacity*acceptance_rate,power_mw*hours_per_day*damas_afrr_down*capacity_mult_A*stack_capacity*acceptance_rate)</f>
        <v/>
      </c>
      <c r="G148" s="42">
        <f>IF(C148="aFRR+",DAMAS_Daily!I148,DAMAS_Daily!J148)</f>
        <v/>
      </c>
      <c r="H148" s="43">
        <f>IF(C148="aFRR+",DAMAS_Daily!E148,DAMAS_Daily!F148)</f>
        <v/>
      </c>
      <c r="I148" s="43">
        <f>IF(C148="aFRR+",DAMAS_Daily!G148,DAMAS_Daily!H148)</f>
        <v/>
      </c>
      <c r="J148" s="45">
        <f>IF(C148="aFRR+",DAMAS_Daily!C148,DAMAS_Daily!D148)</f>
        <v/>
      </c>
      <c r="K148" s="45">
        <f>IF(C148="aFRR+",MIN(DAMAS_Daily!C148*market_share_A*acceptance_rate*stack_activation,power_mw*hours_per_day,capacity_mwh),MIN(DAMAS_Daily!D148*market_share_A*acceptance_rate*stack_activation,power_mw*hours_per_day,capacity_mwh))</f>
        <v/>
      </c>
      <c r="L148" s="42">
        <f>IF(K148&gt;=capacity_mwh-0.01,"yes","no")</f>
        <v/>
      </c>
      <c r="M148" s="13">
        <f>IF(C148="aFRR+",(MIN(DAMAS_Daily!C148*market_share_A*acceptance_rate*stack_activation,power_mw*hours_per_day,capacity_mwh))*DAMAS_Daily!E148*activation_mult_A,(MIN(DAMAS_Daily!D148*market_share_A*acceptance_rate*stack_activation,power_mw*hours_per_day,capacity_mwh))*DAMAS_Daily!F148*activation_mult_A)</f>
        <v/>
      </c>
      <c r="N148" s="14">
        <f>F148+M148</f>
        <v/>
      </c>
    </row>
    <row r="149">
      <c r="A149" s="41">
        <f>DAMAS_Daily!A149</f>
        <v/>
      </c>
      <c r="B149" s="42">
        <f>DAMAS_Daily!B149</f>
        <v/>
      </c>
      <c r="C149" s="42">
        <f>IF((power_mw*hours_per_day*damas_afrr_up*capacity_mult_A*stack_capacity*acceptance_rate+(MIN(DAMAS_Daily!C149*market_share_A*acceptance_rate*stack_activation,power_mw*hours_per_day,capacity_mwh))*DAMAS_Daily!E149*activation_mult_A)&gt;=(power_mw*hours_per_day*damas_afrr_down*capacity_mult_A*stack_capacity*acceptance_rate+(MIN(DAMAS_Daily!D149*market_share_A*acceptance_rate*stack_activation,power_mw*hours_per_day,capacity_mwh))*DAMAS_Daily!F149*activation_mult_A),"aFRR+","aFRR-")</f>
        <v/>
      </c>
      <c r="D149" s="43">
        <f>IF(C149="aFRR+",damas_afrr_up*capacity_mult_A,damas_afrr_down*capacity_mult_A)</f>
        <v/>
      </c>
      <c r="E149" s="44">
        <f>acceptance_rate</f>
        <v/>
      </c>
      <c r="F149" s="13">
        <f>IF(C149="aFRR+",power_mw*hours_per_day*damas_afrr_up*capacity_mult_A*stack_capacity*acceptance_rate,power_mw*hours_per_day*damas_afrr_down*capacity_mult_A*stack_capacity*acceptance_rate)</f>
        <v/>
      </c>
      <c r="G149" s="42">
        <f>IF(C149="aFRR+",DAMAS_Daily!I149,DAMAS_Daily!J149)</f>
        <v/>
      </c>
      <c r="H149" s="43">
        <f>IF(C149="aFRR+",DAMAS_Daily!E149,DAMAS_Daily!F149)</f>
        <v/>
      </c>
      <c r="I149" s="43">
        <f>IF(C149="aFRR+",DAMAS_Daily!G149,DAMAS_Daily!H149)</f>
        <v/>
      </c>
      <c r="J149" s="45">
        <f>IF(C149="aFRR+",DAMAS_Daily!C149,DAMAS_Daily!D149)</f>
        <v/>
      </c>
      <c r="K149" s="45">
        <f>IF(C149="aFRR+",MIN(DAMAS_Daily!C149*market_share_A*acceptance_rate*stack_activation,power_mw*hours_per_day,capacity_mwh),MIN(DAMAS_Daily!D149*market_share_A*acceptance_rate*stack_activation,power_mw*hours_per_day,capacity_mwh))</f>
        <v/>
      </c>
      <c r="L149" s="42">
        <f>IF(K149&gt;=capacity_mwh-0.01,"yes","no")</f>
        <v/>
      </c>
      <c r="M149" s="13">
        <f>IF(C149="aFRR+",(MIN(DAMAS_Daily!C149*market_share_A*acceptance_rate*stack_activation,power_mw*hours_per_day,capacity_mwh))*DAMAS_Daily!E149*activation_mult_A,(MIN(DAMAS_Daily!D149*market_share_A*acceptance_rate*stack_activation,power_mw*hours_per_day,capacity_mwh))*DAMAS_Daily!F149*activation_mult_A)</f>
        <v/>
      </c>
      <c r="N149" s="14">
        <f>F149+M149</f>
        <v/>
      </c>
    </row>
    <row r="150">
      <c r="A150" s="41">
        <f>DAMAS_Daily!A150</f>
        <v/>
      </c>
      <c r="B150" s="42">
        <f>DAMAS_Daily!B150</f>
        <v/>
      </c>
      <c r="C150" s="42">
        <f>IF((power_mw*hours_per_day*damas_afrr_up*capacity_mult_A*stack_capacity*acceptance_rate+(MIN(DAMAS_Daily!C150*market_share_A*acceptance_rate*stack_activation,power_mw*hours_per_day,capacity_mwh))*DAMAS_Daily!E150*activation_mult_A)&gt;=(power_mw*hours_per_day*damas_afrr_down*capacity_mult_A*stack_capacity*acceptance_rate+(MIN(DAMAS_Daily!D150*market_share_A*acceptance_rate*stack_activation,power_mw*hours_per_day,capacity_mwh))*DAMAS_Daily!F150*activation_mult_A),"aFRR+","aFRR-")</f>
        <v/>
      </c>
      <c r="D150" s="43">
        <f>IF(C150="aFRR+",damas_afrr_up*capacity_mult_A,damas_afrr_down*capacity_mult_A)</f>
        <v/>
      </c>
      <c r="E150" s="44">
        <f>acceptance_rate</f>
        <v/>
      </c>
      <c r="F150" s="13">
        <f>IF(C150="aFRR+",power_mw*hours_per_day*damas_afrr_up*capacity_mult_A*stack_capacity*acceptance_rate,power_mw*hours_per_day*damas_afrr_down*capacity_mult_A*stack_capacity*acceptance_rate)</f>
        <v/>
      </c>
      <c r="G150" s="42">
        <f>IF(C150="aFRR+",DAMAS_Daily!I150,DAMAS_Daily!J150)</f>
        <v/>
      </c>
      <c r="H150" s="43">
        <f>IF(C150="aFRR+",DAMAS_Daily!E150,DAMAS_Daily!F150)</f>
        <v/>
      </c>
      <c r="I150" s="43">
        <f>IF(C150="aFRR+",DAMAS_Daily!G150,DAMAS_Daily!H150)</f>
        <v/>
      </c>
      <c r="J150" s="45">
        <f>IF(C150="aFRR+",DAMAS_Daily!C150,DAMAS_Daily!D150)</f>
        <v/>
      </c>
      <c r="K150" s="45">
        <f>IF(C150="aFRR+",MIN(DAMAS_Daily!C150*market_share_A*acceptance_rate*stack_activation,power_mw*hours_per_day,capacity_mwh),MIN(DAMAS_Daily!D150*market_share_A*acceptance_rate*stack_activation,power_mw*hours_per_day,capacity_mwh))</f>
        <v/>
      </c>
      <c r="L150" s="42">
        <f>IF(K150&gt;=capacity_mwh-0.01,"yes","no")</f>
        <v/>
      </c>
      <c r="M150" s="13">
        <f>IF(C150="aFRR+",(MIN(DAMAS_Daily!C150*market_share_A*acceptance_rate*stack_activation,power_mw*hours_per_day,capacity_mwh))*DAMAS_Daily!E150*activation_mult_A,(MIN(DAMAS_Daily!D150*market_share_A*acceptance_rate*stack_activation,power_mw*hours_per_day,capacity_mwh))*DAMAS_Daily!F150*activation_mult_A)</f>
        <v/>
      </c>
      <c r="N150" s="14">
        <f>F150+M150</f>
        <v/>
      </c>
    </row>
    <row r="151">
      <c r="A151" s="41">
        <f>DAMAS_Daily!A151</f>
        <v/>
      </c>
      <c r="B151" s="42">
        <f>DAMAS_Daily!B151</f>
        <v/>
      </c>
      <c r="C151" s="42">
        <f>IF((power_mw*hours_per_day*damas_afrr_up*capacity_mult_A*stack_capacity*acceptance_rate+(MIN(DAMAS_Daily!C151*market_share_A*acceptance_rate*stack_activation,power_mw*hours_per_day,capacity_mwh))*DAMAS_Daily!E151*activation_mult_A)&gt;=(power_mw*hours_per_day*damas_afrr_down*capacity_mult_A*stack_capacity*acceptance_rate+(MIN(DAMAS_Daily!D151*market_share_A*acceptance_rate*stack_activation,power_mw*hours_per_day,capacity_mwh))*DAMAS_Daily!F151*activation_mult_A),"aFRR+","aFRR-")</f>
        <v/>
      </c>
      <c r="D151" s="43">
        <f>IF(C151="aFRR+",damas_afrr_up*capacity_mult_A,damas_afrr_down*capacity_mult_A)</f>
        <v/>
      </c>
      <c r="E151" s="44">
        <f>acceptance_rate</f>
        <v/>
      </c>
      <c r="F151" s="13">
        <f>IF(C151="aFRR+",power_mw*hours_per_day*damas_afrr_up*capacity_mult_A*stack_capacity*acceptance_rate,power_mw*hours_per_day*damas_afrr_down*capacity_mult_A*stack_capacity*acceptance_rate)</f>
        <v/>
      </c>
      <c r="G151" s="42">
        <f>IF(C151="aFRR+",DAMAS_Daily!I151,DAMAS_Daily!J151)</f>
        <v/>
      </c>
      <c r="H151" s="43">
        <f>IF(C151="aFRR+",DAMAS_Daily!E151,DAMAS_Daily!F151)</f>
        <v/>
      </c>
      <c r="I151" s="43">
        <f>IF(C151="aFRR+",DAMAS_Daily!G151,DAMAS_Daily!H151)</f>
        <v/>
      </c>
      <c r="J151" s="45">
        <f>IF(C151="aFRR+",DAMAS_Daily!C151,DAMAS_Daily!D151)</f>
        <v/>
      </c>
      <c r="K151" s="45">
        <f>IF(C151="aFRR+",MIN(DAMAS_Daily!C151*market_share_A*acceptance_rate*stack_activation,power_mw*hours_per_day,capacity_mwh),MIN(DAMAS_Daily!D151*market_share_A*acceptance_rate*stack_activation,power_mw*hours_per_day,capacity_mwh))</f>
        <v/>
      </c>
      <c r="L151" s="42">
        <f>IF(K151&gt;=capacity_mwh-0.01,"yes","no")</f>
        <v/>
      </c>
      <c r="M151" s="13">
        <f>IF(C151="aFRR+",(MIN(DAMAS_Daily!C151*market_share_A*acceptance_rate*stack_activation,power_mw*hours_per_day,capacity_mwh))*DAMAS_Daily!E151*activation_mult_A,(MIN(DAMAS_Daily!D151*market_share_A*acceptance_rate*stack_activation,power_mw*hours_per_day,capacity_mwh))*DAMAS_Daily!F151*activation_mult_A)</f>
        <v/>
      </c>
      <c r="N151" s="14">
        <f>F151+M151</f>
        <v/>
      </c>
    </row>
    <row r="152">
      <c r="A152" s="41">
        <f>DAMAS_Daily!A152</f>
        <v/>
      </c>
      <c r="B152" s="42">
        <f>DAMAS_Daily!B152</f>
        <v/>
      </c>
      <c r="C152" s="42">
        <f>IF((power_mw*hours_per_day*damas_afrr_up*capacity_mult_A*stack_capacity*acceptance_rate+(MIN(DAMAS_Daily!C152*market_share_A*acceptance_rate*stack_activation,power_mw*hours_per_day,capacity_mwh))*DAMAS_Daily!E152*activation_mult_A)&gt;=(power_mw*hours_per_day*damas_afrr_down*capacity_mult_A*stack_capacity*acceptance_rate+(MIN(DAMAS_Daily!D152*market_share_A*acceptance_rate*stack_activation,power_mw*hours_per_day,capacity_mwh))*DAMAS_Daily!F152*activation_mult_A),"aFRR+","aFRR-")</f>
        <v/>
      </c>
      <c r="D152" s="43">
        <f>IF(C152="aFRR+",damas_afrr_up*capacity_mult_A,damas_afrr_down*capacity_mult_A)</f>
        <v/>
      </c>
      <c r="E152" s="44">
        <f>acceptance_rate</f>
        <v/>
      </c>
      <c r="F152" s="13">
        <f>IF(C152="aFRR+",power_mw*hours_per_day*damas_afrr_up*capacity_mult_A*stack_capacity*acceptance_rate,power_mw*hours_per_day*damas_afrr_down*capacity_mult_A*stack_capacity*acceptance_rate)</f>
        <v/>
      </c>
      <c r="G152" s="42">
        <f>IF(C152="aFRR+",DAMAS_Daily!I152,DAMAS_Daily!J152)</f>
        <v/>
      </c>
      <c r="H152" s="43">
        <f>IF(C152="aFRR+",DAMAS_Daily!E152,DAMAS_Daily!F152)</f>
        <v/>
      </c>
      <c r="I152" s="43">
        <f>IF(C152="aFRR+",DAMAS_Daily!G152,DAMAS_Daily!H152)</f>
        <v/>
      </c>
      <c r="J152" s="45">
        <f>IF(C152="aFRR+",DAMAS_Daily!C152,DAMAS_Daily!D152)</f>
        <v/>
      </c>
      <c r="K152" s="45">
        <f>IF(C152="aFRR+",MIN(DAMAS_Daily!C152*market_share_A*acceptance_rate*stack_activation,power_mw*hours_per_day,capacity_mwh),MIN(DAMAS_Daily!D152*market_share_A*acceptance_rate*stack_activation,power_mw*hours_per_day,capacity_mwh))</f>
        <v/>
      </c>
      <c r="L152" s="42">
        <f>IF(K152&gt;=capacity_mwh-0.01,"yes","no")</f>
        <v/>
      </c>
      <c r="M152" s="13">
        <f>IF(C152="aFRR+",(MIN(DAMAS_Daily!C152*market_share_A*acceptance_rate*stack_activation,power_mw*hours_per_day,capacity_mwh))*DAMAS_Daily!E152*activation_mult_A,(MIN(DAMAS_Daily!D152*market_share_A*acceptance_rate*stack_activation,power_mw*hours_per_day,capacity_mwh))*DAMAS_Daily!F152*activation_mult_A)</f>
        <v/>
      </c>
      <c r="N152" s="14">
        <f>F152+M152</f>
        <v/>
      </c>
    </row>
    <row r="153">
      <c r="A153" s="41">
        <f>DAMAS_Daily!A153</f>
        <v/>
      </c>
      <c r="B153" s="42">
        <f>DAMAS_Daily!B153</f>
        <v/>
      </c>
      <c r="C153" s="42">
        <f>IF((power_mw*hours_per_day*damas_afrr_up*capacity_mult_A*stack_capacity*acceptance_rate+(MIN(DAMAS_Daily!C153*market_share_A*acceptance_rate*stack_activation,power_mw*hours_per_day,capacity_mwh))*DAMAS_Daily!E153*activation_mult_A)&gt;=(power_mw*hours_per_day*damas_afrr_down*capacity_mult_A*stack_capacity*acceptance_rate+(MIN(DAMAS_Daily!D153*market_share_A*acceptance_rate*stack_activation,power_mw*hours_per_day,capacity_mwh))*DAMAS_Daily!F153*activation_mult_A),"aFRR+","aFRR-")</f>
        <v/>
      </c>
      <c r="D153" s="43">
        <f>IF(C153="aFRR+",damas_afrr_up*capacity_mult_A,damas_afrr_down*capacity_mult_A)</f>
        <v/>
      </c>
      <c r="E153" s="44">
        <f>acceptance_rate</f>
        <v/>
      </c>
      <c r="F153" s="13">
        <f>IF(C153="aFRR+",power_mw*hours_per_day*damas_afrr_up*capacity_mult_A*stack_capacity*acceptance_rate,power_mw*hours_per_day*damas_afrr_down*capacity_mult_A*stack_capacity*acceptance_rate)</f>
        <v/>
      </c>
      <c r="G153" s="42">
        <f>IF(C153="aFRR+",DAMAS_Daily!I153,DAMAS_Daily!J153)</f>
        <v/>
      </c>
      <c r="H153" s="43">
        <f>IF(C153="aFRR+",DAMAS_Daily!E153,DAMAS_Daily!F153)</f>
        <v/>
      </c>
      <c r="I153" s="43">
        <f>IF(C153="aFRR+",DAMAS_Daily!G153,DAMAS_Daily!H153)</f>
        <v/>
      </c>
      <c r="J153" s="45">
        <f>IF(C153="aFRR+",DAMAS_Daily!C153,DAMAS_Daily!D153)</f>
        <v/>
      </c>
      <c r="K153" s="45">
        <f>IF(C153="aFRR+",MIN(DAMAS_Daily!C153*market_share_A*acceptance_rate*stack_activation,power_mw*hours_per_day,capacity_mwh),MIN(DAMAS_Daily!D153*market_share_A*acceptance_rate*stack_activation,power_mw*hours_per_day,capacity_mwh))</f>
        <v/>
      </c>
      <c r="L153" s="42">
        <f>IF(K153&gt;=capacity_mwh-0.01,"yes","no")</f>
        <v/>
      </c>
      <c r="M153" s="13">
        <f>IF(C153="aFRR+",(MIN(DAMAS_Daily!C153*market_share_A*acceptance_rate*stack_activation,power_mw*hours_per_day,capacity_mwh))*DAMAS_Daily!E153*activation_mult_A,(MIN(DAMAS_Daily!D153*market_share_A*acceptance_rate*stack_activation,power_mw*hours_per_day,capacity_mwh))*DAMAS_Daily!F153*activation_mult_A)</f>
        <v/>
      </c>
      <c r="N153" s="14">
        <f>F153+M153</f>
        <v/>
      </c>
    </row>
    <row r="154">
      <c r="A154" s="41">
        <f>DAMAS_Daily!A154</f>
        <v/>
      </c>
      <c r="B154" s="42">
        <f>DAMAS_Daily!B154</f>
        <v/>
      </c>
      <c r="C154" s="42">
        <f>IF((power_mw*hours_per_day*damas_afrr_up*capacity_mult_A*stack_capacity*acceptance_rate+(MIN(DAMAS_Daily!C154*market_share_A*acceptance_rate*stack_activation,power_mw*hours_per_day,capacity_mwh))*DAMAS_Daily!E154*activation_mult_A)&gt;=(power_mw*hours_per_day*damas_afrr_down*capacity_mult_A*stack_capacity*acceptance_rate+(MIN(DAMAS_Daily!D154*market_share_A*acceptance_rate*stack_activation,power_mw*hours_per_day,capacity_mwh))*DAMAS_Daily!F154*activation_mult_A),"aFRR+","aFRR-")</f>
        <v/>
      </c>
      <c r="D154" s="43">
        <f>IF(C154="aFRR+",damas_afrr_up*capacity_mult_A,damas_afrr_down*capacity_mult_A)</f>
        <v/>
      </c>
      <c r="E154" s="44">
        <f>acceptance_rate</f>
        <v/>
      </c>
      <c r="F154" s="13">
        <f>IF(C154="aFRR+",power_mw*hours_per_day*damas_afrr_up*capacity_mult_A*stack_capacity*acceptance_rate,power_mw*hours_per_day*damas_afrr_down*capacity_mult_A*stack_capacity*acceptance_rate)</f>
        <v/>
      </c>
      <c r="G154" s="42">
        <f>IF(C154="aFRR+",DAMAS_Daily!I154,DAMAS_Daily!J154)</f>
        <v/>
      </c>
      <c r="H154" s="43">
        <f>IF(C154="aFRR+",DAMAS_Daily!E154,DAMAS_Daily!F154)</f>
        <v/>
      </c>
      <c r="I154" s="43">
        <f>IF(C154="aFRR+",DAMAS_Daily!G154,DAMAS_Daily!H154)</f>
        <v/>
      </c>
      <c r="J154" s="45">
        <f>IF(C154="aFRR+",DAMAS_Daily!C154,DAMAS_Daily!D154)</f>
        <v/>
      </c>
      <c r="K154" s="45">
        <f>IF(C154="aFRR+",MIN(DAMAS_Daily!C154*market_share_A*acceptance_rate*stack_activation,power_mw*hours_per_day,capacity_mwh),MIN(DAMAS_Daily!D154*market_share_A*acceptance_rate*stack_activation,power_mw*hours_per_day,capacity_mwh))</f>
        <v/>
      </c>
      <c r="L154" s="42">
        <f>IF(K154&gt;=capacity_mwh-0.01,"yes","no")</f>
        <v/>
      </c>
      <c r="M154" s="13">
        <f>IF(C154="aFRR+",(MIN(DAMAS_Daily!C154*market_share_A*acceptance_rate*stack_activation,power_mw*hours_per_day,capacity_mwh))*DAMAS_Daily!E154*activation_mult_A,(MIN(DAMAS_Daily!D154*market_share_A*acceptance_rate*stack_activation,power_mw*hours_per_day,capacity_mwh))*DAMAS_Daily!F154*activation_mult_A)</f>
        <v/>
      </c>
      <c r="N154" s="14">
        <f>F154+M154</f>
        <v/>
      </c>
    </row>
    <row r="155">
      <c r="A155" s="41">
        <f>DAMAS_Daily!A155</f>
        <v/>
      </c>
      <c r="B155" s="42">
        <f>DAMAS_Daily!B155</f>
        <v/>
      </c>
      <c r="C155" s="42">
        <f>IF((power_mw*hours_per_day*damas_afrr_up*capacity_mult_A*stack_capacity*acceptance_rate+(MIN(DAMAS_Daily!C155*market_share_A*acceptance_rate*stack_activation,power_mw*hours_per_day,capacity_mwh))*DAMAS_Daily!E155*activation_mult_A)&gt;=(power_mw*hours_per_day*damas_afrr_down*capacity_mult_A*stack_capacity*acceptance_rate+(MIN(DAMAS_Daily!D155*market_share_A*acceptance_rate*stack_activation,power_mw*hours_per_day,capacity_mwh))*DAMAS_Daily!F155*activation_mult_A),"aFRR+","aFRR-")</f>
        <v/>
      </c>
      <c r="D155" s="43">
        <f>IF(C155="aFRR+",damas_afrr_up*capacity_mult_A,damas_afrr_down*capacity_mult_A)</f>
        <v/>
      </c>
      <c r="E155" s="44">
        <f>acceptance_rate</f>
        <v/>
      </c>
      <c r="F155" s="13">
        <f>IF(C155="aFRR+",power_mw*hours_per_day*damas_afrr_up*capacity_mult_A*stack_capacity*acceptance_rate,power_mw*hours_per_day*damas_afrr_down*capacity_mult_A*stack_capacity*acceptance_rate)</f>
        <v/>
      </c>
      <c r="G155" s="42">
        <f>IF(C155="aFRR+",DAMAS_Daily!I155,DAMAS_Daily!J155)</f>
        <v/>
      </c>
      <c r="H155" s="43">
        <f>IF(C155="aFRR+",DAMAS_Daily!E155,DAMAS_Daily!F155)</f>
        <v/>
      </c>
      <c r="I155" s="43">
        <f>IF(C155="aFRR+",DAMAS_Daily!G155,DAMAS_Daily!H155)</f>
        <v/>
      </c>
      <c r="J155" s="45">
        <f>IF(C155="aFRR+",DAMAS_Daily!C155,DAMAS_Daily!D155)</f>
        <v/>
      </c>
      <c r="K155" s="45">
        <f>IF(C155="aFRR+",MIN(DAMAS_Daily!C155*market_share_A*acceptance_rate*stack_activation,power_mw*hours_per_day,capacity_mwh),MIN(DAMAS_Daily!D155*market_share_A*acceptance_rate*stack_activation,power_mw*hours_per_day,capacity_mwh))</f>
        <v/>
      </c>
      <c r="L155" s="42">
        <f>IF(K155&gt;=capacity_mwh-0.01,"yes","no")</f>
        <v/>
      </c>
      <c r="M155" s="13">
        <f>IF(C155="aFRR+",(MIN(DAMAS_Daily!C155*market_share_A*acceptance_rate*stack_activation,power_mw*hours_per_day,capacity_mwh))*DAMAS_Daily!E155*activation_mult_A,(MIN(DAMAS_Daily!D155*market_share_A*acceptance_rate*stack_activation,power_mw*hours_per_day,capacity_mwh))*DAMAS_Daily!F155*activation_mult_A)</f>
        <v/>
      </c>
      <c r="N155" s="14">
        <f>F155+M155</f>
        <v/>
      </c>
    </row>
    <row r="156">
      <c r="A156" s="41">
        <f>DAMAS_Daily!A156</f>
        <v/>
      </c>
      <c r="B156" s="42">
        <f>DAMAS_Daily!B156</f>
        <v/>
      </c>
      <c r="C156" s="42">
        <f>IF((power_mw*hours_per_day*damas_afrr_up*capacity_mult_A*stack_capacity*acceptance_rate+(MIN(DAMAS_Daily!C156*market_share_A*acceptance_rate*stack_activation,power_mw*hours_per_day,capacity_mwh))*DAMAS_Daily!E156*activation_mult_A)&gt;=(power_mw*hours_per_day*damas_afrr_down*capacity_mult_A*stack_capacity*acceptance_rate+(MIN(DAMAS_Daily!D156*market_share_A*acceptance_rate*stack_activation,power_mw*hours_per_day,capacity_mwh))*DAMAS_Daily!F156*activation_mult_A),"aFRR+","aFRR-")</f>
        <v/>
      </c>
      <c r="D156" s="43">
        <f>IF(C156="aFRR+",damas_afrr_up*capacity_mult_A,damas_afrr_down*capacity_mult_A)</f>
        <v/>
      </c>
      <c r="E156" s="44">
        <f>acceptance_rate</f>
        <v/>
      </c>
      <c r="F156" s="13">
        <f>IF(C156="aFRR+",power_mw*hours_per_day*damas_afrr_up*capacity_mult_A*stack_capacity*acceptance_rate,power_mw*hours_per_day*damas_afrr_down*capacity_mult_A*stack_capacity*acceptance_rate)</f>
        <v/>
      </c>
      <c r="G156" s="42">
        <f>IF(C156="aFRR+",DAMAS_Daily!I156,DAMAS_Daily!J156)</f>
        <v/>
      </c>
      <c r="H156" s="43">
        <f>IF(C156="aFRR+",DAMAS_Daily!E156,DAMAS_Daily!F156)</f>
        <v/>
      </c>
      <c r="I156" s="43">
        <f>IF(C156="aFRR+",DAMAS_Daily!G156,DAMAS_Daily!H156)</f>
        <v/>
      </c>
      <c r="J156" s="45">
        <f>IF(C156="aFRR+",DAMAS_Daily!C156,DAMAS_Daily!D156)</f>
        <v/>
      </c>
      <c r="K156" s="45">
        <f>IF(C156="aFRR+",MIN(DAMAS_Daily!C156*market_share_A*acceptance_rate*stack_activation,power_mw*hours_per_day,capacity_mwh),MIN(DAMAS_Daily!D156*market_share_A*acceptance_rate*stack_activation,power_mw*hours_per_day,capacity_mwh))</f>
        <v/>
      </c>
      <c r="L156" s="42">
        <f>IF(K156&gt;=capacity_mwh-0.01,"yes","no")</f>
        <v/>
      </c>
      <c r="M156" s="13">
        <f>IF(C156="aFRR+",(MIN(DAMAS_Daily!C156*market_share_A*acceptance_rate*stack_activation,power_mw*hours_per_day,capacity_mwh))*DAMAS_Daily!E156*activation_mult_A,(MIN(DAMAS_Daily!D156*market_share_A*acceptance_rate*stack_activation,power_mw*hours_per_day,capacity_mwh))*DAMAS_Daily!F156*activation_mult_A)</f>
        <v/>
      </c>
      <c r="N156" s="14">
        <f>F156+M156</f>
        <v/>
      </c>
    </row>
    <row r="157">
      <c r="A157" s="41">
        <f>DAMAS_Daily!A157</f>
        <v/>
      </c>
      <c r="B157" s="42">
        <f>DAMAS_Daily!B157</f>
        <v/>
      </c>
      <c r="C157" s="42">
        <f>IF((power_mw*hours_per_day*damas_afrr_up*capacity_mult_A*stack_capacity*acceptance_rate+(MIN(DAMAS_Daily!C157*market_share_A*acceptance_rate*stack_activation,power_mw*hours_per_day,capacity_mwh))*DAMAS_Daily!E157*activation_mult_A)&gt;=(power_mw*hours_per_day*damas_afrr_down*capacity_mult_A*stack_capacity*acceptance_rate+(MIN(DAMAS_Daily!D157*market_share_A*acceptance_rate*stack_activation,power_mw*hours_per_day,capacity_mwh))*DAMAS_Daily!F157*activation_mult_A),"aFRR+","aFRR-")</f>
        <v/>
      </c>
      <c r="D157" s="43">
        <f>IF(C157="aFRR+",damas_afrr_up*capacity_mult_A,damas_afrr_down*capacity_mult_A)</f>
        <v/>
      </c>
      <c r="E157" s="44">
        <f>acceptance_rate</f>
        <v/>
      </c>
      <c r="F157" s="13">
        <f>IF(C157="aFRR+",power_mw*hours_per_day*damas_afrr_up*capacity_mult_A*stack_capacity*acceptance_rate,power_mw*hours_per_day*damas_afrr_down*capacity_mult_A*stack_capacity*acceptance_rate)</f>
        <v/>
      </c>
      <c r="G157" s="42">
        <f>IF(C157="aFRR+",DAMAS_Daily!I157,DAMAS_Daily!J157)</f>
        <v/>
      </c>
      <c r="H157" s="43">
        <f>IF(C157="aFRR+",DAMAS_Daily!E157,DAMAS_Daily!F157)</f>
        <v/>
      </c>
      <c r="I157" s="43">
        <f>IF(C157="aFRR+",DAMAS_Daily!G157,DAMAS_Daily!H157)</f>
        <v/>
      </c>
      <c r="J157" s="45">
        <f>IF(C157="aFRR+",DAMAS_Daily!C157,DAMAS_Daily!D157)</f>
        <v/>
      </c>
      <c r="K157" s="45">
        <f>IF(C157="aFRR+",MIN(DAMAS_Daily!C157*market_share_A*acceptance_rate*stack_activation,power_mw*hours_per_day,capacity_mwh),MIN(DAMAS_Daily!D157*market_share_A*acceptance_rate*stack_activation,power_mw*hours_per_day,capacity_mwh))</f>
        <v/>
      </c>
      <c r="L157" s="42">
        <f>IF(K157&gt;=capacity_mwh-0.01,"yes","no")</f>
        <v/>
      </c>
      <c r="M157" s="13">
        <f>IF(C157="aFRR+",(MIN(DAMAS_Daily!C157*market_share_A*acceptance_rate*stack_activation,power_mw*hours_per_day,capacity_mwh))*DAMAS_Daily!E157*activation_mult_A,(MIN(DAMAS_Daily!D157*market_share_A*acceptance_rate*stack_activation,power_mw*hours_per_day,capacity_mwh))*DAMAS_Daily!F157*activation_mult_A)</f>
        <v/>
      </c>
      <c r="N157" s="14">
        <f>F157+M157</f>
        <v/>
      </c>
    </row>
    <row r="158">
      <c r="A158" s="41">
        <f>DAMAS_Daily!A158</f>
        <v/>
      </c>
      <c r="B158" s="42">
        <f>DAMAS_Daily!B158</f>
        <v/>
      </c>
      <c r="C158" s="42">
        <f>IF((power_mw*hours_per_day*damas_afrr_up*capacity_mult_A*stack_capacity*acceptance_rate+(MIN(DAMAS_Daily!C158*market_share_A*acceptance_rate*stack_activation,power_mw*hours_per_day,capacity_mwh))*DAMAS_Daily!E158*activation_mult_A)&gt;=(power_mw*hours_per_day*damas_afrr_down*capacity_mult_A*stack_capacity*acceptance_rate+(MIN(DAMAS_Daily!D158*market_share_A*acceptance_rate*stack_activation,power_mw*hours_per_day,capacity_mwh))*DAMAS_Daily!F158*activation_mult_A),"aFRR+","aFRR-")</f>
        <v/>
      </c>
      <c r="D158" s="43">
        <f>IF(C158="aFRR+",damas_afrr_up*capacity_mult_A,damas_afrr_down*capacity_mult_A)</f>
        <v/>
      </c>
      <c r="E158" s="44">
        <f>acceptance_rate</f>
        <v/>
      </c>
      <c r="F158" s="13">
        <f>IF(C158="aFRR+",power_mw*hours_per_day*damas_afrr_up*capacity_mult_A*stack_capacity*acceptance_rate,power_mw*hours_per_day*damas_afrr_down*capacity_mult_A*stack_capacity*acceptance_rate)</f>
        <v/>
      </c>
      <c r="G158" s="42">
        <f>IF(C158="aFRR+",DAMAS_Daily!I158,DAMAS_Daily!J158)</f>
        <v/>
      </c>
      <c r="H158" s="43">
        <f>IF(C158="aFRR+",DAMAS_Daily!E158,DAMAS_Daily!F158)</f>
        <v/>
      </c>
      <c r="I158" s="43">
        <f>IF(C158="aFRR+",DAMAS_Daily!G158,DAMAS_Daily!H158)</f>
        <v/>
      </c>
      <c r="J158" s="45">
        <f>IF(C158="aFRR+",DAMAS_Daily!C158,DAMAS_Daily!D158)</f>
        <v/>
      </c>
      <c r="K158" s="45">
        <f>IF(C158="aFRR+",MIN(DAMAS_Daily!C158*market_share_A*acceptance_rate*stack_activation,power_mw*hours_per_day,capacity_mwh),MIN(DAMAS_Daily!D158*market_share_A*acceptance_rate*stack_activation,power_mw*hours_per_day,capacity_mwh))</f>
        <v/>
      </c>
      <c r="L158" s="42">
        <f>IF(K158&gt;=capacity_mwh-0.01,"yes","no")</f>
        <v/>
      </c>
      <c r="M158" s="13">
        <f>IF(C158="aFRR+",(MIN(DAMAS_Daily!C158*market_share_A*acceptance_rate*stack_activation,power_mw*hours_per_day,capacity_mwh))*DAMAS_Daily!E158*activation_mult_A,(MIN(DAMAS_Daily!D158*market_share_A*acceptance_rate*stack_activation,power_mw*hours_per_day,capacity_mwh))*DAMAS_Daily!F158*activation_mult_A)</f>
        <v/>
      </c>
      <c r="N158" s="14">
        <f>F158+M158</f>
        <v/>
      </c>
    </row>
    <row r="159">
      <c r="A159" s="41">
        <f>DAMAS_Daily!A159</f>
        <v/>
      </c>
      <c r="B159" s="42">
        <f>DAMAS_Daily!B159</f>
        <v/>
      </c>
      <c r="C159" s="42">
        <f>IF((power_mw*hours_per_day*damas_afrr_up*capacity_mult_A*stack_capacity*acceptance_rate+(MIN(DAMAS_Daily!C159*market_share_A*acceptance_rate*stack_activation,power_mw*hours_per_day,capacity_mwh))*DAMAS_Daily!E159*activation_mult_A)&gt;=(power_mw*hours_per_day*damas_afrr_down*capacity_mult_A*stack_capacity*acceptance_rate+(MIN(DAMAS_Daily!D159*market_share_A*acceptance_rate*stack_activation,power_mw*hours_per_day,capacity_mwh))*DAMAS_Daily!F159*activation_mult_A),"aFRR+","aFRR-")</f>
        <v/>
      </c>
      <c r="D159" s="43">
        <f>IF(C159="aFRR+",damas_afrr_up*capacity_mult_A,damas_afrr_down*capacity_mult_A)</f>
        <v/>
      </c>
      <c r="E159" s="44">
        <f>acceptance_rate</f>
        <v/>
      </c>
      <c r="F159" s="13">
        <f>IF(C159="aFRR+",power_mw*hours_per_day*damas_afrr_up*capacity_mult_A*stack_capacity*acceptance_rate,power_mw*hours_per_day*damas_afrr_down*capacity_mult_A*stack_capacity*acceptance_rate)</f>
        <v/>
      </c>
      <c r="G159" s="42">
        <f>IF(C159="aFRR+",DAMAS_Daily!I159,DAMAS_Daily!J159)</f>
        <v/>
      </c>
      <c r="H159" s="43">
        <f>IF(C159="aFRR+",DAMAS_Daily!E159,DAMAS_Daily!F159)</f>
        <v/>
      </c>
      <c r="I159" s="43">
        <f>IF(C159="aFRR+",DAMAS_Daily!G159,DAMAS_Daily!H159)</f>
        <v/>
      </c>
      <c r="J159" s="45">
        <f>IF(C159="aFRR+",DAMAS_Daily!C159,DAMAS_Daily!D159)</f>
        <v/>
      </c>
      <c r="K159" s="45">
        <f>IF(C159="aFRR+",MIN(DAMAS_Daily!C159*market_share_A*acceptance_rate*stack_activation,power_mw*hours_per_day,capacity_mwh),MIN(DAMAS_Daily!D159*market_share_A*acceptance_rate*stack_activation,power_mw*hours_per_day,capacity_mwh))</f>
        <v/>
      </c>
      <c r="L159" s="42">
        <f>IF(K159&gt;=capacity_mwh-0.01,"yes","no")</f>
        <v/>
      </c>
      <c r="M159" s="13">
        <f>IF(C159="aFRR+",(MIN(DAMAS_Daily!C159*market_share_A*acceptance_rate*stack_activation,power_mw*hours_per_day,capacity_mwh))*DAMAS_Daily!E159*activation_mult_A,(MIN(DAMAS_Daily!D159*market_share_A*acceptance_rate*stack_activation,power_mw*hours_per_day,capacity_mwh))*DAMAS_Daily!F159*activation_mult_A)</f>
        <v/>
      </c>
      <c r="N159" s="14">
        <f>F159+M159</f>
        <v/>
      </c>
    </row>
    <row r="160">
      <c r="A160" s="41">
        <f>DAMAS_Daily!A160</f>
        <v/>
      </c>
      <c r="B160" s="42">
        <f>DAMAS_Daily!B160</f>
        <v/>
      </c>
      <c r="C160" s="42">
        <f>IF((power_mw*hours_per_day*damas_afrr_up*capacity_mult_A*stack_capacity*acceptance_rate+(MIN(DAMAS_Daily!C160*market_share_A*acceptance_rate*stack_activation,power_mw*hours_per_day,capacity_mwh))*DAMAS_Daily!E160*activation_mult_A)&gt;=(power_mw*hours_per_day*damas_afrr_down*capacity_mult_A*stack_capacity*acceptance_rate+(MIN(DAMAS_Daily!D160*market_share_A*acceptance_rate*stack_activation,power_mw*hours_per_day,capacity_mwh))*DAMAS_Daily!F160*activation_mult_A),"aFRR+","aFRR-")</f>
        <v/>
      </c>
      <c r="D160" s="43">
        <f>IF(C160="aFRR+",damas_afrr_up*capacity_mult_A,damas_afrr_down*capacity_mult_A)</f>
        <v/>
      </c>
      <c r="E160" s="44">
        <f>acceptance_rate</f>
        <v/>
      </c>
      <c r="F160" s="13">
        <f>IF(C160="aFRR+",power_mw*hours_per_day*damas_afrr_up*capacity_mult_A*stack_capacity*acceptance_rate,power_mw*hours_per_day*damas_afrr_down*capacity_mult_A*stack_capacity*acceptance_rate)</f>
        <v/>
      </c>
      <c r="G160" s="42">
        <f>IF(C160="aFRR+",DAMAS_Daily!I160,DAMAS_Daily!J160)</f>
        <v/>
      </c>
      <c r="H160" s="43">
        <f>IF(C160="aFRR+",DAMAS_Daily!E160,DAMAS_Daily!F160)</f>
        <v/>
      </c>
      <c r="I160" s="43">
        <f>IF(C160="aFRR+",DAMAS_Daily!G160,DAMAS_Daily!H160)</f>
        <v/>
      </c>
      <c r="J160" s="45">
        <f>IF(C160="aFRR+",DAMAS_Daily!C160,DAMAS_Daily!D160)</f>
        <v/>
      </c>
      <c r="K160" s="45">
        <f>IF(C160="aFRR+",MIN(DAMAS_Daily!C160*market_share_A*acceptance_rate*stack_activation,power_mw*hours_per_day,capacity_mwh),MIN(DAMAS_Daily!D160*market_share_A*acceptance_rate*stack_activation,power_mw*hours_per_day,capacity_mwh))</f>
        <v/>
      </c>
      <c r="L160" s="42">
        <f>IF(K160&gt;=capacity_mwh-0.01,"yes","no")</f>
        <v/>
      </c>
      <c r="M160" s="13">
        <f>IF(C160="aFRR+",(MIN(DAMAS_Daily!C160*market_share_A*acceptance_rate*stack_activation,power_mw*hours_per_day,capacity_mwh))*DAMAS_Daily!E160*activation_mult_A,(MIN(DAMAS_Daily!D160*market_share_A*acceptance_rate*stack_activation,power_mw*hours_per_day,capacity_mwh))*DAMAS_Daily!F160*activation_mult_A)</f>
        <v/>
      </c>
      <c r="N160" s="14">
        <f>F160+M160</f>
        <v/>
      </c>
    </row>
    <row r="161">
      <c r="A161" s="41">
        <f>DAMAS_Daily!A161</f>
        <v/>
      </c>
      <c r="B161" s="42">
        <f>DAMAS_Daily!B161</f>
        <v/>
      </c>
      <c r="C161" s="42">
        <f>IF((power_mw*hours_per_day*damas_afrr_up*capacity_mult_A*stack_capacity*acceptance_rate+(MIN(DAMAS_Daily!C161*market_share_A*acceptance_rate*stack_activation,power_mw*hours_per_day,capacity_mwh))*DAMAS_Daily!E161*activation_mult_A)&gt;=(power_mw*hours_per_day*damas_afrr_down*capacity_mult_A*stack_capacity*acceptance_rate+(MIN(DAMAS_Daily!D161*market_share_A*acceptance_rate*stack_activation,power_mw*hours_per_day,capacity_mwh))*DAMAS_Daily!F161*activation_mult_A),"aFRR+","aFRR-")</f>
        <v/>
      </c>
      <c r="D161" s="43">
        <f>IF(C161="aFRR+",damas_afrr_up*capacity_mult_A,damas_afrr_down*capacity_mult_A)</f>
        <v/>
      </c>
      <c r="E161" s="44">
        <f>acceptance_rate</f>
        <v/>
      </c>
      <c r="F161" s="13">
        <f>IF(C161="aFRR+",power_mw*hours_per_day*damas_afrr_up*capacity_mult_A*stack_capacity*acceptance_rate,power_mw*hours_per_day*damas_afrr_down*capacity_mult_A*stack_capacity*acceptance_rate)</f>
        <v/>
      </c>
      <c r="G161" s="42">
        <f>IF(C161="aFRR+",DAMAS_Daily!I161,DAMAS_Daily!J161)</f>
        <v/>
      </c>
      <c r="H161" s="43">
        <f>IF(C161="aFRR+",DAMAS_Daily!E161,DAMAS_Daily!F161)</f>
        <v/>
      </c>
      <c r="I161" s="43">
        <f>IF(C161="aFRR+",DAMAS_Daily!G161,DAMAS_Daily!H161)</f>
        <v/>
      </c>
      <c r="J161" s="45">
        <f>IF(C161="aFRR+",DAMAS_Daily!C161,DAMAS_Daily!D161)</f>
        <v/>
      </c>
      <c r="K161" s="45">
        <f>IF(C161="aFRR+",MIN(DAMAS_Daily!C161*market_share_A*acceptance_rate*stack_activation,power_mw*hours_per_day,capacity_mwh),MIN(DAMAS_Daily!D161*market_share_A*acceptance_rate*stack_activation,power_mw*hours_per_day,capacity_mwh))</f>
        <v/>
      </c>
      <c r="L161" s="42">
        <f>IF(K161&gt;=capacity_mwh-0.01,"yes","no")</f>
        <v/>
      </c>
      <c r="M161" s="13">
        <f>IF(C161="aFRR+",(MIN(DAMAS_Daily!C161*market_share_A*acceptance_rate*stack_activation,power_mw*hours_per_day,capacity_mwh))*DAMAS_Daily!E161*activation_mult_A,(MIN(DAMAS_Daily!D161*market_share_A*acceptance_rate*stack_activation,power_mw*hours_per_day,capacity_mwh))*DAMAS_Daily!F161*activation_mult_A)</f>
        <v/>
      </c>
      <c r="N161" s="14">
        <f>F161+M161</f>
        <v/>
      </c>
    </row>
    <row r="162">
      <c r="A162" s="41">
        <f>DAMAS_Daily!A162</f>
        <v/>
      </c>
      <c r="B162" s="42">
        <f>DAMAS_Daily!B162</f>
        <v/>
      </c>
      <c r="C162" s="42">
        <f>IF((power_mw*hours_per_day*damas_afrr_up*capacity_mult_A*stack_capacity*acceptance_rate+(MIN(DAMAS_Daily!C162*market_share_A*acceptance_rate*stack_activation,power_mw*hours_per_day,capacity_mwh))*DAMAS_Daily!E162*activation_mult_A)&gt;=(power_mw*hours_per_day*damas_afrr_down*capacity_mult_A*stack_capacity*acceptance_rate+(MIN(DAMAS_Daily!D162*market_share_A*acceptance_rate*stack_activation,power_mw*hours_per_day,capacity_mwh))*DAMAS_Daily!F162*activation_mult_A),"aFRR+","aFRR-")</f>
        <v/>
      </c>
      <c r="D162" s="43">
        <f>IF(C162="aFRR+",damas_afrr_up*capacity_mult_A,damas_afrr_down*capacity_mult_A)</f>
        <v/>
      </c>
      <c r="E162" s="44">
        <f>acceptance_rate</f>
        <v/>
      </c>
      <c r="F162" s="13">
        <f>IF(C162="aFRR+",power_mw*hours_per_day*damas_afrr_up*capacity_mult_A*stack_capacity*acceptance_rate,power_mw*hours_per_day*damas_afrr_down*capacity_mult_A*stack_capacity*acceptance_rate)</f>
        <v/>
      </c>
      <c r="G162" s="42">
        <f>IF(C162="aFRR+",DAMAS_Daily!I162,DAMAS_Daily!J162)</f>
        <v/>
      </c>
      <c r="H162" s="43">
        <f>IF(C162="aFRR+",DAMAS_Daily!E162,DAMAS_Daily!F162)</f>
        <v/>
      </c>
      <c r="I162" s="43">
        <f>IF(C162="aFRR+",DAMAS_Daily!G162,DAMAS_Daily!H162)</f>
        <v/>
      </c>
      <c r="J162" s="45">
        <f>IF(C162="aFRR+",DAMAS_Daily!C162,DAMAS_Daily!D162)</f>
        <v/>
      </c>
      <c r="K162" s="45">
        <f>IF(C162="aFRR+",MIN(DAMAS_Daily!C162*market_share_A*acceptance_rate*stack_activation,power_mw*hours_per_day,capacity_mwh),MIN(DAMAS_Daily!D162*market_share_A*acceptance_rate*stack_activation,power_mw*hours_per_day,capacity_mwh))</f>
        <v/>
      </c>
      <c r="L162" s="42">
        <f>IF(K162&gt;=capacity_mwh-0.01,"yes","no")</f>
        <v/>
      </c>
      <c r="M162" s="13">
        <f>IF(C162="aFRR+",(MIN(DAMAS_Daily!C162*market_share_A*acceptance_rate*stack_activation,power_mw*hours_per_day,capacity_mwh))*DAMAS_Daily!E162*activation_mult_A,(MIN(DAMAS_Daily!D162*market_share_A*acceptance_rate*stack_activation,power_mw*hours_per_day,capacity_mwh))*DAMAS_Daily!F162*activation_mult_A)</f>
        <v/>
      </c>
      <c r="N162" s="14">
        <f>F162+M162</f>
        <v/>
      </c>
    </row>
    <row r="163">
      <c r="A163" s="41">
        <f>DAMAS_Daily!A163</f>
        <v/>
      </c>
      <c r="B163" s="42">
        <f>DAMAS_Daily!B163</f>
        <v/>
      </c>
      <c r="C163" s="42">
        <f>IF((power_mw*hours_per_day*damas_afrr_up*capacity_mult_A*stack_capacity*acceptance_rate+(MIN(DAMAS_Daily!C163*market_share_A*acceptance_rate*stack_activation,power_mw*hours_per_day,capacity_mwh))*DAMAS_Daily!E163*activation_mult_A)&gt;=(power_mw*hours_per_day*damas_afrr_down*capacity_mult_A*stack_capacity*acceptance_rate+(MIN(DAMAS_Daily!D163*market_share_A*acceptance_rate*stack_activation,power_mw*hours_per_day,capacity_mwh))*DAMAS_Daily!F163*activation_mult_A),"aFRR+","aFRR-")</f>
        <v/>
      </c>
      <c r="D163" s="43">
        <f>IF(C163="aFRR+",damas_afrr_up*capacity_mult_A,damas_afrr_down*capacity_mult_A)</f>
        <v/>
      </c>
      <c r="E163" s="44">
        <f>acceptance_rate</f>
        <v/>
      </c>
      <c r="F163" s="13">
        <f>IF(C163="aFRR+",power_mw*hours_per_day*damas_afrr_up*capacity_mult_A*stack_capacity*acceptance_rate,power_mw*hours_per_day*damas_afrr_down*capacity_mult_A*stack_capacity*acceptance_rate)</f>
        <v/>
      </c>
      <c r="G163" s="42">
        <f>IF(C163="aFRR+",DAMAS_Daily!I163,DAMAS_Daily!J163)</f>
        <v/>
      </c>
      <c r="H163" s="43">
        <f>IF(C163="aFRR+",DAMAS_Daily!E163,DAMAS_Daily!F163)</f>
        <v/>
      </c>
      <c r="I163" s="43">
        <f>IF(C163="aFRR+",DAMAS_Daily!G163,DAMAS_Daily!H163)</f>
        <v/>
      </c>
      <c r="J163" s="45">
        <f>IF(C163="aFRR+",DAMAS_Daily!C163,DAMAS_Daily!D163)</f>
        <v/>
      </c>
      <c r="K163" s="45">
        <f>IF(C163="aFRR+",MIN(DAMAS_Daily!C163*market_share_A*acceptance_rate*stack_activation,power_mw*hours_per_day,capacity_mwh),MIN(DAMAS_Daily!D163*market_share_A*acceptance_rate*stack_activation,power_mw*hours_per_day,capacity_mwh))</f>
        <v/>
      </c>
      <c r="L163" s="42">
        <f>IF(K163&gt;=capacity_mwh-0.01,"yes","no")</f>
        <v/>
      </c>
      <c r="M163" s="13">
        <f>IF(C163="aFRR+",(MIN(DAMAS_Daily!C163*market_share_A*acceptance_rate*stack_activation,power_mw*hours_per_day,capacity_mwh))*DAMAS_Daily!E163*activation_mult_A,(MIN(DAMAS_Daily!D163*market_share_A*acceptance_rate*stack_activation,power_mw*hours_per_day,capacity_mwh))*DAMAS_Daily!F163*activation_mult_A)</f>
        <v/>
      </c>
      <c r="N163" s="14">
        <f>F163+M163</f>
        <v/>
      </c>
    </row>
    <row r="164">
      <c r="A164" s="41">
        <f>DAMAS_Daily!A164</f>
        <v/>
      </c>
      <c r="B164" s="42">
        <f>DAMAS_Daily!B164</f>
        <v/>
      </c>
      <c r="C164" s="42">
        <f>IF((power_mw*hours_per_day*damas_afrr_up*capacity_mult_A*stack_capacity*acceptance_rate+(MIN(DAMAS_Daily!C164*market_share_A*acceptance_rate*stack_activation,power_mw*hours_per_day,capacity_mwh))*DAMAS_Daily!E164*activation_mult_A)&gt;=(power_mw*hours_per_day*damas_afrr_down*capacity_mult_A*stack_capacity*acceptance_rate+(MIN(DAMAS_Daily!D164*market_share_A*acceptance_rate*stack_activation,power_mw*hours_per_day,capacity_mwh))*DAMAS_Daily!F164*activation_mult_A),"aFRR+","aFRR-")</f>
        <v/>
      </c>
      <c r="D164" s="43">
        <f>IF(C164="aFRR+",damas_afrr_up*capacity_mult_A,damas_afrr_down*capacity_mult_A)</f>
        <v/>
      </c>
      <c r="E164" s="44">
        <f>acceptance_rate</f>
        <v/>
      </c>
      <c r="F164" s="13">
        <f>IF(C164="aFRR+",power_mw*hours_per_day*damas_afrr_up*capacity_mult_A*stack_capacity*acceptance_rate,power_mw*hours_per_day*damas_afrr_down*capacity_mult_A*stack_capacity*acceptance_rate)</f>
        <v/>
      </c>
      <c r="G164" s="42">
        <f>IF(C164="aFRR+",DAMAS_Daily!I164,DAMAS_Daily!J164)</f>
        <v/>
      </c>
      <c r="H164" s="43">
        <f>IF(C164="aFRR+",DAMAS_Daily!E164,DAMAS_Daily!F164)</f>
        <v/>
      </c>
      <c r="I164" s="43">
        <f>IF(C164="aFRR+",DAMAS_Daily!G164,DAMAS_Daily!H164)</f>
        <v/>
      </c>
      <c r="J164" s="45">
        <f>IF(C164="aFRR+",DAMAS_Daily!C164,DAMAS_Daily!D164)</f>
        <v/>
      </c>
      <c r="K164" s="45">
        <f>IF(C164="aFRR+",MIN(DAMAS_Daily!C164*market_share_A*acceptance_rate*stack_activation,power_mw*hours_per_day,capacity_mwh),MIN(DAMAS_Daily!D164*market_share_A*acceptance_rate*stack_activation,power_mw*hours_per_day,capacity_mwh))</f>
        <v/>
      </c>
      <c r="L164" s="42">
        <f>IF(K164&gt;=capacity_mwh-0.01,"yes","no")</f>
        <v/>
      </c>
      <c r="M164" s="13">
        <f>IF(C164="aFRR+",(MIN(DAMAS_Daily!C164*market_share_A*acceptance_rate*stack_activation,power_mw*hours_per_day,capacity_mwh))*DAMAS_Daily!E164*activation_mult_A,(MIN(DAMAS_Daily!D164*market_share_A*acceptance_rate*stack_activation,power_mw*hours_per_day,capacity_mwh))*DAMAS_Daily!F164*activation_mult_A)</f>
        <v/>
      </c>
      <c r="N164" s="14">
        <f>F164+M164</f>
        <v/>
      </c>
    </row>
    <row r="165">
      <c r="A165" s="41">
        <f>DAMAS_Daily!A165</f>
        <v/>
      </c>
      <c r="B165" s="42">
        <f>DAMAS_Daily!B165</f>
        <v/>
      </c>
      <c r="C165" s="42">
        <f>IF((power_mw*hours_per_day*damas_afrr_up*capacity_mult_A*stack_capacity*acceptance_rate+(MIN(DAMAS_Daily!C165*market_share_A*acceptance_rate*stack_activation,power_mw*hours_per_day,capacity_mwh))*DAMAS_Daily!E165*activation_mult_A)&gt;=(power_mw*hours_per_day*damas_afrr_down*capacity_mult_A*stack_capacity*acceptance_rate+(MIN(DAMAS_Daily!D165*market_share_A*acceptance_rate*stack_activation,power_mw*hours_per_day,capacity_mwh))*DAMAS_Daily!F165*activation_mult_A),"aFRR+","aFRR-")</f>
        <v/>
      </c>
      <c r="D165" s="43">
        <f>IF(C165="aFRR+",damas_afrr_up*capacity_mult_A,damas_afrr_down*capacity_mult_A)</f>
        <v/>
      </c>
      <c r="E165" s="44">
        <f>acceptance_rate</f>
        <v/>
      </c>
      <c r="F165" s="13">
        <f>IF(C165="aFRR+",power_mw*hours_per_day*damas_afrr_up*capacity_mult_A*stack_capacity*acceptance_rate,power_mw*hours_per_day*damas_afrr_down*capacity_mult_A*stack_capacity*acceptance_rate)</f>
        <v/>
      </c>
      <c r="G165" s="42">
        <f>IF(C165="aFRR+",DAMAS_Daily!I165,DAMAS_Daily!J165)</f>
        <v/>
      </c>
      <c r="H165" s="43">
        <f>IF(C165="aFRR+",DAMAS_Daily!E165,DAMAS_Daily!F165)</f>
        <v/>
      </c>
      <c r="I165" s="43">
        <f>IF(C165="aFRR+",DAMAS_Daily!G165,DAMAS_Daily!H165)</f>
        <v/>
      </c>
      <c r="J165" s="45">
        <f>IF(C165="aFRR+",DAMAS_Daily!C165,DAMAS_Daily!D165)</f>
        <v/>
      </c>
      <c r="K165" s="45">
        <f>IF(C165="aFRR+",MIN(DAMAS_Daily!C165*market_share_A*acceptance_rate*stack_activation,power_mw*hours_per_day,capacity_mwh),MIN(DAMAS_Daily!D165*market_share_A*acceptance_rate*stack_activation,power_mw*hours_per_day,capacity_mwh))</f>
        <v/>
      </c>
      <c r="L165" s="42">
        <f>IF(K165&gt;=capacity_mwh-0.01,"yes","no")</f>
        <v/>
      </c>
      <c r="M165" s="13">
        <f>IF(C165="aFRR+",(MIN(DAMAS_Daily!C165*market_share_A*acceptance_rate*stack_activation,power_mw*hours_per_day,capacity_mwh))*DAMAS_Daily!E165*activation_mult_A,(MIN(DAMAS_Daily!D165*market_share_A*acceptance_rate*stack_activation,power_mw*hours_per_day,capacity_mwh))*DAMAS_Daily!F165*activation_mult_A)</f>
        <v/>
      </c>
      <c r="N165" s="14">
        <f>F165+M165</f>
        <v/>
      </c>
    </row>
    <row r="166">
      <c r="A166" s="41">
        <f>DAMAS_Daily!A166</f>
        <v/>
      </c>
      <c r="B166" s="42">
        <f>DAMAS_Daily!B166</f>
        <v/>
      </c>
      <c r="C166" s="42">
        <f>IF((power_mw*hours_per_day*damas_afrr_up*capacity_mult_A*stack_capacity*acceptance_rate+(MIN(DAMAS_Daily!C166*market_share_A*acceptance_rate*stack_activation,power_mw*hours_per_day,capacity_mwh))*DAMAS_Daily!E166*activation_mult_A)&gt;=(power_mw*hours_per_day*damas_afrr_down*capacity_mult_A*stack_capacity*acceptance_rate+(MIN(DAMAS_Daily!D166*market_share_A*acceptance_rate*stack_activation,power_mw*hours_per_day,capacity_mwh))*DAMAS_Daily!F166*activation_mult_A),"aFRR+","aFRR-")</f>
        <v/>
      </c>
      <c r="D166" s="43">
        <f>IF(C166="aFRR+",damas_afrr_up*capacity_mult_A,damas_afrr_down*capacity_mult_A)</f>
        <v/>
      </c>
      <c r="E166" s="44">
        <f>acceptance_rate</f>
        <v/>
      </c>
      <c r="F166" s="13">
        <f>IF(C166="aFRR+",power_mw*hours_per_day*damas_afrr_up*capacity_mult_A*stack_capacity*acceptance_rate,power_mw*hours_per_day*damas_afrr_down*capacity_mult_A*stack_capacity*acceptance_rate)</f>
        <v/>
      </c>
      <c r="G166" s="42">
        <f>IF(C166="aFRR+",DAMAS_Daily!I166,DAMAS_Daily!J166)</f>
        <v/>
      </c>
      <c r="H166" s="43">
        <f>IF(C166="aFRR+",DAMAS_Daily!E166,DAMAS_Daily!F166)</f>
        <v/>
      </c>
      <c r="I166" s="43">
        <f>IF(C166="aFRR+",DAMAS_Daily!G166,DAMAS_Daily!H166)</f>
        <v/>
      </c>
      <c r="J166" s="45">
        <f>IF(C166="aFRR+",DAMAS_Daily!C166,DAMAS_Daily!D166)</f>
        <v/>
      </c>
      <c r="K166" s="45">
        <f>IF(C166="aFRR+",MIN(DAMAS_Daily!C166*market_share_A*acceptance_rate*stack_activation,power_mw*hours_per_day,capacity_mwh),MIN(DAMAS_Daily!D166*market_share_A*acceptance_rate*stack_activation,power_mw*hours_per_day,capacity_mwh))</f>
        <v/>
      </c>
      <c r="L166" s="42">
        <f>IF(K166&gt;=capacity_mwh-0.01,"yes","no")</f>
        <v/>
      </c>
      <c r="M166" s="13">
        <f>IF(C166="aFRR+",(MIN(DAMAS_Daily!C166*market_share_A*acceptance_rate*stack_activation,power_mw*hours_per_day,capacity_mwh))*DAMAS_Daily!E166*activation_mult_A,(MIN(DAMAS_Daily!D166*market_share_A*acceptance_rate*stack_activation,power_mw*hours_per_day,capacity_mwh))*DAMAS_Daily!F166*activation_mult_A)</f>
        <v/>
      </c>
      <c r="N166" s="14">
        <f>F166+M166</f>
        <v/>
      </c>
    </row>
    <row r="167">
      <c r="A167" s="41">
        <f>DAMAS_Daily!A167</f>
        <v/>
      </c>
      <c r="B167" s="42">
        <f>DAMAS_Daily!B167</f>
        <v/>
      </c>
      <c r="C167" s="42">
        <f>IF((power_mw*hours_per_day*damas_afrr_up*capacity_mult_A*stack_capacity*acceptance_rate+(MIN(DAMAS_Daily!C167*market_share_A*acceptance_rate*stack_activation,power_mw*hours_per_day,capacity_mwh))*DAMAS_Daily!E167*activation_mult_A)&gt;=(power_mw*hours_per_day*damas_afrr_down*capacity_mult_A*stack_capacity*acceptance_rate+(MIN(DAMAS_Daily!D167*market_share_A*acceptance_rate*stack_activation,power_mw*hours_per_day,capacity_mwh))*DAMAS_Daily!F167*activation_mult_A),"aFRR+","aFRR-")</f>
        <v/>
      </c>
      <c r="D167" s="43">
        <f>IF(C167="aFRR+",damas_afrr_up*capacity_mult_A,damas_afrr_down*capacity_mult_A)</f>
        <v/>
      </c>
      <c r="E167" s="44">
        <f>acceptance_rate</f>
        <v/>
      </c>
      <c r="F167" s="13">
        <f>IF(C167="aFRR+",power_mw*hours_per_day*damas_afrr_up*capacity_mult_A*stack_capacity*acceptance_rate,power_mw*hours_per_day*damas_afrr_down*capacity_mult_A*stack_capacity*acceptance_rate)</f>
        <v/>
      </c>
      <c r="G167" s="42">
        <f>IF(C167="aFRR+",DAMAS_Daily!I167,DAMAS_Daily!J167)</f>
        <v/>
      </c>
      <c r="H167" s="43">
        <f>IF(C167="aFRR+",DAMAS_Daily!E167,DAMAS_Daily!F167)</f>
        <v/>
      </c>
      <c r="I167" s="43">
        <f>IF(C167="aFRR+",DAMAS_Daily!G167,DAMAS_Daily!H167)</f>
        <v/>
      </c>
      <c r="J167" s="45">
        <f>IF(C167="aFRR+",DAMAS_Daily!C167,DAMAS_Daily!D167)</f>
        <v/>
      </c>
      <c r="K167" s="45">
        <f>IF(C167="aFRR+",MIN(DAMAS_Daily!C167*market_share_A*acceptance_rate*stack_activation,power_mw*hours_per_day,capacity_mwh),MIN(DAMAS_Daily!D167*market_share_A*acceptance_rate*stack_activation,power_mw*hours_per_day,capacity_mwh))</f>
        <v/>
      </c>
      <c r="L167" s="42">
        <f>IF(K167&gt;=capacity_mwh-0.01,"yes","no")</f>
        <v/>
      </c>
      <c r="M167" s="13">
        <f>IF(C167="aFRR+",(MIN(DAMAS_Daily!C167*market_share_A*acceptance_rate*stack_activation,power_mw*hours_per_day,capacity_mwh))*DAMAS_Daily!E167*activation_mult_A,(MIN(DAMAS_Daily!D167*market_share_A*acceptance_rate*stack_activation,power_mw*hours_per_day,capacity_mwh))*DAMAS_Daily!F167*activation_mult_A)</f>
        <v/>
      </c>
      <c r="N167" s="14">
        <f>F167+M167</f>
        <v/>
      </c>
    </row>
    <row r="168">
      <c r="A168" s="41">
        <f>DAMAS_Daily!A168</f>
        <v/>
      </c>
      <c r="B168" s="42">
        <f>DAMAS_Daily!B168</f>
        <v/>
      </c>
      <c r="C168" s="42">
        <f>IF((power_mw*hours_per_day*damas_afrr_up*capacity_mult_A*stack_capacity*acceptance_rate+(MIN(DAMAS_Daily!C168*market_share_A*acceptance_rate*stack_activation,power_mw*hours_per_day,capacity_mwh))*DAMAS_Daily!E168*activation_mult_A)&gt;=(power_mw*hours_per_day*damas_afrr_down*capacity_mult_A*stack_capacity*acceptance_rate+(MIN(DAMAS_Daily!D168*market_share_A*acceptance_rate*stack_activation,power_mw*hours_per_day,capacity_mwh))*DAMAS_Daily!F168*activation_mult_A),"aFRR+","aFRR-")</f>
        <v/>
      </c>
      <c r="D168" s="43">
        <f>IF(C168="aFRR+",damas_afrr_up*capacity_mult_A,damas_afrr_down*capacity_mult_A)</f>
        <v/>
      </c>
      <c r="E168" s="44">
        <f>acceptance_rate</f>
        <v/>
      </c>
      <c r="F168" s="13">
        <f>IF(C168="aFRR+",power_mw*hours_per_day*damas_afrr_up*capacity_mult_A*stack_capacity*acceptance_rate,power_mw*hours_per_day*damas_afrr_down*capacity_mult_A*stack_capacity*acceptance_rate)</f>
        <v/>
      </c>
      <c r="G168" s="42">
        <f>IF(C168="aFRR+",DAMAS_Daily!I168,DAMAS_Daily!J168)</f>
        <v/>
      </c>
      <c r="H168" s="43">
        <f>IF(C168="aFRR+",DAMAS_Daily!E168,DAMAS_Daily!F168)</f>
        <v/>
      </c>
      <c r="I168" s="43">
        <f>IF(C168="aFRR+",DAMAS_Daily!G168,DAMAS_Daily!H168)</f>
        <v/>
      </c>
      <c r="J168" s="45">
        <f>IF(C168="aFRR+",DAMAS_Daily!C168,DAMAS_Daily!D168)</f>
        <v/>
      </c>
      <c r="K168" s="45">
        <f>IF(C168="aFRR+",MIN(DAMAS_Daily!C168*market_share_A*acceptance_rate*stack_activation,power_mw*hours_per_day,capacity_mwh),MIN(DAMAS_Daily!D168*market_share_A*acceptance_rate*stack_activation,power_mw*hours_per_day,capacity_mwh))</f>
        <v/>
      </c>
      <c r="L168" s="42">
        <f>IF(K168&gt;=capacity_mwh-0.01,"yes","no")</f>
        <v/>
      </c>
      <c r="M168" s="13">
        <f>IF(C168="aFRR+",(MIN(DAMAS_Daily!C168*market_share_A*acceptance_rate*stack_activation,power_mw*hours_per_day,capacity_mwh))*DAMAS_Daily!E168*activation_mult_A,(MIN(DAMAS_Daily!D168*market_share_A*acceptance_rate*stack_activation,power_mw*hours_per_day,capacity_mwh))*DAMAS_Daily!F168*activation_mult_A)</f>
        <v/>
      </c>
      <c r="N168" s="14">
        <f>F168+M168</f>
        <v/>
      </c>
    </row>
    <row r="169">
      <c r="A169" s="41">
        <f>DAMAS_Daily!A169</f>
        <v/>
      </c>
      <c r="B169" s="42">
        <f>DAMAS_Daily!B169</f>
        <v/>
      </c>
      <c r="C169" s="42">
        <f>IF((power_mw*hours_per_day*damas_afrr_up*capacity_mult_A*stack_capacity*acceptance_rate+(MIN(DAMAS_Daily!C169*market_share_A*acceptance_rate*stack_activation,power_mw*hours_per_day,capacity_mwh))*DAMAS_Daily!E169*activation_mult_A)&gt;=(power_mw*hours_per_day*damas_afrr_down*capacity_mult_A*stack_capacity*acceptance_rate+(MIN(DAMAS_Daily!D169*market_share_A*acceptance_rate*stack_activation,power_mw*hours_per_day,capacity_mwh))*DAMAS_Daily!F169*activation_mult_A),"aFRR+","aFRR-")</f>
        <v/>
      </c>
      <c r="D169" s="43">
        <f>IF(C169="aFRR+",damas_afrr_up*capacity_mult_A,damas_afrr_down*capacity_mult_A)</f>
        <v/>
      </c>
      <c r="E169" s="44">
        <f>acceptance_rate</f>
        <v/>
      </c>
      <c r="F169" s="13">
        <f>IF(C169="aFRR+",power_mw*hours_per_day*damas_afrr_up*capacity_mult_A*stack_capacity*acceptance_rate,power_mw*hours_per_day*damas_afrr_down*capacity_mult_A*stack_capacity*acceptance_rate)</f>
        <v/>
      </c>
      <c r="G169" s="42">
        <f>IF(C169="aFRR+",DAMAS_Daily!I169,DAMAS_Daily!J169)</f>
        <v/>
      </c>
      <c r="H169" s="43">
        <f>IF(C169="aFRR+",DAMAS_Daily!E169,DAMAS_Daily!F169)</f>
        <v/>
      </c>
      <c r="I169" s="43">
        <f>IF(C169="aFRR+",DAMAS_Daily!G169,DAMAS_Daily!H169)</f>
        <v/>
      </c>
      <c r="J169" s="45">
        <f>IF(C169="aFRR+",DAMAS_Daily!C169,DAMAS_Daily!D169)</f>
        <v/>
      </c>
      <c r="K169" s="45">
        <f>IF(C169="aFRR+",MIN(DAMAS_Daily!C169*market_share_A*acceptance_rate*stack_activation,power_mw*hours_per_day,capacity_mwh),MIN(DAMAS_Daily!D169*market_share_A*acceptance_rate*stack_activation,power_mw*hours_per_day,capacity_mwh))</f>
        <v/>
      </c>
      <c r="L169" s="42">
        <f>IF(K169&gt;=capacity_mwh-0.01,"yes","no")</f>
        <v/>
      </c>
      <c r="M169" s="13">
        <f>IF(C169="aFRR+",(MIN(DAMAS_Daily!C169*market_share_A*acceptance_rate*stack_activation,power_mw*hours_per_day,capacity_mwh))*DAMAS_Daily!E169*activation_mult_A,(MIN(DAMAS_Daily!D169*market_share_A*acceptance_rate*stack_activation,power_mw*hours_per_day,capacity_mwh))*DAMAS_Daily!F169*activation_mult_A)</f>
        <v/>
      </c>
      <c r="N169" s="14">
        <f>F169+M169</f>
        <v/>
      </c>
    </row>
    <row r="170">
      <c r="A170" s="41">
        <f>DAMAS_Daily!A170</f>
        <v/>
      </c>
      <c r="B170" s="42">
        <f>DAMAS_Daily!B170</f>
        <v/>
      </c>
      <c r="C170" s="42">
        <f>IF((power_mw*hours_per_day*damas_afrr_up*capacity_mult_A*stack_capacity*acceptance_rate+(MIN(DAMAS_Daily!C170*market_share_A*acceptance_rate*stack_activation,power_mw*hours_per_day,capacity_mwh))*DAMAS_Daily!E170*activation_mult_A)&gt;=(power_mw*hours_per_day*damas_afrr_down*capacity_mult_A*stack_capacity*acceptance_rate+(MIN(DAMAS_Daily!D170*market_share_A*acceptance_rate*stack_activation,power_mw*hours_per_day,capacity_mwh))*DAMAS_Daily!F170*activation_mult_A),"aFRR+","aFRR-")</f>
        <v/>
      </c>
      <c r="D170" s="43">
        <f>IF(C170="aFRR+",damas_afrr_up*capacity_mult_A,damas_afrr_down*capacity_mult_A)</f>
        <v/>
      </c>
      <c r="E170" s="44">
        <f>acceptance_rate</f>
        <v/>
      </c>
      <c r="F170" s="13">
        <f>IF(C170="aFRR+",power_mw*hours_per_day*damas_afrr_up*capacity_mult_A*stack_capacity*acceptance_rate,power_mw*hours_per_day*damas_afrr_down*capacity_mult_A*stack_capacity*acceptance_rate)</f>
        <v/>
      </c>
      <c r="G170" s="42">
        <f>IF(C170="aFRR+",DAMAS_Daily!I170,DAMAS_Daily!J170)</f>
        <v/>
      </c>
      <c r="H170" s="43">
        <f>IF(C170="aFRR+",DAMAS_Daily!E170,DAMAS_Daily!F170)</f>
        <v/>
      </c>
      <c r="I170" s="43">
        <f>IF(C170="aFRR+",DAMAS_Daily!G170,DAMAS_Daily!H170)</f>
        <v/>
      </c>
      <c r="J170" s="45">
        <f>IF(C170="aFRR+",DAMAS_Daily!C170,DAMAS_Daily!D170)</f>
        <v/>
      </c>
      <c r="K170" s="45">
        <f>IF(C170="aFRR+",MIN(DAMAS_Daily!C170*market_share_A*acceptance_rate*stack_activation,power_mw*hours_per_day,capacity_mwh),MIN(DAMAS_Daily!D170*market_share_A*acceptance_rate*stack_activation,power_mw*hours_per_day,capacity_mwh))</f>
        <v/>
      </c>
      <c r="L170" s="42">
        <f>IF(K170&gt;=capacity_mwh-0.01,"yes","no")</f>
        <v/>
      </c>
      <c r="M170" s="13">
        <f>IF(C170="aFRR+",(MIN(DAMAS_Daily!C170*market_share_A*acceptance_rate*stack_activation,power_mw*hours_per_day,capacity_mwh))*DAMAS_Daily!E170*activation_mult_A,(MIN(DAMAS_Daily!D170*market_share_A*acceptance_rate*stack_activation,power_mw*hours_per_day,capacity_mwh))*DAMAS_Daily!F170*activation_mult_A)</f>
        <v/>
      </c>
      <c r="N170" s="14">
        <f>F170+M170</f>
        <v/>
      </c>
    </row>
    <row r="171">
      <c r="A171" s="41">
        <f>DAMAS_Daily!A171</f>
        <v/>
      </c>
      <c r="B171" s="42">
        <f>DAMAS_Daily!B171</f>
        <v/>
      </c>
      <c r="C171" s="42">
        <f>IF((power_mw*hours_per_day*damas_afrr_up*capacity_mult_A*stack_capacity*acceptance_rate+(MIN(DAMAS_Daily!C171*market_share_A*acceptance_rate*stack_activation,power_mw*hours_per_day,capacity_mwh))*DAMAS_Daily!E171*activation_mult_A)&gt;=(power_mw*hours_per_day*damas_afrr_down*capacity_mult_A*stack_capacity*acceptance_rate+(MIN(DAMAS_Daily!D171*market_share_A*acceptance_rate*stack_activation,power_mw*hours_per_day,capacity_mwh))*DAMAS_Daily!F171*activation_mult_A),"aFRR+","aFRR-")</f>
        <v/>
      </c>
      <c r="D171" s="43">
        <f>IF(C171="aFRR+",damas_afrr_up*capacity_mult_A,damas_afrr_down*capacity_mult_A)</f>
        <v/>
      </c>
      <c r="E171" s="44">
        <f>acceptance_rate</f>
        <v/>
      </c>
      <c r="F171" s="13">
        <f>IF(C171="aFRR+",power_mw*hours_per_day*damas_afrr_up*capacity_mult_A*stack_capacity*acceptance_rate,power_mw*hours_per_day*damas_afrr_down*capacity_mult_A*stack_capacity*acceptance_rate)</f>
        <v/>
      </c>
      <c r="G171" s="42">
        <f>IF(C171="aFRR+",DAMAS_Daily!I171,DAMAS_Daily!J171)</f>
        <v/>
      </c>
      <c r="H171" s="43">
        <f>IF(C171="aFRR+",DAMAS_Daily!E171,DAMAS_Daily!F171)</f>
        <v/>
      </c>
      <c r="I171" s="43">
        <f>IF(C171="aFRR+",DAMAS_Daily!G171,DAMAS_Daily!H171)</f>
        <v/>
      </c>
      <c r="J171" s="45">
        <f>IF(C171="aFRR+",DAMAS_Daily!C171,DAMAS_Daily!D171)</f>
        <v/>
      </c>
      <c r="K171" s="45">
        <f>IF(C171="aFRR+",MIN(DAMAS_Daily!C171*market_share_A*acceptance_rate*stack_activation,power_mw*hours_per_day,capacity_mwh),MIN(DAMAS_Daily!D171*market_share_A*acceptance_rate*stack_activation,power_mw*hours_per_day,capacity_mwh))</f>
        <v/>
      </c>
      <c r="L171" s="42">
        <f>IF(K171&gt;=capacity_mwh-0.01,"yes","no")</f>
        <v/>
      </c>
      <c r="M171" s="13">
        <f>IF(C171="aFRR+",(MIN(DAMAS_Daily!C171*market_share_A*acceptance_rate*stack_activation,power_mw*hours_per_day,capacity_mwh))*DAMAS_Daily!E171*activation_mult_A,(MIN(DAMAS_Daily!D171*market_share_A*acceptance_rate*stack_activation,power_mw*hours_per_day,capacity_mwh))*DAMAS_Daily!F171*activation_mult_A)</f>
        <v/>
      </c>
      <c r="N171" s="14">
        <f>F171+M171</f>
        <v/>
      </c>
    </row>
    <row r="172">
      <c r="A172" s="41">
        <f>DAMAS_Daily!A172</f>
        <v/>
      </c>
      <c r="B172" s="42">
        <f>DAMAS_Daily!B172</f>
        <v/>
      </c>
      <c r="C172" s="42">
        <f>IF((power_mw*hours_per_day*damas_afrr_up*capacity_mult_A*stack_capacity*acceptance_rate+(MIN(DAMAS_Daily!C172*market_share_A*acceptance_rate*stack_activation,power_mw*hours_per_day,capacity_mwh))*DAMAS_Daily!E172*activation_mult_A)&gt;=(power_mw*hours_per_day*damas_afrr_down*capacity_mult_A*stack_capacity*acceptance_rate+(MIN(DAMAS_Daily!D172*market_share_A*acceptance_rate*stack_activation,power_mw*hours_per_day,capacity_mwh))*DAMAS_Daily!F172*activation_mult_A),"aFRR+","aFRR-")</f>
        <v/>
      </c>
      <c r="D172" s="43">
        <f>IF(C172="aFRR+",damas_afrr_up*capacity_mult_A,damas_afrr_down*capacity_mult_A)</f>
        <v/>
      </c>
      <c r="E172" s="44">
        <f>acceptance_rate</f>
        <v/>
      </c>
      <c r="F172" s="13">
        <f>IF(C172="aFRR+",power_mw*hours_per_day*damas_afrr_up*capacity_mult_A*stack_capacity*acceptance_rate,power_mw*hours_per_day*damas_afrr_down*capacity_mult_A*stack_capacity*acceptance_rate)</f>
        <v/>
      </c>
      <c r="G172" s="42">
        <f>IF(C172="aFRR+",DAMAS_Daily!I172,DAMAS_Daily!J172)</f>
        <v/>
      </c>
      <c r="H172" s="43">
        <f>IF(C172="aFRR+",DAMAS_Daily!E172,DAMAS_Daily!F172)</f>
        <v/>
      </c>
      <c r="I172" s="43">
        <f>IF(C172="aFRR+",DAMAS_Daily!G172,DAMAS_Daily!H172)</f>
        <v/>
      </c>
      <c r="J172" s="45">
        <f>IF(C172="aFRR+",DAMAS_Daily!C172,DAMAS_Daily!D172)</f>
        <v/>
      </c>
      <c r="K172" s="45">
        <f>IF(C172="aFRR+",MIN(DAMAS_Daily!C172*market_share_A*acceptance_rate*stack_activation,power_mw*hours_per_day,capacity_mwh),MIN(DAMAS_Daily!D172*market_share_A*acceptance_rate*stack_activation,power_mw*hours_per_day,capacity_mwh))</f>
        <v/>
      </c>
      <c r="L172" s="42">
        <f>IF(K172&gt;=capacity_mwh-0.01,"yes","no")</f>
        <v/>
      </c>
      <c r="M172" s="13">
        <f>IF(C172="aFRR+",(MIN(DAMAS_Daily!C172*market_share_A*acceptance_rate*stack_activation,power_mw*hours_per_day,capacity_mwh))*DAMAS_Daily!E172*activation_mult_A,(MIN(DAMAS_Daily!D172*market_share_A*acceptance_rate*stack_activation,power_mw*hours_per_day,capacity_mwh))*DAMAS_Daily!F172*activation_mult_A)</f>
        <v/>
      </c>
      <c r="N172" s="14">
        <f>F172+M172</f>
        <v/>
      </c>
    </row>
    <row r="173">
      <c r="A173" s="41">
        <f>DAMAS_Daily!A173</f>
        <v/>
      </c>
      <c r="B173" s="42">
        <f>DAMAS_Daily!B173</f>
        <v/>
      </c>
      <c r="C173" s="42">
        <f>IF((power_mw*hours_per_day*damas_afrr_up*capacity_mult_A*stack_capacity*acceptance_rate+(MIN(DAMAS_Daily!C173*market_share_A*acceptance_rate*stack_activation,power_mw*hours_per_day,capacity_mwh))*DAMAS_Daily!E173*activation_mult_A)&gt;=(power_mw*hours_per_day*damas_afrr_down*capacity_mult_A*stack_capacity*acceptance_rate+(MIN(DAMAS_Daily!D173*market_share_A*acceptance_rate*stack_activation,power_mw*hours_per_day,capacity_mwh))*DAMAS_Daily!F173*activation_mult_A),"aFRR+","aFRR-")</f>
        <v/>
      </c>
      <c r="D173" s="43">
        <f>IF(C173="aFRR+",damas_afrr_up*capacity_mult_A,damas_afrr_down*capacity_mult_A)</f>
        <v/>
      </c>
      <c r="E173" s="44">
        <f>acceptance_rate</f>
        <v/>
      </c>
      <c r="F173" s="13">
        <f>IF(C173="aFRR+",power_mw*hours_per_day*damas_afrr_up*capacity_mult_A*stack_capacity*acceptance_rate,power_mw*hours_per_day*damas_afrr_down*capacity_mult_A*stack_capacity*acceptance_rate)</f>
        <v/>
      </c>
      <c r="G173" s="42">
        <f>IF(C173="aFRR+",DAMAS_Daily!I173,DAMAS_Daily!J173)</f>
        <v/>
      </c>
      <c r="H173" s="43">
        <f>IF(C173="aFRR+",DAMAS_Daily!E173,DAMAS_Daily!F173)</f>
        <v/>
      </c>
      <c r="I173" s="43">
        <f>IF(C173="aFRR+",DAMAS_Daily!G173,DAMAS_Daily!H173)</f>
        <v/>
      </c>
      <c r="J173" s="45">
        <f>IF(C173="aFRR+",DAMAS_Daily!C173,DAMAS_Daily!D173)</f>
        <v/>
      </c>
      <c r="K173" s="45">
        <f>IF(C173="aFRR+",MIN(DAMAS_Daily!C173*market_share_A*acceptance_rate*stack_activation,power_mw*hours_per_day,capacity_mwh),MIN(DAMAS_Daily!D173*market_share_A*acceptance_rate*stack_activation,power_mw*hours_per_day,capacity_mwh))</f>
        <v/>
      </c>
      <c r="L173" s="42">
        <f>IF(K173&gt;=capacity_mwh-0.01,"yes","no")</f>
        <v/>
      </c>
      <c r="M173" s="13">
        <f>IF(C173="aFRR+",(MIN(DAMAS_Daily!C173*market_share_A*acceptance_rate*stack_activation,power_mw*hours_per_day,capacity_mwh))*DAMAS_Daily!E173*activation_mult_A,(MIN(DAMAS_Daily!D173*market_share_A*acceptance_rate*stack_activation,power_mw*hours_per_day,capacity_mwh))*DAMAS_Daily!F173*activation_mult_A)</f>
        <v/>
      </c>
      <c r="N173" s="14">
        <f>F173+M173</f>
        <v/>
      </c>
    </row>
    <row r="174">
      <c r="A174" s="41">
        <f>DAMAS_Daily!A174</f>
        <v/>
      </c>
      <c r="B174" s="42">
        <f>DAMAS_Daily!B174</f>
        <v/>
      </c>
      <c r="C174" s="42">
        <f>IF((power_mw*hours_per_day*damas_afrr_up*capacity_mult_A*stack_capacity*acceptance_rate+(MIN(DAMAS_Daily!C174*market_share_A*acceptance_rate*stack_activation,power_mw*hours_per_day,capacity_mwh))*DAMAS_Daily!E174*activation_mult_A)&gt;=(power_mw*hours_per_day*damas_afrr_down*capacity_mult_A*stack_capacity*acceptance_rate+(MIN(DAMAS_Daily!D174*market_share_A*acceptance_rate*stack_activation,power_mw*hours_per_day,capacity_mwh))*DAMAS_Daily!F174*activation_mult_A),"aFRR+","aFRR-")</f>
        <v/>
      </c>
      <c r="D174" s="43">
        <f>IF(C174="aFRR+",damas_afrr_up*capacity_mult_A,damas_afrr_down*capacity_mult_A)</f>
        <v/>
      </c>
      <c r="E174" s="44">
        <f>acceptance_rate</f>
        <v/>
      </c>
      <c r="F174" s="13">
        <f>IF(C174="aFRR+",power_mw*hours_per_day*damas_afrr_up*capacity_mult_A*stack_capacity*acceptance_rate,power_mw*hours_per_day*damas_afrr_down*capacity_mult_A*stack_capacity*acceptance_rate)</f>
        <v/>
      </c>
      <c r="G174" s="42">
        <f>IF(C174="aFRR+",DAMAS_Daily!I174,DAMAS_Daily!J174)</f>
        <v/>
      </c>
      <c r="H174" s="43">
        <f>IF(C174="aFRR+",DAMAS_Daily!E174,DAMAS_Daily!F174)</f>
        <v/>
      </c>
      <c r="I174" s="43">
        <f>IF(C174="aFRR+",DAMAS_Daily!G174,DAMAS_Daily!H174)</f>
        <v/>
      </c>
      <c r="J174" s="45">
        <f>IF(C174="aFRR+",DAMAS_Daily!C174,DAMAS_Daily!D174)</f>
        <v/>
      </c>
      <c r="K174" s="45">
        <f>IF(C174="aFRR+",MIN(DAMAS_Daily!C174*market_share_A*acceptance_rate*stack_activation,power_mw*hours_per_day,capacity_mwh),MIN(DAMAS_Daily!D174*market_share_A*acceptance_rate*stack_activation,power_mw*hours_per_day,capacity_mwh))</f>
        <v/>
      </c>
      <c r="L174" s="42">
        <f>IF(K174&gt;=capacity_mwh-0.01,"yes","no")</f>
        <v/>
      </c>
      <c r="M174" s="13">
        <f>IF(C174="aFRR+",(MIN(DAMAS_Daily!C174*market_share_A*acceptance_rate*stack_activation,power_mw*hours_per_day,capacity_mwh))*DAMAS_Daily!E174*activation_mult_A,(MIN(DAMAS_Daily!D174*market_share_A*acceptance_rate*stack_activation,power_mw*hours_per_day,capacity_mwh))*DAMAS_Daily!F174*activation_mult_A)</f>
        <v/>
      </c>
      <c r="N174" s="14">
        <f>F174+M174</f>
        <v/>
      </c>
    </row>
    <row r="175">
      <c r="A175" s="41">
        <f>DAMAS_Daily!A175</f>
        <v/>
      </c>
      <c r="B175" s="42">
        <f>DAMAS_Daily!B175</f>
        <v/>
      </c>
      <c r="C175" s="42">
        <f>IF((power_mw*hours_per_day*damas_afrr_up*capacity_mult_A*stack_capacity*acceptance_rate+(MIN(DAMAS_Daily!C175*market_share_A*acceptance_rate*stack_activation,power_mw*hours_per_day,capacity_mwh))*DAMAS_Daily!E175*activation_mult_A)&gt;=(power_mw*hours_per_day*damas_afrr_down*capacity_mult_A*stack_capacity*acceptance_rate+(MIN(DAMAS_Daily!D175*market_share_A*acceptance_rate*stack_activation,power_mw*hours_per_day,capacity_mwh))*DAMAS_Daily!F175*activation_mult_A),"aFRR+","aFRR-")</f>
        <v/>
      </c>
      <c r="D175" s="43">
        <f>IF(C175="aFRR+",damas_afrr_up*capacity_mult_A,damas_afrr_down*capacity_mult_A)</f>
        <v/>
      </c>
      <c r="E175" s="44">
        <f>acceptance_rate</f>
        <v/>
      </c>
      <c r="F175" s="13">
        <f>IF(C175="aFRR+",power_mw*hours_per_day*damas_afrr_up*capacity_mult_A*stack_capacity*acceptance_rate,power_mw*hours_per_day*damas_afrr_down*capacity_mult_A*stack_capacity*acceptance_rate)</f>
        <v/>
      </c>
      <c r="G175" s="42">
        <f>IF(C175="aFRR+",DAMAS_Daily!I175,DAMAS_Daily!J175)</f>
        <v/>
      </c>
      <c r="H175" s="43">
        <f>IF(C175="aFRR+",DAMAS_Daily!E175,DAMAS_Daily!F175)</f>
        <v/>
      </c>
      <c r="I175" s="43">
        <f>IF(C175="aFRR+",DAMAS_Daily!G175,DAMAS_Daily!H175)</f>
        <v/>
      </c>
      <c r="J175" s="45">
        <f>IF(C175="aFRR+",DAMAS_Daily!C175,DAMAS_Daily!D175)</f>
        <v/>
      </c>
      <c r="K175" s="45">
        <f>IF(C175="aFRR+",MIN(DAMAS_Daily!C175*market_share_A*acceptance_rate*stack_activation,power_mw*hours_per_day,capacity_mwh),MIN(DAMAS_Daily!D175*market_share_A*acceptance_rate*stack_activation,power_mw*hours_per_day,capacity_mwh))</f>
        <v/>
      </c>
      <c r="L175" s="42">
        <f>IF(K175&gt;=capacity_mwh-0.01,"yes","no")</f>
        <v/>
      </c>
      <c r="M175" s="13">
        <f>IF(C175="aFRR+",(MIN(DAMAS_Daily!C175*market_share_A*acceptance_rate*stack_activation,power_mw*hours_per_day,capacity_mwh))*DAMAS_Daily!E175*activation_mult_A,(MIN(DAMAS_Daily!D175*market_share_A*acceptance_rate*stack_activation,power_mw*hours_per_day,capacity_mwh))*DAMAS_Daily!F175*activation_mult_A)</f>
        <v/>
      </c>
      <c r="N175" s="14">
        <f>F175+M175</f>
        <v/>
      </c>
    </row>
    <row r="176">
      <c r="A176" s="41">
        <f>DAMAS_Daily!A176</f>
        <v/>
      </c>
      <c r="B176" s="42">
        <f>DAMAS_Daily!B176</f>
        <v/>
      </c>
      <c r="C176" s="42">
        <f>IF((power_mw*hours_per_day*damas_afrr_up*capacity_mult_A*stack_capacity*acceptance_rate+(MIN(DAMAS_Daily!C176*market_share_A*acceptance_rate*stack_activation,power_mw*hours_per_day,capacity_mwh))*DAMAS_Daily!E176*activation_mult_A)&gt;=(power_mw*hours_per_day*damas_afrr_down*capacity_mult_A*stack_capacity*acceptance_rate+(MIN(DAMAS_Daily!D176*market_share_A*acceptance_rate*stack_activation,power_mw*hours_per_day,capacity_mwh))*DAMAS_Daily!F176*activation_mult_A),"aFRR+","aFRR-")</f>
        <v/>
      </c>
      <c r="D176" s="43">
        <f>IF(C176="aFRR+",damas_afrr_up*capacity_mult_A,damas_afrr_down*capacity_mult_A)</f>
        <v/>
      </c>
      <c r="E176" s="44">
        <f>acceptance_rate</f>
        <v/>
      </c>
      <c r="F176" s="13">
        <f>IF(C176="aFRR+",power_mw*hours_per_day*damas_afrr_up*capacity_mult_A*stack_capacity*acceptance_rate,power_mw*hours_per_day*damas_afrr_down*capacity_mult_A*stack_capacity*acceptance_rate)</f>
        <v/>
      </c>
      <c r="G176" s="42">
        <f>IF(C176="aFRR+",DAMAS_Daily!I176,DAMAS_Daily!J176)</f>
        <v/>
      </c>
      <c r="H176" s="43">
        <f>IF(C176="aFRR+",DAMAS_Daily!E176,DAMAS_Daily!F176)</f>
        <v/>
      </c>
      <c r="I176" s="43">
        <f>IF(C176="aFRR+",DAMAS_Daily!G176,DAMAS_Daily!H176)</f>
        <v/>
      </c>
      <c r="J176" s="45">
        <f>IF(C176="aFRR+",DAMAS_Daily!C176,DAMAS_Daily!D176)</f>
        <v/>
      </c>
      <c r="K176" s="45">
        <f>IF(C176="aFRR+",MIN(DAMAS_Daily!C176*market_share_A*acceptance_rate*stack_activation,power_mw*hours_per_day,capacity_mwh),MIN(DAMAS_Daily!D176*market_share_A*acceptance_rate*stack_activation,power_mw*hours_per_day,capacity_mwh))</f>
        <v/>
      </c>
      <c r="L176" s="42">
        <f>IF(K176&gt;=capacity_mwh-0.01,"yes","no")</f>
        <v/>
      </c>
      <c r="M176" s="13">
        <f>IF(C176="aFRR+",(MIN(DAMAS_Daily!C176*market_share_A*acceptance_rate*stack_activation,power_mw*hours_per_day,capacity_mwh))*DAMAS_Daily!E176*activation_mult_A,(MIN(DAMAS_Daily!D176*market_share_A*acceptance_rate*stack_activation,power_mw*hours_per_day,capacity_mwh))*DAMAS_Daily!F176*activation_mult_A)</f>
        <v/>
      </c>
      <c r="N176" s="14">
        <f>F176+M176</f>
        <v/>
      </c>
    </row>
    <row r="177">
      <c r="A177" s="41">
        <f>DAMAS_Daily!A177</f>
        <v/>
      </c>
      <c r="B177" s="42">
        <f>DAMAS_Daily!B177</f>
        <v/>
      </c>
      <c r="C177" s="42">
        <f>IF((power_mw*hours_per_day*damas_afrr_up*capacity_mult_A*stack_capacity*acceptance_rate+(MIN(DAMAS_Daily!C177*market_share_A*acceptance_rate*stack_activation,power_mw*hours_per_day,capacity_mwh))*DAMAS_Daily!E177*activation_mult_A)&gt;=(power_mw*hours_per_day*damas_afrr_down*capacity_mult_A*stack_capacity*acceptance_rate+(MIN(DAMAS_Daily!D177*market_share_A*acceptance_rate*stack_activation,power_mw*hours_per_day,capacity_mwh))*DAMAS_Daily!F177*activation_mult_A),"aFRR+","aFRR-")</f>
        <v/>
      </c>
      <c r="D177" s="43">
        <f>IF(C177="aFRR+",damas_afrr_up*capacity_mult_A,damas_afrr_down*capacity_mult_A)</f>
        <v/>
      </c>
      <c r="E177" s="44">
        <f>acceptance_rate</f>
        <v/>
      </c>
      <c r="F177" s="13">
        <f>IF(C177="aFRR+",power_mw*hours_per_day*damas_afrr_up*capacity_mult_A*stack_capacity*acceptance_rate,power_mw*hours_per_day*damas_afrr_down*capacity_mult_A*stack_capacity*acceptance_rate)</f>
        <v/>
      </c>
      <c r="G177" s="42">
        <f>IF(C177="aFRR+",DAMAS_Daily!I177,DAMAS_Daily!J177)</f>
        <v/>
      </c>
      <c r="H177" s="43">
        <f>IF(C177="aFRR+",DAMAS_Daily!E177,DAMAS_Daily!F177)</f>
        <v/>
      </c>
      <c r="I177" s="43">
        <f>IF(C177="aFRR+",DAMAS_Daily!G177,DAMAS_Daily!H177)</f>
        <v/>
      </c>
      <c r="J177" s="45">
        <f>IF(C177="aFRR+",DAMAS_Daily!C177,DAMAS_Daily!D177)</f>
        <v/>
      </c>
      <c r="K177" s="45">
        <f>IF(C177="aFRR+",MIN(DAMAS_Daily!C177*market_share_A*acceptance_rate*stack_activation,power_mw*hours_per_day,capacity_mwh),MIN(DAMAS_Daily!D177*market_share_A*acceptance_rate*stack_activation,power_mw*hours_per_day,capacity_mwh))</f>
        <v/>
      </c>
      <c r="L177" s="42">
        <f>IF(K177&gt;=capacity_mwh-0.01,"yes","no")</f>
        <v/>
      </c>
      <c r="M177" s="13">
        <f>IF(C177="aFRR+",(MIN(DAMAS_Daily!C177*market_share_A*acceptance_rate*stack_activation,power_mw*hours_per_day,capacity_mwh))*DAMAS_Daily!E177*activation_mult_A,(MIN(DAMAS_Daily!D177*market_share_A*acceptance_rate*stack_activation,power_mw*hours_per_day,capacity_mwh))*DAMAS_Daily!F177*activation_mult_A)</f>
        <v/>
      </c>
      <c r="N177" s="14">
        <f>F177+M177</f>
        <v/>
      </c>
    </row>
    <row r="178">
      <c r="A178" s="41">
        <f>DAMAS_Daily!A178</f>
        <v/>
      </c>
      <c r="B178" s="42">
        <f>DAMAS_Daily!B178</f>
        <v/>
      </c>
      <c r="C178" s="42">
        <f>IF((power_mw*hours_per_day*damas_afrr_up*capacity_mult_A*stack_capacity*acceptance_rate+(MIN(DAMAS_Daily!C178*market_share_A*acceptance_rate*stack_activation,power_mw*hours_per_day,capacity_mwh))*DAMAS_Daily!E178*activation_mult_A)&gt;=(power_mw*hours_per_day*damas_afrr_down*capacity_mult_A*stack_capacity*acceptance_rate+(MIN(DAMAS_Daily!D178*market_share_A*acceptance_rate*stack_activation,power_mw*hours_per_day,capacity_mwh))*DAMAS_Daily!F178*activation_mult_A),"aFRR+","aFRR-")</f>
        <v/>
      </c>
      <c r="D178" s="43">
        <f>IF(C178="aFRR+",damas_afrr_up*capacity_mult_A,damas_afrr_down*capacity_mult_A)</f>
        <v/>
      </c>
      <c r="E178" s="44">
        <f>acceptance_rate</f>
        <v/>
      </c>
      <c r="F178" s="13">
        <f>IF(C178="aFRR+",power_mw*hours_per_day*damas_afrr_up*capacity_mult_A*stack_capacity*acceptance_rate,power_mw*hours_per_day*damas_afrr_down*capacity_mult_A*stack_capacity*acceptance_rate)</f>
        <v/>
      </c>
      <c r="G178" s="42">
        <f>IF(C178="aFRR+",DAMAS_Daily!I178,DAMAS_Daily!J178)</f>
        <v/>
      </c>
      <c r="H178" s="43">
        <f>IF(C178="aFRR+",DAMAS_Daily!E178,DAMAS_Daily!F178)</f>
        <v/>
      </c>
      <c r="I178" s="43">
        <f>IF(C178="aFRR+",DAMAS_Daily!G178,DAMAS_Daily!H178)</f>
        <v/>
      </c>
      <c r="J178" s="45">
        <f>IF(C178="aFRR+",DAMAS_Daily!C178,DAMAS_Daily!D178)</f>
        <v/>
      </c>
      <c r="K178" s="45">
        <f>IF(C178="aFRR+",MIN(DAMAS_Daily!C178*market_share_A*acceptance_rate*stack_activation,power_mw*hours_per_day,capacity_mwh),MIN(DAMAS_Daily!D178*market_share_A*acceptance_rate*stack_activation,power_mw*hours_per_day,capacity_mwh))</f>
        <v/>
      </c>
      <c r="L178" s="42">
        <f>IF(K178&gt;=capacity_mwh-0.01,"yes","no")</f>
        <v/>
      </c>
      <c r="M178" s="13">
        <f>IF(C178="aFRR+",(MIN(DAMAS_Daily!C178*market_share_A*acceptance_rate*stack_activation,power_mw*hours_per_day,capacity_mwh))*DAMAS_Daily!E178*activation_mult_A,(MIN(DAMAS_Daily!D178*market_share_A*acceptance_rate*stack_activation,power_mw*hours_per_day,capacity_mwh))*DAMAS_Daily!F178*activation_mult_A)</f>
        <v/>
      </c>
      <c r="N178" s="14">
        <f>F178+M178</f>
        <v/>
      </c>
    </row>
    <row r="179">
      <c r="A179" s="41">
        <f>DAMAS_Daily!A179</f>
        <v/>
      </c>
      <c r="B179" s="42">
        <f>DAMAS_Daily!B179</f>
        <v/>
      </c>
      <c r="C179" s="42">
        <f>IF((power_mw*hours_per_day*damas_afrr_up*capacity_mult_A*stack_capacity*acceptance_rate+(MIN(DAMAS_Daily!C179*market_share_A*acceptance_rate*stack_activation,power_mw*hours_per_day,capacity_mwh))*DAMAS_Daily!E179*activation_mult_A)&gt;=(power_mw*hours_per_day*damas_afrr_down*capacity_mult_A*stack_capacity*acceptance_rate+(MIN(DAMAS_Daily!D179*market_share_A*acceptance_rate*stack_activation,power_mw*hours_per_day,capacity_mwh))*DAMAS_Daily!F179*activation_mult_A),"aFRR+","aFRR-")</f>
        <v/>
      </c>
      <c r="D179" s="43">
        <f>IF(C179="aFRR+",damas_afrr_up*capacity_mult_A,damas_afrr_down*capacity_mult_A)</f>
        <v/>
      </c>
      <c r="E179" s="44">
        <f>acceptance_rate</f>
        <v/>
      </c>
      <c r="F179" s="13">
        <f>IF(C179="aFRR+",power_mw*hours_per_day*damas_afrr_up*capacity_mult_A*stack_capacity*acceptance_rate,power_mw*hours_per_day*damas_afrr_down*capacity_mult_A*stack_capacity*acceptance_rate)</f>
        <v/>
      </c>
      <c r="G179" s="42">
        <f>IF(C179="aFRR+",DAMAS_Daily!I179,DAMAS_Daily!J179)</f>
        <v/>
      </c>
      <c r="H179" s="43">
        <f>IF(C179="aFRR+",DAMAS_Daily!E179,DAMAS_Daily!F179)</f>
        <v/>
      </c>
      <c r="I179" s="43">
        <f>IF(C179="aFRR+",DAMAS_Daily!G179,DAMAS_Daily!H179)</f>
        <v/>
      </c>
      <c r="J179" s="45">
        <f>IF(C179="aFRR+",DAMAS_Daily!C179,DAMAS_Daily!D179)</f>
        <v/>
      </c>
      <c r="K179" s="45">
        <f>IF(C179="aFRR+",MIN(DAMAS_Daily!C179*market_share_A*acceptance_rate*stack_activation,power_mw*hours_per_day,capacity_mwh),MIN(DAMAS_Daily!D179*market_share_A*acceptance_rate*stack_activation,power_mw*hours_per_day,capacity_mwh))</f>
        <v/>
      </c>
      <c r="L179" s="42">
        <f>IF(K179&gt;=capacity_mwh-0.01,"yes","no")</f>
        <v/>
      </c>
      <c r="M179" s="13">
        <f>IF(C179="aFRR+",(MIN(DAMAS_Daily!C179*market_share_A*acceptance_rate*stack_activation,power_mw*hours_per_day,capacity_mwh))*DAMAS_Daily!E179*activation_mult_A,(MIN(DAMAS_Daily!D179*market_share_A*acceptance_rate*stack_activation,power_mw*hours_per_day,capacity_mwh))*DAMAS_Daily!F179*activation_mult_A)</f>
        <v/>
      </c>
      <c r="N179" s="14">
        <f>F179+M179</f>
        <v/>
      </c>
    </row>
    <row r="180">
      <c r="A180" s="41">
        <f>DAMAS_Daily!A180</f>
        <v/>
      </c>
      <c r="B180" s="42">
        <f>DAMAS_Daily!B180</f>
        <v/>
      </c>
      <c r="C180" s="42">
        <f>IF((power_mw*hours_per_day*damas_afrr_up*capacity_mult_A*stack_capacity*acceptance_rate+(MIN(DAMAS_Daily!C180*market_share_A*acceptance_rate*stack_activation,power_mw*hours_per_day,capacity_mwh))*DAMAS_Daily!E180*activation_mult_A)&gt;=(power_mw*hours_per_day*damas_afrr_down*capacity_mult_A*stack_capacity*acceptance_rate+(MIN(DAMAS_Daily!D180*market_share_A*acceptance_rate*stack_activation,power_mw*hours_per_day,capacity_mwh))*DAMAS_Daily!F180*activation_mult_A),"aFRR+","aFRR-")</f>
        <v/>
      </c>
      <c r="D180" s="43">
        <f>IF(C180="aFRR+",damas_afrr_up*capacity_mult_A,damas_afrr_down*capacity_mult_A)</f>
        <v/>
      </c>
      <c r="E180" s="44">
        <f>acceptance_rate</f>
        <v/>
      </c>
      <c r="F180" s="13">
        <f>IF(C180="aFRR+",power_mw*hours_per_day*damas_afrr_up*capacity_mult_A*stack_capacity*acceptance_rate,power_mw*hours_per_day*damas_afrr_down*capacity_mult_A*stack_capacity*acceptance_rate)</f>
        <v/>
      </c>
      <c r="G180" s="42">
        <f>IF(C180="aFRR+",DAMAS_Daily!I180,DAMAS_Daily!J180)</f>
        <v/>
      </c>
      <c r="H180" s="43">
        <f>IF(C180="aFRR+",DAMAS_Daily!E180,DAMAS_Daily!F180)</f>
        <v/>
      </c>
      <c r="I180" s="43">
        <f>IF(C180="aFRR+",DAMAS_Daily!G180,DAMAS_Daily!H180)</f>
        <v/>
      </c>
      <c r="J180" s="45">
        <f>IF(C180="aFRR+",DAMAS_Daily!C180,DAMAS_Daily!D180)</f>
        <v/>
      </c>
      <c r="K180" s="45">
        <f>IF(C180="aFRR+",MIN(DAMAS_Daily!C180*market_share_A*acceptance_rate*stack_activation,power_mw*hours_per_day,capacity_mwh),MIN(DAMAS_Daily!D180*market_share_A*acceptance_rate*stack_activation,power_mw*hours_per_day,capacity_mwh))</f>
        <v/>
      </c>
      <c r="L180" s="42">
        <f>IF(K180&gt;=capacity_mwh-0.01,"yes","no")</f>
        <v/>
      </c>
      <c r="M180" s="13">
        <f>IF(C180="aFRR+",(MIN(DAMAS_Daily!C180*market_share_A*acceptance_rate*stack_activation,power_mw*hours_per_day,capacity_mwh))*DAMAS_Daily!E180*activation_mult_A,(MIN(DAMAS_Daily!D180*market_share_A*acceptance_rate*stack_activation,power_mw*hours_per_day,capacity_mwh))*DAMAS_Daily!F180*activation_mult_A)</f>
        <v/>
      </c>
      <c r="N180" s="14">
        <f>F180+M180</f>
        <v/>
      </c>
    </row>
    <row r="181">
      <c r="A181" s="41">
        <f>DAMAS_Daily!A181</f>
        <v/>
      </c>
      <c r="B181" s="42">
        <f>DAMAS_Daily!B181</f>
        <v/>
      </c>
      <c r="C181" s="42">
        <f>IF((power_mw*hours_per_day*damas_afrr_up*capacity_mult_A*stack_capacity*acceptance_rate+(MIN(DAMAS_Daily!C181*market_share_A*acceptance_rate*stack_activation,power_mw*hours_per_day,capacity_mwh))*DAMAS_Daily!E181*activation_mult_A)&gt;=(power_mw*hours_per_day*damas_afrr_down*capacity_mult_A*stack_capacity*acceptance_rate+(MIN(DAMAS_Daily!D181*market_share_A*acceptance_rate*stack_activation,power_mw*hours_per_day,capacity_mwh))*DAMAS_Daily!F181*activation_mult_A),"aFRR+","aFRR-")</f>
        <v/>
      </c>
      <c r="D181" s="43">
        <f>IF(C181="aFRR+",damas_afrr_up*capacity_mult_A,damas_afrr_down*capacity_mult_A)</f>
        <v/>
      </c>
      <c r="E181" s="44">
        <f>acceptance_rate</f>
        <v/>
      </c>
      <c r="F181" s="13">
        <f>IF(C181="aFRR+",power_mw*hours_per_day*damas_afrr_up*capacity_mult_A*stack_capacity*acceptance_rate,power_mw*hours_per_day*damas_afrr_down*capacity_mult_A*stack_capacity*acceptance_rate)</f>
        <v/>
      </c>
      <c r="G181" s="42">
        <f>IF(C181="aFRR+",DAMAS_Daily!I181,DAMAS_Daily!J181)</f>
        <v/>
      </c>
      <c r="H181" s="43">
        <f>IF(C181="aFRR+",DAMAS_Daily!E181,DAMAS_Daily!F181)</f>
        <v/>
      </c>
      <c r="I181" s="43">
        <f>IF(C181="aFRR+",DAMAS_Daily!G181,DAMAS_Daily!H181)</f>
        <v/>
      </c>
      <c r="J181" s="45">
        <f>IF(C181="aFRR+",DAMAS_Daily!C181,DAMAS_Daily!D181)</f>
        <v/>
      </c>
      <c r="K181" s="45">
        <f>IF(C181="aFRR+",MIN(DAMAS_Daily!C181*market_share_A*acceptance_rate*stack_activation,power_mw*hours_per_day,capacity_mwh),MIN(DAMAS_Daily!D181*market_share_A*acceptance_rate*stack_activation,power_mw*hours_per_day,capacity_mwh))</f>
        <v/>
      </c>
      <c r="L181" s="42">
        <f>IF(K181&gt;=capacity_mwh-0.01,"yes","no")</f>
        <v/>
      </c>
      <c r="M181" s="13">
        <f>IF(C181="aFRR+",(MIN(DAMAS_Daily!C181*market_share_A*acceptance_rate*stack_activation,power_mw*hours_per_day,capacity_mwh))*DAMAS_Daily!E181*activation_mult_A,(MIN(DAMAS_Daily!D181*market_share_A*acceptance_rate*stack_activation,power_mw*hours_per_day,capacity_mwh))*DAMAS_Daily!F181*activation_mult_A)</f>
        <v/>
      </c>
      <c r="N181" s="14">
        <f>F181+M181</f>
        <v/>
      </c>
    </row>
    <row r="182">
      <c r="A182" s="41">
        <f>DAMAS_Daily!A182</f>
        <v/>
      </c>
      <c r="B182" s="42">
        <f>DAMAS_Daily!B182</f>
        <v/>
      </c>
      <c r="C182" s="42">
        <f>IF((power_mw*hours_per_day*damas_afrr_up*capacity_mult_A*stack_capacity*acceptance_rate+(MIN(DAMAS_Daily!C182*market_share_A*acceptance_rate*stack_activation,power_mw*hours_per_day,capacity_mwh))*DAMAS_Daily!E182*activation_mult_A)&gt;=(power_mw*hours_per_day*damas_afrr_down*capacity_mult_A*stack_capacity*acceptance_rate+(MIN(DAMAS_Daily!D182*market_share_A*acceptance_rate*stack_activation,power_mw*hours_per_day,capacity_mwh))*DAMAS_Daily!F182*activation_mult_A),"aFRR+","aFRR-")</f>
        <v/>
      </c>
      <c r="D182" s="43">
        <f>IF(C182="aFRR+",damas_afrr_up*capacity_mult_A,damas_afrr_down*capacity_mult_A)</f>
        <v/>
      </c>
      <c r="E182" s="44">
        <f>acceptance_rate</f>
        <v/>
      </c>
      <c r="F182" s="13">
        <f>IF(C182="aFRR+",power_mw*hours_per_day*damas_afrr_up*capacity_mult_A*stack_capacity*acceptance_rate,power_mw*hours_per_day*damas_afrr_down*capacity_mult_A*stack_capacity*acceptance_rate)</f>
        <v/>
      </c>
      <c r="G182" s="42">
        <f>IF(C182="aFRR+",DAMAS_Daily!I182,DAMAS_Daily!J182)</f>
        <v/>
      </c>
      <c r="H182" s="43">
        <f>IF(C182="aFRR+",DAMAS_Daily!E182,DAMAS_Daily!F182)</f>
        <v/>
      </c>
      <c r="I182" s="43">
        <f>IF(C182="aFRR+",DAMAS_Daily!G182,DAMAS_Daily!H182)</f>
        <v/>
      </c>
      <c r="J182" s="45">
        <f>IF(C182="aFRR+",DAMAS_Daily!C182,DAMAS_Daily!D182)</f>
        <v/>
      </c>
      <c r="K182" s="45">
        <f>IF(C182="aFRR+",MIN(DAMAS_Daily!C182*market_share_A*acceptance_rate*stack_activation,power_mw*hours_per_day,capacity_mwh),MIN(DAMAS_Daily!D182*market_share_A*acceptance_rate*stack_activation,power_mw*hours_per_day,capacity_mwh))</f>
        <v/>
      </c>
      <c r="L182" s="42">
        <f>IF(K182&gt;=capacity_mwh-0.01,"yes","no")</f>
        <v/>
      </c>
      <c r="M182" s="13">
        <f>IF(C182="aFRR+",(MIN(DAMAS_Daily!C182*market_share_A*acceptance_rate*stack_activation,power_mw*hours_per_day,capacity_mwh))*DAMAS_Daily!E182*activation_mult_A,(MIN(DAMAS_Daily!D182*market_share_A*acceptance_rate*stack_activation,power_mw*hours_per_day,capacity_mwh))*DAMAS_Daily!F182*activation_mult_A)</f>
        <v/>
      </c>
      <c r="N182" s="14">
        <f>F182+M182</f>
        <v/>
      </c>
    </row>
    <row r="183">
      <c r="A183" s="41">
        <f>DAMAS_Daily!A183</f>
        <v/>
      </c>
      <c r="B183" s="42">
        <f>DAMAS_Daily!B183</f>
        <v/>
      </c>
      <c r="C183" s="42">
        <f>IF((power_mw*hours_per_day*damas_afrr_up*capacity_mult_A*stack_capacity*acceptance_rate+(MIN(DAMAS_Daily!C183*market_share_A*acceptance_rate*stack_activation,power_mw*hours_per_day,capacity_mwh))*DAMAS_Daily!E183*activation_mult_A)&gt;=(power_mw*hours_per_day*damas_afrr_down*capacity_mult_A*stack_capacity*acceptance_rate+(MIN(DAMAS_Daily!D183*market_share_A*acceptance_rate*stack_activation,power_mw*hours_per_day,capacity_mwh))*DAMAS_Daily!F183*activation_mult_A),"aFRR+","aFRR-")</f>
        <v/>
      </c>
      <c r="D183" s="43">
        <f>IF(C183="aFRR+",damas_afrr_up*capacity_mult_A,damas_afrr_down*capacity_mult_A)</f>
        <v/>
      </c>
      <c r="E183" s="44">
        <f>acceptance_rate</f>
        <v/>
      </c>
      <c r="F183" s="13">
        <f>IF(C183="aFRR+",power_mw*hours_per_day*damas_afrr_up*capacity_mult_A*stack_capacity*acceptance_rate,power_mw*hours_per_day*damas_afrr_down*capacity_mult_A*stack_capacity*acceptance_rate)</f>
        <v/>
      </c>
      <c r="G183" s="42">
        <f>IF(C183="aFRR+",DAMAS_Daily!I183,DAMAS_Daily!J183)</f>
        <v/>
      </c>
      <c r="H183" s="43">
        <f>IF(C183="aFRR+",DAMAS_Daily!E183,DAMAS_Daily!F183)</f>
        <v/>
      </c>
      <c r="I183" s="43">
        <f>IF(C183="aFRR+",DAMAS_Daily!G183,DAMAS_Daily!H183)</f>
        <v/>
      </c>
      <c r="J183" s="45">
        <f>IF(C183="aFRR+",DAMAS_Daily!C183,DAMAS_Daily!D183)</f>
        <v/>
      </c>
      <c r="K183" s="45">
        <f>IF(C183="aFRR+",MIN(DAMAS_Daily!C183*market_share_A*acceptance_rate*stack_activation,power_mw*hours_per_day,capacity_mwh),MIN(DAMAS_Daily!D183*market_share_A*acceptance_rate*stack_activation,power_mw*hours_per_day,capacity_mwh))</f>
        <v/>
      </c>
      <c r="L183" s="42">
        <f>IF(K183&gt;=capacity_mwh-0.01,"yes","no")</f>
        <v/>
      </c>
      <c r="M183" s="13">
        <f>IF(C183="aFRR+",(MIN(DAMAS_Daily!C183*market_share_A*acceptance_rate*stack_activation,power_mw*hours_per_day,capacity_mwh))*DAMAS_Daily!E183*activation_mult_A,(MIN(DAMAS_Daily!D183*market_share_A*acceptance_rate*stack_activation,power_mw*hours_per_day,capacity_mwh))*DAMAS_Daily!F183*activation_mult_A)</f>
        <v/>
      </c>
      <c r="N183" s="14">
        <f>F183+M183</f>
        <v/>
      </c>
    </row>
    <row r="184">
      <c r="A184" s="41">
        <f>DAMAS_Daily!A184</f>
        <v/>
      </c>
      <c r="B184" s="42">
        <f>DAMAS_Daily!B184</f>
        <v/>
      </c>
      <c r="C184" s="42">
        <f>IF((power_mw*hours_per_day*damas_afrr_up*capacity_mult_A*stack_capacity*acceptance_rate+(MIN(DAMAS_Daily!C184*market_share_A*acceptance_rate*stack_activation,power_mw*hours_per_day,capacity_mwh))*DAMAS_Daily!E184*activation_mult_A)&gt;=(power_mw*hours_per_day*damas_afrr_down*capacity_mult_A*stack_capacity*acceptance_rate+(MIN(DAMAS_Daily!D184*market_share_A*acceptance_rate*stack_activation,power_mw*hours_per_day,capacity_mwh))*DAMAS_Daily!F184*activation_mult_A),"aFRR+","aFRR-")</f>
        <v/>
      </c>
      <c r="D184" s="43">
        <f>IF(C184="aFRR+",damas_afrr_up*capacity_mult_A,damas_afrr_down*capacity_mult_A)</f>
        <v/>
      </c>
      <c r="E184" s="44">
        <f>acceptance_rate</f>
        <v/>
      </c>
      <c r="F184" s="13">
        <f>IF(C184="aFRR+",power_mw*hours_per_day*damas_afrr_up*capacity_mult_A*stack_capacity*acceptance_rate,power_mw*hours_per_day*damas_afrr_down*capacity_mult_A*stack_capacity*acceptance_rate)</f>
        <v/>
      </c>
      <c r="G184" s="42">
        <f>IF(C184="aFRR+",DAMAS_Daily!I184,DAMAS_Daily!J184)</f>
        <v/>
      </c>
      <c r="H184" s="43">
        <f>IF(C184="aFRR+",DAMAS_Daily!E184,DAMAS_Daily!F184)</f>
        <v/>
      </c>
      <c r="I184" s="43">
        <f>IF(C184="aFRR+",DAMAS_Daily!G184,DAMAS_Daily!H184)</f>
        <v/>
      </c>
      <c r="J184" s="45">
        <f>IF(C184="aFRR+",DAMAS_Daily!C184,DAMAS_Daily!D184)</f>
        <v/>
      </c>
      <c r="K184" s="45">
        <f>IF(C184="aFRR+",MIN(DAMAS_Daily!C184*market_share_A*acceptance_rate*stack_activation,power_mw*hours_per_day,capacity_mwh),MIN(DAMAS_Daily!D184*market_share_A*acceptance_rate*stack_activation,power_mw*hours_per_day,capacity_mwh))</f>
        <v/>
      </c>
      <c r="L184" s="42">
        <f>IF(K184&gt;=capacity_mwh-0.01,"yes","no")</f>
        <v/>
      </c>
      <c r="M184" s="13">
        <f>IF(C184="aFRR+",(MIN(DAMAS_Daily!C184*market_share_A*acceptance_rate*stack_activation,power_mw*hours_per_day,capacity_mwh))*DAMAS_Daily!E184*activation_mult_A,(MIN(DAMAS_Daily!D184*market_share_A*acceptance_rate*stack_activation,power_mw*hours_per_day,capacity_mwh))*DAMAS_Daily!F184*activation_mult_A)</f>
        <v/>
      </c>
      <c r="N184" s="14">
        <f>F184+M184</f>
        <v/>
      </c>
    </row>
    <row r="185">
      <c r="A185" s="41">
        <f>DAMAS_Daily!A185</f>
        <v/>
      </c>
      <c r="B185" s="42">
        <f>DAMAS_Daily!B185</f>
        <v/>
      </c>
      <c r="C185" s="42">
        <f>IF((power_mw*hours_per_day*damas_afrr_up*capacity_mult_A*stack_capacity*acceptance_rate+(MIN(DAMAS_Daily!C185*market_share_A*acceptance_rate*stack_activation,power_mw*hours_per_day,capacity_mwh))*DAMAS_Daily!E185*activation_mult_A)&gt;=(power_mw*hours_per_day*damas_afrr_down*capacity_mult_A*stack_capacity*acceptance_rate+(MIN(DAMAS_Daily!D185*market_share_A*acceptance_rate*stack_activation,power_mw*hours_per_day,capacity_mwh))*DAMAS_Daily!F185*activation_mult_A),"aFRR+","aFRR-")</f>
        <v/>
      </c>
      <c r="D185" s="43">
        <f>IF(C185="aFRR+",damas_afrr_up*capacity_mult_A,damas_afrr_down*capacity_mult_A)</f>
        <v/>
      </c>
      <c r="E185" s="44">
        <f>acceptance_rate</f>
        <v/>
      </c>
      <c r="F185" s="13">
        <f>IF(C185="aFRR+",power_mw*hours_per_day*damas_afrr_up*capacity_mult_A*stack_capacity*acceptance_rate,power_mw*hours_per_day*damas_afrr_down*capacity_mult_A*stack_capacity*acceptance_rate)</f>
        <v/>
      </c>
      <c r="G185" s="42">
        <f>IF(C185="aFRR+",DAMAS_Daily!I185,DAMAS_Daily!J185)</f>
        <v/>
      </c>
      <c r="H185" s="43">
        <f>IF(C185="aFRR+",DAMAS_Daily!E185,DAMAS_Daily!F185)</f>
        <v/>
      </c>
      <c r="I185" s="43">
        <f>IF(C185="aFRR+",DAMAS_Daily!G185,DAMAS_Daily!H185)</f>
        <v/>
      </c>
      <c r="J185" s="45">
        <f>IF(C185="aFRR+",DAMAS_Daily!C185,DAMAS_Daily!D185)</f>
        <v/>
      </c>
      <c r="K185" s="45">
        <f>IF(C185="aFRR+",MIN(DAMAS_Daily!C185*market_share_A*acceptance_rate*stack_activation,power_mw*hours_per_day,capacity_mwh),MIN(DAMAS_Daily!D185*market_share_A*acceptance_rate*stack_activation,power_mw*hours_per_day,capacity_mwh))</f>
        <v/>
      </c>
      <c r="L185" s="42">
        <f>IF(K185&gt;=capacity_mwh-0.01,"yes","no")</f>
        <v/>
      </c>
      <c r="M185" s="13">
        <f>IF(C185="aFRR+",(MIN(DAMAS_Daily!C185*market_share_A*acceptance_rate*stack_activation,power_mw*hours_per_day,capacity_mwh))*DAMAS_Daily!E185*activation_mult_A,(MIN(DAMAS_Daily!D185*market_share_A*acceptance_rate*stack_activation,power_mw*hours_per_day,capacity_mwh))*DAMAS_Daily!F185*activation_mult_A)</f>
        <v/>
      </c>
      <c r="N185" s="14">
        <f>F185+M185</f>
        <v/>
      </c>
    </row>
    <row r="186">
      <c r="A186" s="41">
        <f>DAMAS_Daily!A186</f>
        <v/>
      </c>
      <c r="B186" s="42">
        <f>DAMAS_Daily!B186</f>
        <v/>
      </c>
      <c r="C186" s="42">
        <f>IF((power_mw*hours_per_day*damas_afrr_up*capacity_mult_A*stack_capacity*acceptance_rate+(MIN(DAMAS_Daily!C186*market_share_A*acceptance_rate*stack_activation,power_mw*hours_per_day,capacity_mwh))*DAMAS_Daily!E186*activation_mult_A)&gt;=(power_mw*hours_per_day*damas_afrr_down*capacity_mult_A*stack_capacity*acceptance_rate+(MIN(DAMAS_Daily!D186*market_share_A*acceptance_rate*stack_activation,power_mw*hours_per_day,capacity_mwh))*DAMAS_Daily!F186*activation_mult_A),"aFRR+","aFRR-")</f>
        <v/>
      </c>
      <c r="D186" s="43">
        <f>IF(C186="aFRR+",damas_afrr_up*capacity_mult_A,damas_afrr_down*capacity_mult_A)</f>
        <v/>
      </c>
      <c r="E186" s="44">
        <f>acceptance_rate</f>
        <v/>
      </c>
      <c r="F186" s="13">
        <f>IF(C186="aFRR+",power_mw*hours_per_day*damas_afrr_up*capacity_mult_A*stack_capacity*acceptance_rate,power_mw*hours_per_day*damas_afrr_down*capacity_mult_A*stack_capacity*acceptance_rate)</f>
        <v/>
      </c>
      <c r="G186" s="42">
        <f>IF(C186="aFRR+",DAMAS_Daily!I186,DAMAS_Daily!J186)</f>
        <v/>
      </c>
      <c r="H186" s="43">
        <f>IF(C186="aFRR+",DAMAS_Daily!E186,DAMAS_Daily!F186)</f>
        <v/>
      </c>
      <c r="I186" s="43">
        <f>IF(C186="aFRR+",DAMAS_Daily!G186,DAMAS_Daily!H186)</f>
        <v/>
      </c>
      <c r="J186" s="45">
        <f>IF(C186="aFRR+",DAMAS_Daily!C186,DAMAS_Daily!D186)</f>
        <v/>
      </c>
      <c r="K186" s="45">
        <f>IF(C186="aFRR+",MIN(DAMAS_Daily!C186*market_share_A*acceptance_rate*stack_activation,power_mw*hours_per_day,capacity_mwh),MIN(DAMAS_Daily!D186*market_share_A*acceptance_rate*stack_activation,power_mw*hours_per_day,capacity_mwh))</f>
        <v/>
      </c>
      <c r="L186" s="42">
        <f>IF(K186&gt;=capacity_mwh-0.01,"yes","no")</f>
        <v/>
      </c>
      <c r="M186" s="13">
        <f>IF(C186="aFRR+",(MIN(DAMAS_Daily!C186*market_share_A*acceptance_rate*stack_activation,power_mw*hours_per_day,capacity_mwh))*DAMAS_Daily!E186*activation_mult_A,(MIN(DAMAS_Daily!D186*market_share_A*acceptance_rate*stack_activation,power_mw*hours_per_day,capacity_mwh))*DAMAS_Daily!F186*activation_mult_A)</f>
        <v/>
      </c>
      <c r="N186" s="14">
        <f>F186+M186</f>
        <v/>
      </c>
    </row>
    <row r="187">
      <c r="A187" s="41">
        <f>DAMAS_Daily!A187</f>
        <v/>
      </c>
      <c r="B187" s="42">
        <f>DAMAS_Daily!B187</f>
        <v/>
      </c>
      <c r="C187" s="42">
        <f>IF((power_mw*hours_per_day*damas_afrr_up*capacity_mult_A*stack_capacity*acceptance_rate+(MIN(DAMAS_Daily!C187*market_share_A*acceptance_rate*stack_activation,power_mw*hours_per_day,capacity_mwh))*DAMAS_Daily!E187*activation_mult_A)&gt;=(power_mw*hours_per_day*damas_afrr_down*capacity_mult_A*stack_capacity*acceptance_rate+(MIN(DAMAS_Daily!D187*market_share_A*acceptance_rate*stack_activation,power_mw*hours_per_day,capacity_mwh))*DAMAS_Daily!F187*activation_mult_A),"aFRR+","aFRR-")</f>
        <v/>
      </c>
      <c r="D187" s="43">
        <f>IF(C187="aFRR+",damas_afrr_up*capacity_mult_A,damas_afrr_down*capacity_mult_A)</f>
        <v/>
      </c>
      <c r="E187" s="44">
        <f>acceptance_rate</f>
        <v/>
      </c>
      <c r="F187" s="13">
        <f>IF(C187="aFRR+",power_mw*hours_per_day*damas_afrr_up*capacity_mult_A*stack_capacity*acceptance_rate,power_mw*hours_per_day*damas_afrr_down*capacity_mult_A*stack_capacity*acceptance_rate)</f>
        <v/>
      </c>
      <c r="G187" s="42">
        <f>IF(C187="aFRR+",DAMAS_Daily!I187,DAMAS_Daily!J187)</f>
        <v/>
      </c>
      <c r="H187" s="43">
        <f>IF(C187="aFRR+",DAMAS_Daily!E187,DAMAS_Daily!F187)</f>
        <v/>
      </c>
      <c r="I187" s="43">
        <f>IF(C187="aFRR+",DAMAS_Daily!G187,DAMAS_Daily!H187)</f>
        <v/>
      </c>
      <c r="J187" s="45">
        <f>IF(C187="aFRR+",DAMAS_Daily!C187,DAMAS_Daily!D187)</f>
        <v/>
      </c>
      <c r="K187" s="45">
        <f>IF(C187="aFRR+",MIN(DAMAS_Daily!C187*market_share_A*acceptance_rate*stack_activation,power_mw*hours_per_day,capacity_mwh),MIN(DAMAS_Daily!D187*market_share_A*acceptance_rate*stack_activation,power_mw*hours_per_day,capacity_mwh))</f>
        <v/>
      </c>
      <c r="L187" s="42">
        <f>IF(K187&gt;=capacity_mwh-0.01,"yes","no")</f>
        <v/>
      </c>
      <c r="M187" s="13">
        <f>IF(C187="aFRR+",(MIN(DAMAS_Daily!C187*market_share_A*acceptance_rate*stack_activation,power_mw*hours_per_day,capacity_mwh))*DAMAS_Daily!E187*activation_mult_A,(MIN(DAMAS_Daily!D187*market_share_A*acceptance_rate*stack_activation,power_mw*hours_per_day,capacity_mwh))*DAMAS_Daily!F187*activation_mult_A)</f>
        <v/>
      </c>
      <c r="N187" s="14">
        <f>F187+M187</f>
        <v/>
      </c>
    </row>
    <row r="188">
      <c r="A188" s="41">
        <f>DAMAS_Daily!A188</f>
        <v/>
      </c>
      <c r="B188" s="42">
        <f>DAMAS_Daily!B188</f>
        <v/>
      </c>
      <c r="C188" s="42">
        <f>IF((power_mw*hours_per_day*damas_afrr_up*capacity_mult_A*stack_capacity*acceptance_rate+(MIN(DAMAS_Daily!C188*market_share_A*acceptance_rate*stack_activation,power_mw*hours_per_day,capacity_mwh))*DAMAS_Daily!E188*activation_mult_A)&gt;=(power_mw*hours_per_day*damas_afrr_down*capacity_mult_A*stack_capacity*acceptance_rate+(MIN(DAMAS_Daily!D188*market_share_A*acceptance_rate*stack_activation,power_mw*hours_per_day,capacity_mwh))*DAMAS_Daily!F188*activation_mult_A),"aFRR+","aFRR-")</f>
        <v/>
      </c>
      <c r="D188" s="43">
        <f>IF(C188="aFRR+",damas_afrr_up*capacity_mult_A,damas_afrr_down*capacity_mult_A)</f>
        <v/>
      </c>
      <c r="E188" s="44">
        <f>acceptance_rate</f>
        <v/>
      </c>
      <c r="F188" s="13">
        <f>IF(C188="aFRR+",power_mw*hours_per_day*damas_afrr_up*capacity_mult_A*stack_capacity*acceptance_rate,power_mw*hours_per_day*damas_afrr_down*capacity_mult_A*stack_capacity*acceptance_rate)</f>
        <v/>
      </c>
      <c r="G188" s="42">
        <f>IF(C188="aFRR+",DAMAS_Daily!I188,DAMAS_Daily!J188)</f>
        <v/>
      </c>
      <c r="H188" s="43">
        <f>IF(C188="aFRR+",DAMAS_Daily!E188,DAMAS_Daily!F188)</f>
        <v/>
      </c>
      <c r="I188" s="43">
        <f>IF(C188="aFRR+",DAMAS_Daily!G188,DAMAS_Daily!H188)</f>
        <v/>
      </c>
      <c r="J188" s="45">
        <f>IF(C188="aFRR+",DAMAS_Daily!C188,DAMAS_Daily!D188)</f>
        <v/>
      </c>
      <c r="K188" s="45">
        <f>IF(C188="aFRR+",MIN(DAMAS_Daily!C188*market_share_A*acceptance_rate*stack_activation,power_mw*hours_per_day,capacity_mwh),MIN(DAMAS_Daily!D188*market_share_A*acceptance_rate*stack_activation,power_mw*hours_per_day,capacity_mwh))</f>
        <v/>
      </c>
      <c r="L188" s="42">
        <f>IF(K188&gt;=capacity_mwh-0.01,"yes","no")</f>
        <v/>
      </c>
      <c r="M188" s="13">
        <f>IF(C188="aFRR+",(MIN(DAMAS_Daily!C188*market_share_A*acceptance_rate*stack_activation,power_mw*hours_per_day,capacity_mwh))*DAMAS_Daily!E188*activation_mult_A,(MIN(DAMAS_Daily!D188*market_share_A*acceptance_rate*stack_activation,power_mw*hours_per_day,capacity_mwh))*DAMAS_Daily!F188*activation_mult_A)</f>
        <v/>
      </c>
      <c r="N188" s="14">
        <f>F188+M188</f>
        <v/>
      </c>
    </row>
    <row r="189">
      <c r="A189" s="41">
        <f>DAMAS_Daily!A189</f>
        <v/>
      </c>
      <c r="B189" s="42">
        <f>DAMAS_Daily!B189</f>
        <v/>
      </c>
      <c r="C189" s="42">
        <f>IF((power_mw*hours_per_day*damas_afrr_up*capacity_mult_A*stack_capacity*acceptance_rate+(MIN(DAMAS_Daily!C189*market_share_A*acceptance_rate*stack_activation,power_mw*hours_per_day,capacity_mwh))*DAMAS_Daily!E189*activation_mult_A)&gt;=(power_mw*hours_per_day*damas_afrr_down*capacity_mult_A*stack_capacity*acceptance_rate+(MIN(DAMAS_Daily!D189*market_share_A*acceptance_rate*stack_activation,power_mw*hours_per_day,capacity_mwh))*DAMAS_Daily!F189*activation_mult_A),"aFRR+","aFRR-")</f>
        <v/>
      </c>
      <c r="D189" s="43">
        <f>IF(C189="aFRR+",damas_afrr_up*capacity_mult_A,damas_afrr_down*capacity_mult_A)</f>
        <v/>
      </c>
      <c r="E189" s="44">
        <f>acceptance_rate</f>
        <v/>
      </c>
      <c r="F189" s="13">
        <f>IF(C189="aFRR+",power_mw*hours_per_day*damas_afrr_up*capacity_mult_A*stack_capacity*acceptance_rate,power_mw*hours_per_day*damas_afrr_down*capacity_mult_A*stack_capacity*acceptance_rate)</f>
        <v/>
      </c>
      <c r="G189" s="42">
        <f>IF(C189="aFRR+",DAMAS_Daily!I189,DAMAS_Daily!J189)</f>
        <v/>
      </c>
      <c r="H189" s="43">
        <f>IF(C189="aFRR+",DAMAS_Daily!E189,DAMAS_Daily!F189)</f>
        <v/>
      </c>
      <c r="I189" s="43">
        <f>IF(C189="aFRR+",DAMAS_Daily!G189,DAMAS_Daily!H189)</f>
        <v/>
      </c>
      <c r="J189" s="45">
        <f>IF(C189="aFRR+",DAMAS_Daily!C189,DAMAS_Daily!D189)</f>
        <v/>
      </c>
      <c r="K189" s="45">
        <f>IF(C189="aFRR+",MIN(DAMAS_Daily!C189*market_share_A*acceptance_rate*stack_activation,power_mw*hours_per_day,capacity_mwh),MIN(DAMAS_Daily!D189*market_share_A*acceptance_rate*stack_activation,power_mw*hours_per_day,capacity_mwh))</f>
        <v/>
      </c>
      <c r="L189" s="42">
        <f>IF(K189&gt;=capacity_mwh-0.01,"yes","no")</f>
        <v/>
      </c>
      <c r="M189" s="13">
        <f>IF(C189="aFRR+",(MIN(DAMAS_Daily!C189*market_share_A*acceptance_rate*stack_activation,power_mw*hours_per_day,capacity_mwh))*DAMAS_Daily!E189*activation_mult_A,(MIN(DAMAS_Daily!D189*market_share_A*acceptance_rate*stack_activation,power_mw*hours_per_day,capacity_mwh))*DAMAS_Daily!F189*activation_mult_A)</f>
        <v/>
      </c>
      <c r="N189" s="14">
        <f>F189+M189</f>
        <v/>
      </c>
    </row>
    <row r="190">
      <c r="A190" s="41">
        <f>DAMAS_Daily!A190</f>
        <v/>
      </c>
      <c r="B190" s="42">
        <f>DAMAS_Daily!B190</f>
        <v/>
      </c>
      <c r="C190" s="42">
        <f>IF((power_mw*hours_per_day*damas_afrr_up*capacity_mult_A*stack_capacity*acceptance_rate+(MIN(DAMAS_Daily!C190*market_share_A*acceptance_rate*stack_activation,power_mw*hours_per_day,capacity_mwh))*DAMAS_Daily!E190*activation_mult_A)&gt;=(power_mw*hours_per_day*damas_afrr_down*capacity_mult_A*stack_capacity*acceptance_rate+(MIN(DAMAS_Daily!D190*market_share_A*acceptance_rate*stack_activation,power_mw*hours_per_day,capacity_mwh))*DAMAS_Daily!F190*activation_mult_A),"aFRR+","aFRR-")</f>
        <v/>
      </c>
      <c r="D190" s="43">
        <f>IF(C190="aFRR+",damas_afrr_up*capacity_mult_A,damas_afrr_down*capacity_mult_A)</f>
        <v/>
      </c>
      <c r="E190" s="44">
        <f>acceptance_rate</f>
        <v/>
      </c>
      <c r="F190" s="13">
        <f>IF(C190="aFRR+",power_mw*hours_per_day*damas_afrr_up*capacity_mult_A*stack_capacity*acceptance_rate,power_mw*hours_per_day*damas_afrr_down*capacity_mult_A*stack_capacity*acceptance_rate)</f>
        <v/>
      </c>
      <c r="G190" s="42">
        <f>IF(C190="aFRR+",DAMAS_Daily!I190,DAMAS_Daily!J190)</f>
        <v/>
      </c>
      <c r="H190" s="43">
        <f>IF(C190="aFRR+",DAMAS_Daily!E190,DAMAS_Daily!F190)</f>
        <v/>
      </c>
      <c r="I190" s="43">
        <f>IF(C190="aFRR+",DAMAS_Daily!G190,DAMAS_Daily!H190)</f>
        <v/>
      </c>
      <c r="J190" s="45">
        <f>IF(C190="aFRR+",DAMAS_Daily!C190,DAMAS_Daily!D190)</f>
        <v/>
      </c>
      <c r="K190" s="45">
        <f>IF(C190="aFRR+",MIN(DAMAS_Daily!C190*market_share_A*acceptance_rate*stack_activation,power_mw*hours_per_day,capacity_mwh),MIN(DAMAS_Daily!D190*market_share_A*acceptance_rate*stack_activation,power_mw*hours_per_day,capacity_mwh))</f>
        <v/>
      </c>
      <c r="L190" s="42">
        <f>IF(K190&gt;=capacity_mwh-0.01,"yes","no")</f>
        <v/>
      </c>
      <c r="M190" s="13">
        <f>IF(C190="aFRR+",(MIN(DAMAS_Daily!C190*market_share_A*acceptance_rate*stack_activation,power_mw*hours_per_day,capacity_mwh))*DAMAS_Daily!E190*activation_mult_A,(MIN(DAMAS_Daily!D190*market_share_A*acceptance_rate*stack_activation,power_mw*hours_per_day,capacity_mwh))*DAMAS_Daily!F190*activation_mult_A)</f>
        <v/>
      </c>
      <c r="N190" s="14">
        <f>F190+M190</f>
        <v/>
      </c>
    </row>
    <row r="191">
      <c r="A191" s="41">
        <f>DAMAS_Daily!A191</f>
        <v/>
      </c>
      <c r="B191" s="42">
        <f>DAMAS_Daily!B191</f>
        <v/>
      </c>
      <c r="C191" s="42">
        <f>IF((power_mw*hours_per_day*damas_afrr_up*capacity_mult_A*stack_capacity*acceptance_rate+(MIN(DAMAS_Daily!C191*market_share_A*acceptance_rate*stack_activation,power_mw*hours_per_day,capacity_mwh))*DAMAS_Daily!E191*activation_mult_A)&gt;=(power_mw*hours_per_day*damas_afrr_down*capacity_mult_A*stack_capacity*acceptance_rate+(MIN(DAMAS_Daily!D191*market_share_A*acceptance_rate*stack_activation,power_mw*hours_per_day,capacity_mwh))*DAMAS_Daily!F191*activation_mult_A),"aFRR+","aFRR-")</f>
        <v/>
      </c>
      <c r="D191" s="43">
        <f>IF(C191="aFRR+",damas_afrr_up*capacity_mult_A,damas_afrr_down*capacity_mult_A)</f>
        <v/>
      </c>
      <c r="E191" s="44">
        <f>acceptance_rate</f>
        <v/>
      </c>
      <c r="F191" s="13">
        <f>IF(C191="aFRR+",power_mw*hours_per_day*damas_afrr_up*capacity_mult_A*stack_capacity*acceptance_rate,power_mw*hours_per_day*damas_afrr_down*capacity_mult_A*stack_capacity*acceptance_rate)</f>
        <v/>
      </c>
      <c r="G191" s="42">
        <f>IF(C191="aFRR+",DAMAS_Daily!I191,DAMAS_Daily!J191)</f>
        <v/>
      </c>
      <c r="H191" s="43">
        <f>IF(C191="aFRR+",DAMAS_Daily!E191,DAMAS_Daily!F191)</f>
        <v/>
      </c>
      <c r="I191" s="43">
        <f>IF(C191="aFRR+",DAMAS_Daily!G191,DAMAS_Daily!H191)</f>
        <v/>
      </c>
      <c r="J191" s="45">
        <f>IF(C191="aFRR+",DAMAS_Daily!C191,DAMAS_Daily!D191)</f>
        <v/>
      </c>
      <c r="K191" s="45">
        <f>IF(C191="aFRR+",MIN(DAMAS_Daily!C191*market_share_A*acceptance_rate*stack_activation,power_mw*hours_per_day,capacity_mwh),MIN(DAMAS_Daily!D191*market_share_A*acceptance_rate*stack_activation,power_mw*hours_per_day,capacity_mwh))</f>
        <v/>
      </c>
      <c r="L191" s="42">
        <f>IF(K191&gt;=capacity_mwh-0.01,"yes","no")</f>
        <v/>
      </c>
      <c r="M191" s="13">
        <f>IF(C191="aFRR+",(MIN(DAMAS_Daily!C191*market_share_A*acceptance_rate*stack_activation,power_mw*hours_per_day,capacity_mwh))*DAMAS_Daily!E191*activation_mult_A,(MIN(DAMAS_Daily!D191*market_share_A*acceptance_rate*stack_activation,power_mw*hours_per_day,capacity_mwh))*DAMAS_Daily!F191*activation_mult_A)</f>
        <v/>
      </c>
      <c r="N191" s="14">
        <f>F191+M191</f>
        <v/>
      </c>
    </row>
    <row r="192">
      <c r="A192" s="41">
        <f>DAMAS_Daily!A192</f>
        <v/>
      </c>
      <c r="B192" s="42">
        <f>DAMAS_Daily!B192</f>
        <v/>
      </c>
      <c r="C192" s="42">
        <f>IF((power_mw*hours_per_day*damas_afrr_up*capacity_mult_A*stack_capacity*acceptance_rate+(MIN(DAMAS_Daily!C192*market_share_A*acceptance_rate*stack_activation,power_mw*hours_per_day,capacity_mwh))*DAMAS_Daily!E192*activation_mult_A)&gt;=(power_mw*hours_per_day*damas_afrr_down*capacity_mult_A*stack_capacity*acceptance_rate+(MIN(DAMAS_Daily!D192*market_share_A*acceptance_rate*stack_activation,power_mw*hours_per_day,capacity_mwh))*DAMAS_Daily!F192*activation_mult_A),"aFRR+","aFRR-")</f>
        <v/>
      </c>
      <c r="D192" s="43">
        <f>IF(C192="aFRR+",damas_afrr_up*capacity_mult_A,damas_afrr_down*capacity_mult_A)</f>
        <v/>
      </c>
      <c r="E192" s="44">
        <f>acceptance_rate</f>
        <v/>
      </c>
      <c r="F192" s="13">
        <f>IF(C192="aFRR+",power_mw*hours_per_day*damas_afrr_up*capacity_mult_A*stack_capacity*acceptance_rate,power_mw*hours_per_day*damas_afrr_down*capacity_mult_A*stack_capacity*acceptance_rate)</f>
        <v/>
      </c>
      <c r="G192" s="42">
        <f>IF(C192="aFRR+",DAMAS_Daily!I192,DAMAS_Daily!J192)</f>
        <v/>
      </c>
      <c r="H192" s="43">
        <f>IF(C192="aFRR+",DAMAS_Daily!E192,DAMAS_Daily!F192)</f>
        <v/>
      </c>
      <c r="I192" s="43">
        <f>IF(C192="aFRR+",DAMAS_Daily!G192,DAMAS_Daily!H192)</f>
        <v/>
      </c>
      <c r="J192" s="45">
        <f>IF(C192="aFRR+",DAMAS_Daily!C192,DAMAS_Daily!D192)</f>
        <v/>
      </c>
      <c r="K192" s="45">
        <f>IF(C192="aFRR+",MIN(DAMAS_Daily!C192*market_share_A*acceptance_rate*stack_activation,power_mw*hours_per_day,capacity_mwh),MIN(DAMAS_Daily!D192*market_share_A*acceptance_rate*stack_activation,power_mw*hours_per_day,capacity_mwh))</f>
        <v/>
      </c>
      <c r="L192" s="42">
        <f>IF(K192&gt;=capacity_mwh-0.01,"yes","no")</f>
        <v/>
      </c>
      <c r="M192" s="13">
        <f>IF(C192="aFRR+",(MIN(DAMAS_Daily!C192*market_share_A*acceptance_rate*stack_activation,power_mw*hours_per_day,capacity_mwh))*DAMAS_Daily!E192*activation_mult_A,(MIN(DAMAS_Daily!D192*market_share_A*acceptance_rate*stack_activation,power_mw*hours_per_day,capacity_mwh))*DAMAS_Daily!F192*activation_mult_A)</f>
        <v/>
      </c>
      <c r="N192" s="14">
        <f>F192+M192</f>
        <v/>
      </c>
    </row>
    <row r="193">
      <c r="A193" s="41">
        <f>DAMAS_Daily!A193</f>
        <v/>
      </c>
      <c r="B193" s="42">
        <f>DAMAS_Daily!B193</f>
        <v/>
      </c>
      <c r="C193" s="42">
        <f>IF((power_mw*hours_per_day*damas_afrr_up*capacity_mult_A*stack_capacity*acceptance_rate+(MIN(DAMAS_Daily!C193*market_share_A*acceptance_rate*stack_activation,power_mw*hours_per_day,capacity_mwh))*DAMAS_Daily!E193*activation_mult_A)&gt;=(power_mw*hours_per_day*damas_afrr_down*capacity_mult_A*stack_capacity*acceptance_rate+(MIN(DAMAS_Daily!D193*market_share_A*acceptance_rate*stack_activation,power_mw*hours_per_day,capacity_mwh))*DAMAS_Daily!F193*activation_mult_A),"aFRR+","aFRR-")</f>
        <v/>
      </c>
      <c r="D193" s="43">
        <f>IF(C193="aFRR+",damas_afrr_up*capacity_mult_A,damas_afrr_down*capacity_mult_A)</f>
        <v/>
      </c>
      <c r="E193" s="44">
        <f>acceptance_rate</f>
        <v/>
      </c>
      <c r="F193" s="13">
        <f>IF(C193="aFRR+",power_mw*hours_per_day*damas_afrr_up*capacity_mult_A*stack_capacity*acceptance_rate,power_mw*hours_per_day*damas_afrr_down*capacity_mult_A*stack_capacity*acceptance_rate)</f>
        <v/>
      </c>
      <c r="G193" s="42">
        <f>IF(C193="aFRR+",DAMAS_Daily!I193,DAMAS_Daily!J193)</f>
        <v/>
      </c>
      <c r="H193" s="43">
        <f>IF(C193="aFRR+",DAMAS_Daily!E193,DAMAS_Daily!F193)</f>
        <v/>
      </c>
      <c r="I193" s="43">
        <f>IF(C193="aFRR+",DAMAS_Daily!G193,DAMAS_Daily!H193)</f>
        <v/>
      </c>
      <c r="J193" s="45">
        <f>IF(C193="aFRR+",DAMAS_Daily!C193,DAMAS_Daily!D193)</f>
        <v/>
      </c>
      <c r="K193" s="45">
        <f>IF(C193="aFRR+",MIN(DAMAS_Daily!C193*market_share_A*acceptance_rate*stack_activation,power_mw*hours_per_day,capacity_mwh),MIN(DAMAS_Daily!D193*market_share_A*acceptance_rate*stack_activation,power_mw*hours_per_day,capacity_mwh))</f>
        <v/>
      </c>
      <c r="L193" s="42">
        <f>IF(K193&gt;=capacity_mwh-0.01,"yes","no")</f>
        <v/>
      </c>
      <c r="M193" s="13">
        <f>IF(C193="aFRR+",(MIN(DAMAS_Daily!C193*market_share_A*acceptance_rate*stack_activation,power_mw*hours_per_day,capacity_mwh))*DAMAS_Daily!E193*activation_mult_A,(MIN(DAMAS_Daily!D193*market_share_A*acceptance_rate*stack_activation,power_mw*hours_per_day,capacity_mwh))*DAMAS_Daily!F193*activation_mult_A)</f>
        <v/>
      </c>
      <c r="N193" s="14">
        <f>F193+M193</f>
        <v/>
      </c>
    </row>
    <row r="194">
      <c r="A194" s="41">
        <f>DAMAS_Daily!A194</f>
        <v/>
      </c>
      <c r="B194" s="42">
        <f>DAMAS_Daily!B194</f>
        <v/>
      </c>
      <c r="C194" s="42">
        <f>IF((power_mw*hours_per_day*damas_afrr_up*capacity_mult_A*stack_capacity*acceptance_rate+(MIN(DAMAS_Daily!C194*market_share_A*acceptance_rate*stack_activation,power_mw*hours_per_day,capacity_mwh))*DAMAS_Daily!E194*activation_mult_A)&gt;=(power_mw*hours_per_day*damas_afrr_down*capacity_mult_A*stack_capacity*acceptance_rate+(MIN(DAMAS_Daily!D194*market_share_A*acceptance_rate*stack_activation,power_mw*hours_per_day,capacity_mwh))*DAMAS_Daily!F194*activation_mult_A),"aFRR+","aFRR-")</f>
        <v/>
      </c>
      <c r="D194" s="43">
        <f>IF(C194="aFRR+",damas_afrr_up*capacity_mult_A,damas_afrr_down*capacity_mult_A)</f>
        <v/>
      </c>
      <c r="E194" s="44">
        <f>acceptance_rate</f>
        <v/>
      </c>
      <c r="F194" s="13">
        <f>IF(C194="aFRR+",power_mw*hours_per_day*damas_afrr_up*capacity_mult_A*stack_capacity*acceptance_rate,power_mw*hours_per_day*damas_afrr_down*capacity_mult_A*stack_capacity*acceptance_rate)</f>
        <v/>
      </c>
      <c r="G194" s="42">
        <f>IF(C194="aFRR+",DAMAS_Daily!I194,DAMAS_Daily!J194)</f>
        <v/>
      </c>
      <c r="H194" s="43">
        <f>IF(C194="aFRR+",DAMAS_Daily!E194,DAMAS_Daily!F194)</f>
        <v/>
      </c>
      <c r="I194" s="43">
        <f>IF(C194="aFRR+",DAMAS_Daily!G194,DAMAS_Daily!H194)</f>
        <v/>
      </c>
      <c r="J194" s="45">
        <f>IF(C194="aFRR+",DAMAS_Daily!C194,DAMAS_Daily!D194)</f>
        <v/>
      </c>
      <c r="K194" s="45">
        <f>IF(C194="aFRR+",MIN(DAMAS_Daily!C194*market_share_A*acceptance_rate*stack_activation,power_mw*hours_per_day,capacity_mwh),MIN(DAMAS_Daily!D194*market_share_A*acceptance_rate*stack_activation,power_mw*hours_per_day,capacity_mwh))</f>
        <v/>
      </c>
      <c r="L194" s="42">
        <f>IF(K194&gt;=capacity_mwh-0.01,"yes","no")</f>
        <v/>
      </c>
      <c r="M194" s="13">
        <f>IF(C194="aFRR+",(MIN(DAMAS_Daily!C194*market_share_A*acceptance_rate*stack_activation,power_mw*hours_per_day,capacity_mwh))*DAMAS_Daily!E194*activation_mult_A,(MIN(DAMAS_Daily!D194*market_share_A*acceptance_rate*stack_activation,power_mw*hours_per_day,capacity_mwh))*DAMAS_Daily!F194*activation_mult_A)</f>
        <v/>
      </c>
      <c r="N194" s="14">
        <f>F194+M194</f>
        <v/>
      </c>
    </row>
    <row r="195">
      <c r="A195" s="41">
        <f>DAMAS_Daily!A195</f>
        <v/>
      </c>
      <c r="B195" s="42">
        <f>DAMAS_Daily!B195</f>
        <v/>
      </c>
      <c r="C195" s="42">
        <f>IF((power_mw*hours_per_day*damas_afrr_up*capacity_mult_A*stack_capacity*acceptance_rate+(MIN(DAMAS_Daily!C195*market_share_A*acceptance_rate*stack_activation,power_mw*hours_per_day,capacity_mwh))*DAMAS_Daily!E195*activation_mult_A)&gt;=(power_mw*hours_per_day*damas_afrr_down*capacity_mult_A*stack_capacity*acceptance_rate+(MIN(DAMAS_Daily!D195*market_share_A*acceptance_rate*stack_activation,power_mw*hours_per_day,capacity_mwh))*DAMAS_Daily!F195*activation_mult_A),"aFRR+","aFRR-")</f>
        <v/>
      </c>
      <c r="D195" s="43">
        <f>IF(C195="aFRR+",damas_afrr_up*capacity_mult_A,damas_afrr_down*capacity_mult_A)</f>
        <v/>
      </c>
      <c r="E195" s="44">
        <f>acceptance_rate</f>
        <v/>
      </c>
      <c r="F195" s="13">
        <f>IF(C195="aFRR+",power_mw*hours_per_day*damas_afrr_up*capacity_mult_A*stack_capacity*acceptance_rate,power_mw*hours_per_day*damas_afrr_down*capacity_mult_A*stack_capacity*acceptance_rate)</f>
        <v/>
      </c>
      <c r="G195" s="42">
        <f>IF(C195="aFRR+",DAMAS_Daily!I195,DAMAS_Daily!J195)</f>
        <v/>
      </c>
      <c r="H195" s="43">
        <f>IF(C195="aFRR+",DAMAS_Daily!E195,DAMAS_Daily!F195)</f>
        <v/>
      </c>
      <c r="I195" s="43">
        <f>IF(C195="aFRR+",DAMAS_Daily!G195,DAMAS_Daily!H195)</f>
        <v/>
      </c>
      <c r="J195" s="45">
        <f>IF(C195="aFRR+",DAMAS_Daily!C195,DAMAS_Daily!D195)</f>
        <v/>
      </c>
      <c r="K195" s="45">
        <f>IF(C195="aFRR+",MIN(DAMAS_Daily!C195*market_share_A*acceptance_rate*stack_activation,power_mw*hours_per_day,capacity_mwh),MIN(DAMAS_Daily!D195*market_share_A*acceptance_rate*stack_activation,power_mw*hours_per_day,capacity_mwh))</f>
        <v/>
      </c>
      <c r="L195" s="42">
        <f>IF(K195&gt;=capacity_mwh-0.01,"yes","no")</f>
        <v/>
      </c>
      <c r="M195" s="13">
        <f>IF(C195="aFRR+",(MIN(DAMAS_Daily!C195*market_share_A*acceptance_rate*stack_activation,power_mw*hours_per_day,capacity_mwh))*DAMAS_Daily!E195*activation_mult_A,(MIN(DAMAS_Daily!D195*market_share_A*acceptance_rate*stack_activation,power_mw*hours_per_day,capacity_mwh))*DAMAS_Daily!F195*activation_mult_A)</f>
        <v/>
      </c>
      <c r="N195" s="14">
        <f>F195+M195</f>
        <v/>
      </c>
    </row>
    <row r="196">
      <c r="A196" s="41">
        <f>DAMAS_Daily!A196</f>
        <v/>
      </c>
      <c r="B196" s="42">
        <f>DAMAS_Daily!B196</f>
        <v/>
      </c>
      <c r="C196" s="42">
        <f>IF((power_mw*hours_per_day*damas_afrr_up*capacity_mult_A*stack_capacity*acceptance_rate+(MIN(DAMAS_Daily!C196*market_share_A*acceptance_rate*stack_activation,power_mw*hours_per_day,capacity_mwh))*DAMAS_Daily!E196*activation_mult_A)&gt;=(power_mw*hours_per_day*damas_afrr_down*capacity_mult_A*stack_capacity*acceptance_rate+(MIN(DAMAS_Daily!D196*market_share_A*acceptance_rate*stack_activation,power_mw*hours_per_day,capacity_mwh))*DAMAS_Daily!F196*activation_mult_A),"aFRR+","aFRR-")</f>
        <v/>
      </c>
      <c r="D196" s="43">
        <f>IF(C196="aFRR+",damas_afrr_up*capacity_mult_A,damas_afrr_down*capacity_mult_A)</f>
        <v/>
      </c>
      <c r="E196" s="44">
        <f>acceptance_rate</f>
        <v/>
      </c>
      <c r="F196" s="13">
        <f>IF(C196="aFRR+",power_mw*hours_per_day*damas_afrr_up*capacity_mult_A*stack_capacity*acceptance_rate,power_mw*hours_per_day*damas_afrr_down*capacity_mult_A*stack_capacity*acceptance_rate)</f>
        <v/>
      </c>
      <c r="G196" s="42">
        <f>IF(C196="aFRR+",DAMAS_Daily!I196,DAMAS_Daily!J196)</f>
        <v/>
      </c>
      <c r="H196" s="43">
        <f>IF(C196="aFRR+",DAMAS_Daily!E196,DAMAS_Daily!F196)</f>
        <v/>
      </c>
      <c r="I196" s="43">
        <f>IF(C196="aFRR+",DAMAS_Daily!G196,DAMAS_Daily!H196)</f>
        <v/>
      </c>
      <c r="J196" s="45">
        <f>IF(C196="aFRR+",DAMAS_Daily!C196,DAMAS_Daily!D196)</f>
        <v/>
      </c>
      <c r="K196" s="45">
        <f>IF(C196="aFRR+",MIN(DAMAS_Daily!C196*market_share_A*acceptance_rate*stack_activation,power_mw*hours_per_day,capacity_mwh),MIN(DAMAS_Daily!D196*market_share_A*acceptance_rate*stack_activation,power_mw*hours_per_day,capacity_mwh))</f>
        <v/>
      </c>
      <c r="L196" s="42">
        <f>IF(K196&gt;=capacity_mwh-0.01,"yes","no")</f>
        <v/>
      </c>
      <c r="M196" s="13">
        <f>IF(C196="aFRR+",(MIN(DAMAS_Daily!C196*market_share_A*acceptance_rate*stack_activation,power_mw*hours_per_day,capacity_mwh))*DAMAS_Daily!E196*activation_mult_A,(MIN(DAMAS_Daily!D196*market_share_A*acceptance_rate*stack_activation,power_mw*hours_per_day,capacity_mwh))*DAMAS_Daily!F196*activation_mult_A)</f>
        <v/>
      </c>
      <c r="N196" s="14">
        <f>F196+M196</f>
        <v/>
      </c>
    </row>
    <row r="197">
      <c r="A197" s="41">
        <f>DAMAS_Daily!A197</f>
        <v/>
      </c>
      <c r="B197" s="42">
        <f>DAMAS_Daily!B197</f>
        <v/>
      </c>
      <c r="C197" s="42">
        <f>IF((power_mw*hours_per_day*damas_afrr_up*capacity_mult_A*stack_capacity*acceptance_rate+(MIN(DAMAS_Daily!C197*market_share_A*acceptance_rate*stack_activation,power_mw*hours_per_day,capacity_mwh))*DAMAS_Daily!E197*activation_mult_A)&gt;=(power_mw*hours_per_day*damas_afrr_down*capacity_mult_A*stack_capacity*acceptance_rate+(MIN(DAMAS_Daily!D197*market_share_A*acceptance_rate*stack_activation,power_mw*hours_per_day,capacity_mwh))*DAMAS_Daily!F197*activation_mult_A),"aFRR+","aFRR-")</f>
        <v/>
      </c>
      <c r="D197" s="43">
        <f>IF(C197="aFRR+",damas_afrr_up*capacity_mult_A,damas_afrr_down*capacity_mult_A)</f>
        <v/>
      </c>
      <c r="E197" s="44">
        <f>acceptance_rate</f>
        <v/>
      </c>
      <c r="F197" s="13">
        <f>IF(C197="aFRR+",power_mw*hours_per_day*damas_afrr_up*capacity_mult_A*stack_capacity*acceptance_rate,power_mw*hours_per_day*damas_afrr_down*capacity_mult_A*stack_capacity*acceptance_rate)</f>
        <v/>
      </c>
      <c r="G197" s="42">
        <f>IF(C197="aFRR+",DAMAS_Daily!I197,DAMAS_Daily!J197)</f>
        <v/>
      </c>
      <c r="H197" s="43">
        <f>IF(C197="aFRR+",DAMAS_Daily!E197,DAMAS_Daily!F197)</f>
        <v/>
      </c>
      <c r="I197" s="43">
        <f>IF(C197="aFRR+",DAMAS_Daily!G197,DAMAS_Daily!H197)</f>
        <v/>
      </c>
      <c r="J197" s="45">
        <f>IF(C197="aFRR+",DAMAS_Daily!C197,DAMAS_Daily!D197)</f>
        <v/>
      </c>
      <c r="K197" s="45">
        <f>IF(C197="aFRR+",MIN(DAMAS_Daily!C197*market_share_A*acceptance_rate*stack_activation,power_mw*hours_per_day,capacity_mwh),MIN(DAMAS_Daily!D197*market_share_A*acceptance_rate*stack_activation,power_mw*hours_per_day,capacity_mwh))</f>
        <v/>
      </c>
      <c r="L197" s="42">
        <f>IF(K197&gt;=capacity_mwh-0.01,"yes","no")</f>
        <v/>
      </c>
      <c r="M197" s="13">
        <f>IF(C197="aFRR+",(MIN(DAMAS_Daily!C197*market_share_A*acceptance_rate*stack_activation,power_mw*hours_per_day,capacity_mwh))*DAMAS_Daily!E197*activation_mult_A,(MIN(DAMAS_Daily!D197*market_share_A*acceptance_rate*stack_activation,power_mw*hours_per_day,capacity_mwh))*DAMAS_Daily!F197*activation_mult_A)</f>
        <v/>
      </c>
      <c r="N197" s="14">
        <f>F197+M197</f>
        <v/>
      </c>
    </row>
    <row r="198">
      <c r="A198" s="41">
        <f>DAMAS_Daily!A198</f>
        <v/>
      </c>
      <c r="B198" s="42">
        <f>DAMAS_Daily!B198</f>
        <v/>
      </c>
      <c r="C198" s="42">
        <f>IF((power_mw*hours_per_day*damas_afrr_up*capacity_mult_A*stack_capacity*acceptance_rate+(MIN(DAMAS_Daily!C198*market_share_A*acceptance_rate*stack_activation,power_mw*hours_per_day,capacity_mwh))*DAMAS_Daily!E198*activation_mult_A)&gt;=(power_mw*hours_per_day*damas_afrr_down*capacity_mult_A*stack_capacity*acceptance_rate+(MIN(DAMAS_Daily!D198*market_share_A*acceptance_rate*stack_activation,power_mw*hours_per_day,capacity_mwh))*DAMAS_Daily!F198*activation_mult_A),"aFRR+","aFRR-")</f>
        <v/>
      </c>
      <c r="D198" s="43">
        <f>IF(C198="aFRR+",damas_afrr_up*capacity_mult_A,damas_afrr_down*capacity_mult_A)</f>
        <v/>
      </c>
      <c r="E198" s="44">
        <f>acceptance_rate</f>
        <v/>
      </c>
      <c r="F198" s="13">
        <f>IF(C198="aFRR+",power_mw*hours_per_day*damas_afrr_up*capacity_mult_A*stack_capacity*acceptance_rate,power_mw*hours_per_day*damas_afrr_down*capacity_mult_A*stack_capacity*acceptance_rate)</f>
        <v/>
      </c>
      <c r="G198" s="42">
        <f>IF(C198="aFRR+",DAMAS_Daily!I198,DAMAS_Daily!J198)</f>
        <v/>
      </c>
      <c r="H198" s="43">
        <f>IF(C198="aFRR+",DAMAS_Daily!E198,DAMAS_Daily!F198)</f>
        <v/>
      </c>
      <c r="I198" s="43">
        <f>IF(C198="aFRR+",DAMAS_Daily!G198,DAMAS_Daily!H198)</f>
        <v/>
      </c>
      <c r="J198" s="45">
        <f>IF(C198="aFRR+",DAMAS_Daily!C198,DAMAS_Daily!D198)</f>
        <v/>
      </c>
      <c r="K198" s="45">
        <f>IF(C198="aFRR+",MIN(DAMAS_Daily!C198*market_share_A*acceptance_rate*stack_activation,power_mw*hours_per_day,capacity_mwh),MIN(DAMAS_Daily!D198*market_share_A*acceptance_rate*stack_activation,power_mw*hours_per_day,capacity_mwh))</f>
        <v/>
      </c>
      <c r="L198" s="42">
        <f>IF(K198&gt;=capacity_mwh-0.01,"yes","no")</f>
        <v/>
      </c>
      <c r="M198" s="13">
        <f>IF(C198="aFRR+",(MIN(DAMAS_Daily!C198*market_share_A*acceptance_rate*stack_activation,power_mw*hours_per_day,capacity_mwh))*DAMAS_Daily!E198*activation_mult_A,(MIN(DAMAS_Daily!D198*market_share_A*acceptance_rate*stack_activation,power_mw*hours_per_day,capacity_mwh))*DAMAS_Daily!F198*activation_mult_A)</f>
        <v/>
      </c>
      <c r="N198" s="14">
        <f>F198+M198</f>
        <v/>
      </c>
    </row>
    <row r="199">
      <c r="A199" s="41">
        <f>DAMAS_Daily!A199</f>
        <v/>
      </c>
      <c r="B199" s="42">
        <f>DAMAS_Daily!B199</f>
        <v/>
      </c>
      <c r="C199" s="42">
        <f>IF((power_mw*hours_per_day*damas_afrr_up*capacity_mult_A*stack_capacity*acceptance_rate+(MIN(DAMAS_Daily!C199*market_share_A*acceptance_rate*stack_activation,power_mw*hours_per_day,capacity_mwh))*DAMAS_Daily!E199*activation_mult_A)&gt;=(power_mw*hours_per_day*damas_afrr_down*capacity_mult_A*stack_capacity*acceptance_rate+(MIN(DAMAS_Daily!D199*market_share_A*acceptance_rate*stack_activation,power_mw*hours_per_day,capacity_mwh))*DAMAS_Daily!F199*activation_mult_A),"aFRR+","aFRR-")</f>
        <v/>
      </c>
      <c r="D199" s="43">
        <f>IF(C199="aFRR+",damas_afrr_up*capacity_mult_A,damas_afrr_down*capacity_mult_A)</f>
        <v/>
      </c>
      <c r="E199" s="44">
        <f>acceptance_rate</f>
        <v/>
      </c>
      <c r="F199" s="13">
        <f>IF(C199="aFRR+",power_mw*hours_per_day*damas_afrr_up*capacity_mult_A*stack_capacity*acceptance_rate,power_mw*hours_per_day*damas_afrr_down*capacity_mult_A*stack_capacity*acceptance_rate)</f>
        <v/>
      </c>
      <c r="G199" s="42">
        <f>IF(C199="aFRR+",DAMAS_Daily!I199,DAMAS_Daily!J199)</f>
        <v/>
      </c>
      <c r="H199" s="43">
        <f>IF(C199="aFRR+",DAMAS_Daily!E199,DAMAS_Daily!F199)</f>
        <v/>
      </c>
      <c r="I199" s="43">
        <f>IF(C199="aFRR+",DAMAS_Daily!G199,DAMAS_Daily!H199)</f>
        <v/>
      </c>
      <c r="J199" s="45">
        <f>IF(C199="aFRR+",DAMAS_Daily!C199,DAMAS_Daily!D199)</f>
        <v/>
      </c>
      <c r="K199" s="45">
        <f>IF(C199="aFRR+",MIN(DAMAS_Daily!C199*market_share_A*acceptance_rate*stack_activation,power_mw*hours_per_day,capacity_mwh),MIN(DAMAS_Daily!D199*market_share_A*acceptance_rate*stack_activation,power_mw*hours_per_day,capacity_mwh))</f>
        <v/>
      </c>
      <c r="L199" s="42">
        <f>IF(K199&gt;=capacity_mwh-0.01,"yes","no")</f>
        <v/>
      </c>
      <c r="M199" s="13">
        <f>IF(C199="aFRR+",(MIN(DAMAS_Daily!C199*market_share_A*acceptance_rate*stack_activation,power_mw*hours_per_day,capacity_mwh))*DAMAS_Daily!E199*activation_mult_A,(MIN(DAMAS_Daily!D199*market_share_A*acceptance_rate*stack_activation,power_mw*hours_per_day,capacity_mwh))*DAMAS_Daily!F199*activation_mult_A)</f>
        <v/>
      </c>
      <c r="N199" s="14">
        <f>F199+M199</f>
        <v/>
      </c>
    </row>
    <row r="200">
      <c r="A200" s="41">
        <f>DAMAS_Daily!A200</f>
        <v/>
      </c>
      <c r="B200" s="42">
        <f>DAMAS_Daily!B200</f>
        <v/>
      </c>
      <c r="C200" s="42">
        <f>IF((power_mw*hours_per_day*damas_afrr_up*capacity_mult_A*stack_capacity*acceptance_rate+(MIN(DAMAS_Daily!C200*market_share_A*acceptance_rate*stack_activation,power_mw*hours_per_day,capacity_mwh))*DAMAS_Daily!E200*activation_mult_A)&gt;=(power_mw*hours_per_day*damas_afrr_down*capacity_mult_A*stack_capacity*acceptance_rate+(MIN(DAMAS_Daily!D200*market_share_A*acceptance_rate*stack_activation,power_mw*hours_per_day,capacity_mwh))*DAMAS_Daily!F200*activation_mult_A),"aFRR+","aFRR-")</f>
        <v/>
      </c>
      <c r="D200" s="43">
        <f>IF(C200="aFRR+",damas_afrr_up*capacity_mult_A,damas_afrr_down*capacity_mult_A)</f>
        <v/>
      </c>
      <c r="E200" s="44">
        <f>acceptance_rate</f>
        <v/>
      </c>
      <c r="F200" s="13">
        <f>IF(C200="aFRR+",power_mw*hours_per_day*damas_afrr_up*capacity_mult_A*stack_capacity*acceptance_rate,power_mw*hours_per_day*damas_afrr_down*capacity_mult_A*stack_capacity*acceptance_rate)</f>
        <v/>
      </c>
      <c r="G200" s="42">
        <f>IF(C200="aFRR+",DAMAS_Daily!I200,DAMAS_Daily!J200)</f>
        <v/>
      </c>
      <c r="H200" s="43">
        <f>IF(C200="aFRR+",DAMAS_Daily!E200,DAMAS_Daily!F200)</f>
        <v/>
      </c>
      <c r="I200" s="43">
        <f>IF(C200="aFRR+",DAMAS_Daily!G200,DAMAS_Daily!H200)</f>
        <v/>
      </c>
      <c r="J200" s="45">
        <f>IF(C200="aFRR+",DAMAS_Daily!C200,DAMAS_Daily!D200)</f>
        <v/>
      </c>
      <c r="K200" s="45">
        <f>IF(C200="aFRR+",MIN(DAMAS_Daily!C200*market_share_A*acceptance_rate*stack_activation,power_mw*hours_per_day,capacity_mwh),MIN(DAMAS_Daily!D200*market_share_A*acceptance_rate*stack_activation,power_mw*hours_per_day,capacity_mwh))</f>
        <v/>
      </c>
      <c r="L200" s="42">
        <f>IF(K200&gt;=capacity_mwh-0.01,"yes","no")</f>
        <v/>
      </c>
      <c r="M200" s="13">
        <f>IF(C200="aFRR+",(MIN(DAMAS_Daily!C200*market_share_A*acceptance_rate*stack_activation,power_mw*hours_per_day,capacity_mwh))*DAMAS_Daily!E200*activation_mult_A,(MIN(DAMAS_Daily!D200*market_share_A*acceptance_rate*stack_activation,power_mw*hours_per_day,capacity_mwh))*DAMAS_Daily!F200*activation_mult_A)</f>
        <v/>
      </c>
      <c r="N200" s="14">
        <f>F200+M200</f>
        <v/>
      </c>
    </row>
    <row r="201">
      <c r="A201" s="41">
        <f>DAMAS_Daily!A201</f>
        <v/>
      </c>
      <c r="B201" s="42">
        <f>DAMAS_Daily!B201</f>
        <v/>
      </c>
      <c r="C201" s="42">
        <f>IF((power_mw*hours_per_day*damas_afrr_up*capacity_mult_A*stack_capacity*acceptance_rate+(MIN(DAMAS_Daily!C201*market_share_A*acceptance_rate*stack_activation,power_mw*hours_per_day,capacity_mwh))*DAMAS_Daily!E201*activation_mult_A)&gt;=(power_mw*hours_per_day*damas_afrr_down*capacity_mult_A*stack_capacity*acceptance_rate+(MIN(DAMAS_Daily!D201*market_share_A*acceptance_rate*stack_activation,power_mw*hours_per_day,capacity_mwh))*DAMAS_Daily!F201*activation_mult_A),"aFRR+","aFRR-")</f>
        <v/>
      </c>
      <c r="D201" s="43">
        <f>IF(C201="aFRR+",damas_afrr_up*capacity_mult_A,damas_afrr_down*capacity_mult_A)</f>
        <v/>
      </c>
      <c r="E201" s="44">
        <f>acceptance_rate</f>
        <v/>
      </c>
      <c r="F201" s="13">
        <f>IF(C201="aFRR+",power_mw*hours_per_day*damas_afrr_up*capacity_mult_A*stack_capacity*acceptance_rate,power_mw*hours_per_day*damas_afrr_down*capacity_mult_A*stack_capacity*acceptance_rate)</f>
        <v/>
      </c>
      <c r="G201" s="42">
        <f>IF(C201="aFRR+",DAMAS_Daily!I201,DAMAS_Daily!J201)</f>
        <v/>
      </c>
      <c r="H201" s="43">
        <f>IF(C201="aFRR+",DAMAS_Daily!E201,DAMAS_Daily!F201)</f>
        <v/>
      </c>
      <c r="I201" s="43">
        <f>IF(C201="aFRR+",DAMAS_Daily!G201,DAMAS_Daily!H201)</f>
        <v/>
      </c>
      <c r="J201" s="45">
        <f>IF(C201="aFRR+",DAMAS_Daily!C201,DAMAS_Daily!D201)</f>
        <v/>
      </c>
      <c r="K201" s="45">
        <f>IF(C201="aFRR+",MIN(DAMAS_Daily!C201*market_share_A*acceptance_rate*stack_activation,power_mw*hours_per_day,capacity_mwh),MIN(DAMAS_Daily!D201*market_share_A*acceptance_rate*stack_activation,power_mw*hours_per_day,capacity_mwh))</f>
        <v/>
      </c>
      <c r="L201" s="42">
        <f>IF(K201&gt;=capacity_mwh-0.01,"yes","no")</f>
        <v/>
      </c>
      <c r="M201" s="13">
        <f>IF(C201="aFRR+",(MIN(DAMAS_Daily!C201*market_share_A*acceptance_rate*stack_activation,power_mw*hours_per_day,capacity_mwh))*DAMAS_Daily!E201*activation_mult_A,(MIN(DAMAS_Daily!D201*market_share_A*acceptance_rate*stack_activation,power_mw*hours_per_day,capacity_mwh))*DAMAS_Daily!F201*activation_mult_A)</f>
        <v/>
      </c>
      <c r="N201" s="14">
        <f>F201+M201</f>
        <v/>
      </c>
    </row>
    <row r="202">
      <c r="A202" s="41">
        <f>DAMAS_Daily!A202</f>
        <v/>
      </c>
      <c r="B202" s="42">
        <f>DAMAS_Daily!B202</f>
        <v/>
      </c>
      <c r="C202" s="42">
        <f>IF((power_mw*hours_per_day*damas_afrr_up*capacity_mult_A*stack_capacity*acceptance_rate+(MIN(DAMAS_Daily!C202*market_share_A*acceptance_rate*stack_activation,power_mw*hours_per_day,capacity_mwh))*DAMAS_Daily!E202*activation_mult_A)&gt;=(power_mw*hours_per_day*damas_afrr_down*capacity_mult_A*stack_capacity*acceptance_rate+(MIN(DAMAS_Daily!D202*market_share_A*acceptance_rate*stack_activation,power_mw*hours_per_day,capacity_mwh))*DAMAS_Daily!F202*activation_mult_A),"aFRR+","aFRR-")</f>
        <v/>
      </c>
      <c r="D202" s="43">
        <f>IF(C202="aFRR+",damas_afrr_up*capacity_mult_A,damas_afrr_down*capacity_mult_A)</f>
        <v/>
      </c>
      <c r="E202" s="44">
        <f>acceptance_rate</f>
        <v/>
      </c>
      <c r="F202" s="13">
        <f>IF(C202="aFRR+",power_mw*hours_per_day*damas_afrr_up*capacity_mult_A*stack_capacity*acceptance_rate,power_mw*hours_per_day*damas_afrr_down*capacity_mult_A*stack_capacity*acceptance_rate)</f>
        <v/>
      </c>
      <c r="G202" s="42">
        <f>IF(C202="aFRR+",DAMAS_Daily!I202,DAMAS_Daily!J202)</f>
        <v/>
      </c>
      <c r="H202" s="43">
        <f>IF(C202="aFRR+",DAMAS_Daily!E202,DAMAS_Daily!F202)</f>
        <v/>
      </c>
      <c r="I202" s="43">
        <f>IF(C202="aFRR+",DAMAS_Daily!G202,DAMAS_Daily!H202)</f>
        <v/>
      </c>
      <c r="J202" s="45">
        <f>IF(C202="aFRR+",DAMAS_Daily!C202,DAMAS_Daily!D202)</f>
        <v/>
      </c>
      <c r="K202" s="45">
        <f>IF(C202="aFRR+",MIN(DAMAS_Daily!C202*market_share_A*acceptance_rate*stack_activation,power_mw*hours_per_day,capacity_mwh),MIN(DAMAS_Daily!D202*market_share_A*acceptance_rate*stack_activation,power_mw*hours_per_day,capacity_mwh))</f>
        <v/>
      </c>
      <c r="L202" s="42">
        <f>IF(K202&gt;=capacity_mwh-0.01,"yes","no")</f>
        <v/>
      </c>
      <c r="M202" s="13">
        <f>IF(C202="aFRR+",(MIN(DAMAS_Daily!C202*market_share_A*acceptance_rate*stack_activation,power_mw*hours_per_day,capacity_mwh))*DAMAS_Daily!E202*activation_mult_A,(MIN(DAMAS_Daily!D202*market_share_A*acceptance_rate*stack_activation,power_mw*hours_per_day,capacity_mwh))*DAMAS_Daily!F202*activation_mult_A)</f>
        <v/>
      </c>
      <c r="N202" s="14">
        <f>F202+M202</f>
        <v/>
      </c>
    </row>
    <row r="203">
      <c r="A203" s="41">
        <f>DAMAS_Daily!A203</f>
        <v/>
      </c>
      <c r="B203" s="42">
        <f>DAMAS_Daily!B203</f>
        <v/>
      </c>
      <c r="C203" s="42">
        <f>IF((power_mw*hours_per_day*damas_afrr_up*capacity_mult_A*stack_capacity*acceptance_rate+(MIN(DAMAS_Daily!C203*market_share_A*acceptance_rate*stack_activation,power_mw*hours_per_day,capacity_mwh))*DAMAS_Daily!E203*activation_mult_A)&gt;=(power_mw*hours_per_day*damas_afrr_down*capacity_mult_A*stack_capacity*acceptance_rate+(MIN(DAMAS_Daily!D203*market_share_A*acceptance_rate*stack_activation,power_mw*hours_per_day,capacity_mwh))*DAMAS_Daily!F203*activation_mult_A),"aFRR+","aFRR-")</f>
        <v/>
      </c>
      <c r="D203" s="43">
        <f>IF(C203="aFRR+",damas_afrr_up*capacity_mult_A,damas_afrr_down*capacity_mult_A)</f>
        <v/>
      </c>
      <c r="E203" s="44">
        <f>acceptance_rate</f>
        <v/>
      </c>
      <c r="F203" s="13">
        <f>IF(C203="aFRR+",power_mw*hours_per_day*damas_afrr_up*capacity_mult_A*stack_capacity*acceptance_rate,power_mw*hours_per_day*damas_afrr_down*capacity_mult_A*stack_capacity*acceptance_rate)</f>
        <v/>
      </c>
      <c r="G203" s="42">
        <f>IF(C203="aFRR+",DAMAS_Daily!I203,DAMAS_Daily!J203)</f>
        <v/>
      </c>
      <c r="H203" s="43">
        <f>IF(C203="aFRR+",DAMAS_Daily!E203,DAMAS_Daily!F203)</f>
        <v/>
      </c>
      <c r="I203" s="43">
        <f>IF(C203="aFRR+",DAMAS_Daily!G203,DAMAS_Daily!H203)</f>
        <v/>
      </c>
      <c r="J203" s="45">
        <f>IF(C203="aFRR+",DAMAS_Daily!C203,DAMAS_Daily!D203)</f>
        <v/>
      </c>
      <c r="K203" s="45">
        <f>IF(C203="aFRR+",MIN(DAMAS_Daily!C203*market_share_A*acceptance_rate*stack_activation,power_mw*hours_per_day,capacity_mwh),MIN(DAMAS_Daily!D203*market_share_A*acceptance_rate*stack_activation,power_mw*hours_per_day,capacity_mwh))</f>
        <v/>
      </c>
      <c r="L203" s="42">
        <f>IF(K203&gt;=capacity_mwh-0.01,"yes","no")</f>
        <v/>
      </c>
      <c r="M203" s="13">
        <f>IF(C203="aFRR+",(MIN(DAMAS_Daily!C203*market_share_A*acceptance_rate*stack_activation,power_mw*hours_per_day,capacity_mwh))*DAMAS_Daily!E203*activation_mult_A,(MIN(DAMAS_Daily!D203*market_share_A*acceptance_rate*stack_activation,power_mw*hours_per_day,capacity_mwh))*DAMAS_Daily!F203*activation_mult_A)</f>
        <v/>
      </c>
      <c r="N203" s="14">
        <f>F203+M203</f>
        <v/>
      </c>
    </row>
    <row r="204">
      <c r="A204" s="41">
        <f>DAMAS_Daily!A204</f>
        <v/>
      </c>
      <c r="B204" s="42">
        <f>DAMAS_Daily!B204</f>
        <v/>
      </c>
      <c r="C204" s="42">
        <f>IF((power_mw*hours_per_day*damas_afrr_up*capacity_mult_A*stack_capacity*acceptance_rate+(MIN(DAMAS_Daily!C204*market_share_A*acceptance_rate*stack_activation,power_mw*hours_per_day,capacity_mwh))*DAMAS_Daily!E204*activation_mult_A)&gt;=(power_mw*hours_per_day*damas_afrr_down*capacity_mult_A*stack_capacity*acceptance_rate+(MIN(DAMAS_Daily!D204*market_share_A*acceptance_rate*stack_activation,power_mw*hours_per_day,capacity_mwh))*DAMAS_Daily!F204*activation_mult_A),"aFRR+","aFRR-")</f>
        <v/>
      </c>
      <c r="D204" s="43">
        <f>IF(C204="aFRR+",damas_afrr_up*capacity_mult_A,damas_afrr_down*capacity_mult_A)</f>
        <v/>
      </c>
      <c r="E204" s="44">
        <f>acceptance_rate</f>
        <v/>
      </c>
      <c r="F204" s="13">
        <f>IF(C204="aFRR+",power_mw*hours_per_day*damas_afrr_up*capacity_mult_A*stack_capacity*acceptance_rate,power_mw*hours_per_day*damas_afrr_down*capacity_mult_A*stack_capacity*acceptance_rate)</f>
        <v/>
      </c>
      <c r="G204" s="42">
        <f>IF(C204="aFRR+",DAMAS_Daily!I204,DAMAS_Daily!J204)</f>
        <v/>
      </c>
      <c r="H204" s="43">
        <f>IF(C204="aFRR+",DAMAS_Daily!E204,DAMAS_Daily!F204)</f>
        <v/>
      </c>
      <c r="I204" s="43">
        <f>IF(C204="aFRR+",DAMAS_Daily!G204,DAMAS_Daily!H204)</f>
        <v/>
      </c>
      <c r="J204" s="45">
        <f>IF(C204="aFRR+",DAMAS_Daily!C204,DAMAS_Daily!D204)</f>
        <v/>
      </c>
      <c r="K204" s="45">
        <f>IF(C204="aFRR+",MIN(DAMAS_Daily!C204*market_share_A*acceptance_rate*stack_activation,power_mw*hours_per_day,capacity_mwh),MIN(DAMAS_Daily!D204*market_share_A*acceptance_rate*stack_activation,power_mw*hours_per_day,capacity_mwh))</f>
        <v/>
      </c>
      <c r="L204" s="42">
        <f>IF(K204&gt;=capacity_mwh-0.01,"yes","no")</f>
        <v/>
      </c>
      <c r="M204" s="13">
        <f>IF(C204="aFRR+",(MIN(DAMAS_Daily!C204*market_share_A*acceptance_rate*stack_activation,power_mw*hours_per_day,capacity_mwh))*DAMAS_Daily!E204*activation_mult_A,(MIN(DAMAS_Daily!D204*market_share_A*acceptance_rate*stack_activation,power_mw*hours_per_day,capacity_mwh))*DAMAS_Daily!F204*activation_mult_A)</f>
        <v/>
      </c>
      <c r="N204" s="14">
        <f>F204+M204</f>
        <v/>
      </c>
    </row>
    <row r="205">
      <c r="A205" s="41">
        <f>DAMAS_Daily!A205</f>
        <v/>
      </c>
      <c r="B205" s="42">
        <f>DAMAS_Daily!B205</f>
        <v/>
      </c>
      <c r="C205" s="42">
        <f>IF((power_mw*hours_per_day*damas_afrr_up*capacity_mult_A*stack_capacity*acceptance_rate+(MIN(DAMAS_Daily!C205*market_share_A*acceptance_rate*stack_activation,power_mw*hours_per_day,capacity_mwh))*DAMAS_Daily!E205*activation_mult_A)&gt;=(power_mw*hours_per_day*damas_afrr_down*capacity_mult_A*stack_capacity*acceptance_rate+(MIN(DAMAS_Daily!D205*market_share_A*acceptance_rate*stack_activation,power_mw*hours_per_day,capacity_mwh))*DAMAS_Daily!F205*activation_mult_A),"aFRR+","aFRR-")</f>
        <v/>
      </c>
      <c r="D205" s="43">
        <f>IF(C205="aFRR+",damas_afrr_up*capacity_mult_A,damas_afrr_down*capacity_mult_A)</f>
        <v/>
      </c>
      <c r="E205" s="44">
        <f>acceptance_rate</f>
        <v/>
      </c>
      <c r="F205" s="13">
        <f>IF(C205="aFRR+",power_mw*hours_per_day*damas_afrr_up*capacity_mult_A*stack_capacity*acceptance_rate,power_mw*hours_per_day*damas_afrr_down*capacity_mult_A*stack_capacity*acceptance_rate)</f>
        <v/>
      </c>
      <c r="G205" s="42">
        <f>IF(C205="aFRR+",DAMAS_Daily!I205,DAMAS_Daily!J205)</f>
        <v/>
      </c>
      <c r="H205" s="43">
        <f>IF(C205="aFRR+",DAMAS_Daily!E205,DAMAS_Daily!F205)</f>
        <v/>
      </c>
      <c r="I205" s="43">
        <f>IF(C205="aFRR+",DAMAS_Daily!G205,DAMAS_Daily!H205)</f>
        <v/>
      </c>
      <c r="J205" s="45">
        <f>IF(C205="aFRR+",DAMAS_Daily!C205,DAMAS_Daily!D205)</f>
        <v/>
      </c>
      <c r="K205" s="45">
        <f>IF(C205="aFRR+",MIN(DAMAS_Daily!C205*market_share_A*acceptance_rate*stack_activation,power_mw*hours_per_day,capacity_mwh),MIN(DAMAS_Daily!D205*market_share_A*acceptance_rate*stack_activation,power_mw*hours_per_day,capacity_mwh))</f>
        <v/>
      </c>
      <c r="L205" s="42">
        <f>IF(K205&gt;=capacity_mwh-0.01,"yes","no")</f>
        <v/>
      </c>
      <c r="M205" s="13">
        <f>IF(C205="aFRR+",(MIN(DAMAS_Daily!C205*market_share_A*acceptance_rate*stack_activation,power_mw*hours_per_day,capacity_mwh))*DAMAS_Daily!E205*activation_mult_A,(MIN(DAMAS_Daily!D205*market_share_A*acceptance_rate*stack_activation,power_mw*hours_per_day,capacity_mwh))*DAMAS_Daily!F205*activation_mult_A)</f>
        <v/>
      </c>
      <c r="N205" s="14">
        <f>F205+M205</f>
        <v/>
      </c>
    </row>
    <row r="206">
      <c r="A206" s="41">
        <f>DAMAS_Daily!A206</f>
        <v/>
      </c>
      <c r="B206" s="42">
        <f>DAMAS_Daily!B206</f>
        <v/>
      </c>
      <c r="C206" s="42">
        <f>IF((power_mw*hours_per_day*damas_afrr_up*capacity_mult_A*stack_capacity*acceptance_rate+(MIN(DAMAS_Daily!C206*market_share_A*acceptance_rate*stack_activation,power_mw*hours_per_day,capacity_mwh))*DAMAS_Daily!E206*activation_mult_A)&gt;=(power_mw*hours_per_day*damas_afrr_down*capacity_mult_A*stack_capacity*acceptance_rate+(MIN(DAMAS_Daily!D206*market_share_A*acceptance_rate*stack_activation,power_mw*hours_per_day,capacity_mwh))*DAMAS_Daily!F206*activation_mult_A),"aFRR+","aFRR-")</f>
        <v/>
      </c>
      <c r="D206" s="43">
        <f>IF(C206="aFRR+",damas_afrr_up*capacity_mult_A,damas_afrr_down*capacity_mult_A)</f>
        <v/>
      </c>
      <c r="E206" s="44">
        <f>acceptance_rate</f>
        <v/>
      </c>
      <c r="F206" s="13">
        <f>IF(C206="aFRR+",power_mw*hours_per_day*damas_afrr_up*capacity_mult_A*stack_capacity*acceptance_rate,power_mw*hours_per_day*damas_afrr_down*capacity_mult_A*stack_capacity*acceptance_rate)</f>
        <v/>
      </c>
      <c r="G206" s="42">
        <f>IF(C206="aFRR+",DAMAS_Daily!I206,DAMAS_Daily!J206)</f>
        <v/>
      </c>
      <c r="H206" s="43">
        <f>IF(C206="aFRR+",DAMAS_Daily!E206,DAMAS_Daily!F206)</f>
        <v/>
      </c>
      <c r="I206" s="43">
        <f>IF(C206="aFRR+",DAMAS_Daily!G206,DAMAS_Daily!H206)</f>
        <v/>
      </c>
      <c r="J206" s="45">
        <f>IF(C206="aFRR+",DAMAS_Daily!C206,DAMAS_Daily!D206)</f>
        <v/>
      </c>
      <c r="K206" s="45">
        <f>IF(C206="aFRR+",MIN(DAMAS_Daily!C206*market_share_A*acceptance_rate*stack_activation,power_mw*hours_per_day,capacity_mwh),MIN(DAMAS_Daily!D206*market_share_A*acceptance_rate*stack_activation,power_mw*hours_per_day,capacity_mwh))</f>
        <v/>
      </c>
      <c r="L206" s="42">
        <f>IF(K206&gt;=capacity_mwh-0.01,"yes","no")</f>
        <v/>
      </c>
      <c r="M206" s="13">
        <f>IF(C206="aFRR+",(MIN(DAMAS_Daily!C206*market_share_A*acceptance_rate*stack_activation,power_mw*hours_per_day,capacity_mwh))*DAMAS_Daily!E206*activation_mult_A,(MIN(DAMAS_Daily!D206*market_share_A*acceptance_rate*stack_activation,power_mw*hours_per_day,capacity_mwh))*DAMAS_Daily!F206*activation_mult_A)</f>
        <v/>
      </c>
      <c r="N206" s="14">
        <f>F206+M206</f>
        <v/>
      </c>
    </row>
    <row r="207">
      <c r="A207" s="41">
        <f>DAMAS_Daily!A207</f>
        <v/>
      </c>
      <c r="B207" s="42">
        <f>DAMAS_Daily!B207</f>
        <v/>
      </c>
      <c r="C207" s="42">
        <f>IF((power_mw*hours_per_day*damas_afrr_up*capacity_mult_A*stack_capacity*acceptance_rate+(MIN(DAMAS_Daily!C207*market_share_A*acceptance_rate*stack_activation,power_mw*hours_per_day,capacity_mwh))*DAMAS_Daily!E207*activation_mult_A)&gt;=(power_mw*hours_per_day*damas_afrr_down*capacity_mult_A*stack_capacity*acceptance_rate+(MIN(DAMAS_Daily!D207*market_share_A*acceptance_rate*stack_activation,power_mw*hours_per_day,capacity_mwh))*DAMAS_Daily!F207*activation_mult_A),"aFRR+","aFRR-")</f>
        <v/>
      </c>
      <c r="D207" s="43">
        <f>IF(C207="aFRR+",damas_afrr_up*capacity_mult_A,damas_afrr_down*capacity_mult_A)</f>
        <v/>
      </c>
      <c r="E207" s="44">
        <f>acceptance_rate</f>
        <v/>
      </c>
      <c r="F207" s="13">
        <f>IF(C207="aFRR+",power_mw*hours_per_day*damas_afrr_up*capacity_mult_A*stack_capacity*acceptance_rate,power_mw*hours_per_day*damas_afrr_down*capacity_mult_A*stack_capacity*acceptance_rate)</f>
        <v/>
      </c>
      <c r="G207" s="42">
        <f>IF(C207="aFRR+",DAMAS_Daily!I207,DAMAS_Daily!J207)</f>
        <v/>
      </c>
      <c r="H207" s="43">
        <f>IF(C207="aFRR+",DAMAS_Daily!E207,DAMAS_Daily!F207)</f>
        <v/>
      </c>
      <c r="I207" s="43">
        <f>IF(C207="aFRR+",DAMAS_Daily!G207,DAMAS_Daily!H207)</f>
        <v/>
      </c>
      <c r="J207" s="45">
        <f>IF(C207="aFRR+",DAMAS_Daily!C207,DAMAS_Daily!D207)</f>
        <v/>
      </c>
      <c r="K207" s="45">
        <f>IF(C207="aFRR+",MIN(DAMAS_Daily!C207*market_share_A*acceptance_rate*stack_activation,power_mw*hours_per_day,capacity_mwh),MIN(DAMAS_Daily!D207*market_share_A*acceptance_rate*stack_activation,power_mw*hours_per_day,capacity_mwh))</f>
        <v/>
      </c>
      <c r="L207" s="42">
        <f>IF(K207&gt;=capacity_mwh-0.01,"yes","no")</f>
        <v/>
      </c>
      <c r="M207" s="13">
        <f>IF(C207="aFRR+",(MIN(DAMAS_Daily!C207*market_share_A*acceptance_rate*stack_activation,power_mw*hours_per_day,capacity_mwh))*DAMAS_Daily!E207*activation_mult_A,(MIN(DAMAS_Daily!D207*market_share_A*acceptance_rate*stack_activation,power_mw*hours_per_day,capacity_mwh))*DAMAS_Daily!F207*activation_mult_A)</f>
        <v/>
      </c>
      <c r="N207" s="14">
        <f>F207+M207</f>
        <v/>
      </c>
    </row>
    <row r="208">
      <c r="A208" s="41">
        <f>DAMAS_Daily!A208</f>
        <v/>
      </c>
      <c r="B208" s="42">
        <f>DAMAS_Daily!B208</f>
        <v/>
      </c>
      <c r="C208" s="42">
        <f>IF((power_mw*hours_per_day*damas_afrr_up*capacity_mult_A*stack_capacity*acceptance_rate+(MIN(DAMAS_Daily!C208*market_share_A*acceptance_rate*stack_activation,power_mw*hours_per_day,capacity_mwh))*DAMAS_Daily!E208*activation_mult_A)&gt;=(power_mw*hours_per_day*damas_afrr_down*capacity_mult_A*stack_capacity*acceptance_rate+(MIN(DAMAS_Daily!D208*market_share_A*acceptance_rate*stack_activation,power_mw*hours_per_day,capacity_mwh))*DAMAS_Daily!F208*activation_mult_A),"aFRR+","aFRR-")</f>
        <v/>
      </c>
      <c r="D208" s="43">
        <f>IF(C208="aFRR+",damas_afrr_up*capacity_mult_A,damas_afrr_down*capacity_mult_A)</f>
        <v/>
      </c>
      <c r="E208" s="44">
        <f>acceptance_rate</f>
        <v/>
      </c>
      <c r="F208" s="13">
        <f>IF(C208="aFRR+",power_mw*hours_per_day*damas_afrr_up*capacity_mult_A*stack_capacity*acceptance_rate,power_mw*hours_per_day*damas_afrr_down*capacity_mult_A*stack_capacity*acceptance_rate)</f>
        <v/>
      </c>
      <c r="G208" s="42">
        <f>IF(C208="aFRR+",DAMAS_Daily!I208,DAMAS_Daily!J208)</f>
        <v/>
      </c>
      <c r="H208" s="43">
        <f>IF(C208="aFRR+",DAMAS_Daily!E208,DAMAS_Daily!F208)</f>
        <v/>
      </c>
      <c r="I208" s="43">
        <f>IF(C208="aFRR+",DAMAS_Daily!G208,DAMAS_Daily!H208)</f>
        <v/>
      </c>
      <c r="J208" s="45">
        <f>IF(C208="aFRR+",DAMAS_Daily!C208,DAMAS_Daily!D208)</f>
        <v/>
      </c>
      <c r="K208" s="45">
        <f>IF(C208="aFRR+",MIN(DAMAS_Daily!C208*market_share_A*acceptance_rate*stack_activation,power_mw*hours_per_day,capacity_mwh),MIN(DAMAS_Daily!D208*market_share_A*acceptance_rate*stack_activation,power_mw*hours_per_day,capacity_mwh))</f>
        <v/>
      </c>
      <c r="L208" s="42">
        <f>IF(K208&gt;=capacity_mwh-0.01,"yes","no")</f>
        <v/>
      </c>
      <c r="M208" s="13">
        <f>IF(C208="aFRR+",(MIN(DAMAS_Daily!C208*market_share_A*acceptance_rate*stack_activation,power_mw*hours_per_day,capacity_mwh))*DAMAS_Daily!E208*activation_mult_A,(MIN(DAMAS_Daily!D208*market_share_A*acceptance_rate*stack_activation,power_mw*hours_per_day,capacity_mwh))*DAMAS_Daily!F208*activation_mult_A)</f>
        <v/>
      </c>
      <c r="N208" s="14">
        <f>F208+M208</f>
        <v/>
      </c>
    </row>
    <row r="209">
      <c r="A209" s="41">
        <f>DAMAS_Daily!A209</f>
        <v/>
      </c>
      <c r="B209" s="42">
        <f>DAMAS_Daily!B209</f>
        <v/>
      </c>
      <c r="C209" s="42">
        <f>IF((power_mw*hours_per_day*damas_afrr_up*capacity_mult_A*stack_capacity*acceptance_rate+(MIN(DAMAS_Daily!C209*market_share_A*acceptance_rate*stack_activation,power_mw*hours_per_day,capacity_mwh))*DAMAS_Daily!E209*activation_mult_A)&gt;=(power_mw*hours_per_day*damas_afrr_down*capacity_mult_A*stack_capacity*acceptance_rate+(MIN(DAMAS_Daily!D209*market_share_A*acceptance_rate*stack_activation,power_mw*hours_per_day,capacity_mwh))*DAMAS_Daily!F209*activation_mult_A),"aFRR+","aFRR-")</f>
        <v/>
      </c>
      <c r="D209" s="43">
        <f>IF(C209="aFRR+",damas_afrr_up*capacity_mult_A,damas_afrr_down*capacity_mult_A)</f>
        <v/>
      </c>
      <c r="E209" s="44">
        <f>acceptance_rate</f>
        <v/>
      </c>
      <c r="F209" s="13">
        <f>IF(C209="aFRR+",power_mw*hours_per_day*damas_afrr_up*capacity_mult_A*stack_capacity*acceptance_rate,power_mw*hours_per_day*damas_afrr_down*capacity_mult_A*stack_capacity*acceptance_rate)</f>
        <v/>
      </c>
      <c r="G209" s="42">
        <f>IF(C209="aFRR+",DAMAS_Daily!I209,DAMAS_Daily!J209)</f>
        <v/>
      </c>
      <c r="H209" s="43">
        <f>IF(C209="aFRR+",DAMAS_Daily!E209,DAMAS_Daily!F209)</f>
        <v/>
      </c>
      <c r="I209" s="43">
        <f>IF(C209="aFRR+",DAMAS_Daily!G209,DAMAS_Daily!H209)</f>
        <v/>
      </c>
      <c r="J209" s="45">
        <f>IF(C209="aFRR+",DAMAS_Daily!C209,DAMAS_Daily!D209)</f>
        <v/>
      </c>
      <c r="K209" s="45">
        <f>IF(C209="aFRR+",MIN(DAMAS_Daily!C209*market_share_A*acceptance_rate*stack_activation,power_mw*hours_per_day,capacity_mwh),MIN(DAMAS_Daily!D209*market_share_A*acceptance_rate*stack_activation,power_mw*hours_per_day,capacity_mwh))</f>
        <v/>
      </c>
      <c r="L209" s="42">
        <f>IF(K209&gt;=capacity_mwh-0.01,"yes","no")</f>
        <v/>
      </c>
      <c r="M209" s="13">
        <f>IF(C209="aFRR+",(MIN(DAMAS_Daily!C209*market_share_A*acceptance_rate*stack_activation,power_mw*hours_per_day,capacity_mwh))*DAMAS_Daily!E209*activation_mult_A,(MIN(DAMAS_Daily!D209*market_share_A*acceptance_rate*stack_activation,power_mw*hours_per_day,capacity_mwh))*DAMAS_Daily!F209*activation_mult_A)</f>
        <v/>
      </c>
      <c r="N209" s="14">
        <f>F209+M209</f>
        <v/>
      </c>
    </row>
    <row r="210">
      <c r="A210" s="41">
        <f>DAMAS_Daily!A210</f>
        <v/>
      </c>
      <c r="B210" s="42">
        <f>DAMAS_Daily!B210</f>
        <v/>
      </c>
      <c r="C210" s="42">
        <f>IF((power_mw*hours_per_day*damas_afrr_up*capacity_mult_A*stack_capacity*acceptance_rate+(MIN(DAMAS_Daily!C210*market_share_A*acceptance_rate*stack_activation,power_mw*hours_per_day,capacity_mwh))*DAMAS_Daily!E210*activation_mult_A)&gt;=(power_mw*hours_per_day*damas_afrr_down*capacity_mult_A*stack_capacity*acceptance_rate+(MIN(DAMAS_Daily!D210*market_share_A*acceptance_rate*stack_activation,power_mw*hours_per_day,capacity_mwh))*DAMAS_Daily!F210*activation_mult_A),"aFRR+","aFRR-")</f>
        <v/>
      </c>
      <c r="D210" s="43">
        <f>IF(C210="aFRR+",damas_afrr_up*capacity_mult_A,damas_afrr_down*capacity_mult_A)</f>
        <v/>
      </c>
      <c r="E210" s="44">
        <f>acceptance_rate</f>
        <v/>
      </c>
      <c r="F210" s="13">
        <f>IF(C210="aFRR+",power_mw*hours_per_day*damas_afrr_up*capacity_mult_A*stack_capacity*acceptance_rate,power_mw*hours_per_day*damas_afrr_down*capacity_mult_A*stack_capacity*acceptance_rate)</f>
        <v/>
      </c>
      <c r="G210" s="42">
        <f>IF(C210="aFRR+",DAMAS_Daily!I210,DAMAS_Daily!J210)</f>
        <v/>
      </c>
      <c r="H210" s="43">
        <f>IF(C210="aFRR+",DAMAS_Daily!E210,DAMAS_Daily!F210)</f>
        <v/>
      </c>
      <c r="I210" s="43">
        <f>IF(C210="aFRR+",DAMAS_Daily!G210,DAMAS_Daily!H210)</f>
        <v/>
      </c>
      <c r="J210" s="45">
        <f>IF(C210="aFRR+",DAMAS_Daily!C210,DAMAS_Daily!D210)</f>
        <v/>
      </c>
      <c r="K210" s="45">
        <f>IF(C210="aFRR+",MIN(DAMAS_Daily!C210*market_share_A*acceptance_rate*stack_activation,power_mw*hours_per_day,capacity_mwh),MIN(DAMAS_Daily!D210*market_share_A*acceptance_rate*stack_activation,power_mw*hours_per_day,capacity_mwh))</f>
        <v/>
      </c>
      <c r="L210" s="42">
        <f>IF(K210&gt;=capacity_mwh-0.01,"yes","no")</f>
        <v/>
      </c>
      <c r="M210" s="13">
        <f>IF(C210="aFRR+",(MIN(DAMAS_Daily!C210*market_share_A*acceptance_rate*stack_activation,power_mw*hours_per_day,capacity_mwh))*DAMAS_Daily!E210*activation_mult_A,(MIN(DAMAS_Daily!D210*market_share_A*acceptance_rate*stack_activation,power_mw*hours_per_day,capacity_mwh))*DAMAS_Daily!F210*activation_mult_A)</f>
        <v/>
      </c>
      <c r="N210" s="14">
        <f>F210+M210</f>
        <v/>
      </c>
    </row>
    <row r="211">
      <c r="A211" s="41">
        <f>DAMAS_Daily!A211</f>
        <v/>
      </c>
      <c r="B211" s="42">
        <f>DAMAS_Daily!B211</f>
        <v/>
      </c>
      <c r="C211" s="42">
        <f>IF((power_mw*hours_per_day*damas_afrr_up*capacity_mult_A*stack_capacity*acceptance_rate+(MIN(DAMAS_Daily!C211*market_share_A*acceptance_rate*stack_activation,power_mw*hours_per_day,capacity_mwh))*DAMAS_Daily!E211*activation_mult_A)&gt;=(power_mw*hours_per_day*damas_afrr_down*capacity_mult_A*stack_capacity*acceptance_rate+(MIN(DAMAS_Daily!D211*market_share_A*acceptance_rate*stack_activation,power_mw*hours_per_day,capacity_mwh))*DAMAS_Daily!F211*activation_mult_A),"aFRR+","aFRR-")</f>
        <v/>
      </c>
      <c r="D211" s="43">
        <f>IF(C211="aFRR+",damas_afrr_up*capacity_mult_A,damas_afrr_down*capacity_mult_A)</f>
        <v/>
      </c>
      <c r="E211" s="44">
        <f>acceptance_rate</f>
        <v/>
      </c>
      <c r="F211" s="13">
        <f>IF(C211="aFRR+",power_mw*hours_per_day*damas_afrr_up*capacity_mult_A*stack_capacity*acceptance_rate,power_mw*hours_per_day*damas_afrr_down*capacity_mult_A*stack_capacity*acceptance_rate)</f>
        <v/>
      </c>
      <c r="G211" s="42">
        <f>IF(C211="aFRR+",DAMAS_Daily!I211,DAMAS_Daily!J211)</f>
        <v/>
      </c>
      <c r="H211" s="43">
        <f>IF(C211="aFRR+",DAMAS_Daily!E211,DAMAS_Daily!F211)</f>
        <v/>
      </c>
      <c r="I211" s="43">
        <f>IF(C211="aFRR+",DAMAS_Daily!G211,DAMAS_Daily!H211)</f>
        <v/>
      </c>
      <c r="J211" s="45">
        <f>IF(C211="aFRR+",DAMAS_Daily!C211,DAMAS_Daily!D211)</f>
        <v/>
      </c>
      <c r="K211" s="45">
        <f>IF(C211="aFRR+",MIN(DAMAS_Daily!C211*market_share_A*acceptance_rate*stack_activation,power_mw*hours_per_day,capacity_mwh),MIN(DAMAS_Daily!D211*market_share_A*acceptance_rate*stack_activation,power_mw*hours_per_day,capacity_mwh))</f>
        <v/>
      </c>
      <c r="L211" s="42">
        <f>IF(K211&gt;=capacity_mwh-0.01,"yes","no")</f>
        <v/>
      </c>
      <c r="M211" s="13">
        <f>IF(C211="aFRR+",(MIN(DAMAS_Daily!C211*market_share_A*acceptance_rate*stack_activation,power_mw*hours_per_day,capacity_mwh))*DAMAS_Daily!E211*activation_mult_A,(MIN(DAMAS_Daily!D211*market_share_A*acceptance_rate*stack_activation,power_mw*hours_per_day,capacity_mwh))*DAMAS_Daily!F211*activation_mult_A)</f>
        <v/>
      </c>
      <c r="N211" s="14">
        <f>F211+M211</f>
        <v/>
      </c>
    </row>
    <row r="212">
      <c r="A212" s="41">
        <f>DAMAS_Daily!A212</f>
        <v/>
      </c>
      <c r="B212" s="42">
        <f>DAMAS_Daily!B212</f>
        <v/>
      </c>
      <c r="C212" s="42">
        <f>IF((power_mw*hours_per_day*damas_afrr_up*capacity_mult_A*stack_capacity*acceptance_rate+(MIN(DAMAS_Daily!C212*market_share_A*acceptance_rate*stack_activation,power_mw*hours_per_day,capacity_mwh))*DAMAS_Daily!E212*activation_mult_A)&gt;=(power_mw*hours_per_day*damas_afrr_down*capacity_mult_A*stack_capacity*acceptance_rate+(MIN(DAMAS_Daily!D212*market_share_A*acceptance_rate*stack_activation,power_mw*hours_per_day,capacity_mwh))*DAMAS_Daily!F212*activation_mult_A),"aFRR+","aFRR-")</f>
        <v/>
      </c>
      <c r="D212" s="43">
        <f>IF(C212="aFRR+",damas_afrr_up*capacity_mult_A,damas_afrr_down*capacity_mult_A)</f>
        <v/>
      </c>
      <c r="E212" s="44">
        <f>acceptance_rate</f>
        <v/>
      </c>
      <c r="F212" s="13">
        <f>IF(C212="aFRR+",power_mw*hours_per_day*damas_afrr_up*capacity_mult_A*stack_capacity*acceptance_rate,power_mw*hours_per_day*damas_afrr_down*capacity_mult_A*stack_capacity*acceptance_rate)</f>
        <v/>
      </c>
      <c r="G212" s="42">
        <f>IF(C212="aFRR+",DAMAS_Daily!I212,DAMAS_Daily!J212)</f>
        <v/>
      </c>
      <c r="H212" s="43">
        <f>IF(C212="aFRR+",DAMAS_Daily!E212,DAMAS_Daily!F212)</f>
        <v/>
      </c>
      <c r="I212" s="43">
        <f>IF(C212="aFRR+",DAMAS_Daily!G212,DAMAS_Daily!H212)</f>
        <v/>
      </c>
      <c r="J212" s="45">
        <f>IF(C212="aFRR+",DAMAS_Daily!C212,DAMAS_Daily!D212)</f>
        <v/>
      </c>
      <c r="K212" s="45">
        <f>IF(C212="aFRR+",MIN(DAMAS_Daily!C212*market_share_A*acceptance_rate*stack_activation,power_mw*hours_per_day,capacity_mwh),MIN(DAMAS_Daily!D212*market_share_A*acceptance_rate*stack_activation,power_mw*hours_per_day,capacity_mwh))</f>
        <v/>
      </c>
      <c r="L212" s="42">
        <f>IF(K212&gt;=capacity_mwh-0.01,"yes","no")</f>
        <v/>
      </c>
      <c r="M212" s="13">
        <f>IF(C212="aFRR+",(MIN(DAMAS_Daily!C212*market_share_A*acceptance_rate*stack_activation,power_mw*hours_per_day,capacity_mwh))*DAMAS_Daily!E212*activation_mult_A,(MIN(DAMAS_Daily!D212*market_share_A*acceptance_rate*stack_activation,power_mw*hours_per_day,capacity_mwh))*DAMAS_Daily!F212*activation_mult_A)</f>
        <v/>
      </c>
      <c r="N212" s="14">
        <f>F212+M212</f>
        <v/>
      </c>
    </row>
    <row r="213">
      <c r="A213" s="41">
        <f>DAMAS_Daily!A213</f>
        <v/>
      </c>
      <c r="B213" s="42">
        <f>DAMAS_Daily!B213</f>
        <v/>
      </c>
      <c r="C213" s="42">
        <f>IF((power_mw*hours_per_day*damas_afrr_up*capacity_mult_A*stack_capacity*acceptance_rate+(MIN(DAMAS_Daily!C213*market_share_A*acceptance_rate*stack_activation,power_mw*hours_per_day,capacity_mwh))*DAMAS_Daily!E213*activation_mult_A)&gt;=(power_mw*hours_per_day*damas_afrr_down*capacity_mult_A*stack_capacity*acceptance_rate+(MIN(DAMAS_Daily!D213*market_share_A*acceptance_rate*stack_activation,power_mw*hours_per_day,capacity_mwh))*DAMAS_Daily!F213*activation_mult_A),"aFRR+","aFRR-")</f>
        <v/>
      </c>
      <c r="D213" s="43">
        <f>IF(C213="aFRR+",damas_afrr_up*capacity_mult_A,damas_afrr_down*capacity_mult_A)</f>
        <v/>
      </c>
      <c r="E213" s="44">
        <f>acceptance_rate</f>
        <v/>
      </c>
      <c r="F213" s="13">
        <f>IF(C213="aFRR+",power_mw*hours_per_day*damas_afrr_up*capacity_mult_A*stack_capacity*acceptance_rate,power_mw*hours_per_day*damas_afrr_down*capacity_mult_A*stack_capacity*acceptance_rate)</f>
        <v/>
      </c>
      <c r="G213" s="42">
        <f>IF(C213="aFRR+",DAMAS_Daily!I213,DAMAS_Daily!J213)</f>
        <v/>
      </c>
      <c r="H213" s="43">
        <f>IF(C213="aFRR+",DAMAS_Daily!E213,DAMAS_Daily!F213)</f>
        <v/>
      </c>
      <c r="I213" s="43">
        <f>IF(C213="aFRR+",DAMAS_Daily!G213,DAMAS_Daily!H213)</f>
        <v/>
      </c>
      <c r="J213" s="45">
        <f>IF(C213="aFRR+",DAMAS_Daily!C213,DAMAS_Daily!D213)</f>
        <v/>
      </c>
      <c r="K213" s="45">
        <f>IF(C213="aFRR+",MIN(DAMAS_Daily!C213*market_share_A*acceptance_rate*stack_activation,power_mw*hours_per_day,capacity_mwh),MIN(DAMAS_Daily!D213*market_share_A*acceptance_rate*stack_activation,power_mw*hours_per_day,capacity_mwh))</f>
        <v/>
      </c>
      <c r="L213" s="42">
        <f>IF(K213&gt;=capacity_mwh-0.01,"yes","no")</f>
        <v/>
      </c>
      <c r="M213" s="13">
        <f>IF(C213="aFRR+",(MIN(DAMAS_Daily!C213*market_share_A*acceptance_rate*stack_activation,power_mw*hours_per_day,capacity_mwh))*DAMAS_Daily!E213*activation_mult_A,(MIN(DAMAS_Daily!D213*market_share_A*acceptance_rate*stack_activation,power_mw*hours_per_day,capacity_mwh))*DAMAS_Daily!F213*activation_mult_A)</f>
        <v/>
      </c>
      <c r="N213" s="14">
        <f>F213+M213</f>
        <v/>
      </c>
    </row>
    <row r="214">
      <c r="A214" s="41">
        <f>DAMAS_Daily!A214</f>
        <v/>
      </c>
      <c r="B214" s="42">
        <f>DAMAS_Daily!B214</f>
        <v/>
      </c>
      <c r="C214" s="42">
        <f>IF((power_mw*hours_per_day*damas_afrr_up*capacity_mult_A*stack_capacity*acceptance_rate+(MIN(DAMAS_Daily!C214*market_share_A*acceptance_rate*stack_activation,power_mw*hours_per_day,capacity_mwh))*DAMAS_Daily!E214*activation_mult_A)&gt;=(power_mw*hours_per_day*damas_afrr_down*capacity_mult_A*stack_capacity*acceptance_rate+(MIN(DAMAS_Daily!D214*market_share_A*acceptance_rate*stack_activation,power_mw*hours_per_day,capacity_mwh))*DAMAS_Daily!F214*activation_mult_A),"aFRR+","aFRR-")</f>
        <v/>
      </c>
      <c r="D214" s="43">
        <f>IF(C214="aFRR+",damas_afrr_up*capacity_mult_A,damas_afrr_down*capacity_mult_A)</f>
        <v/>
      </c>
      <c r="E214" s="44">
        <f>acceptance_rate</f>
        <v/>
      </c>
      <c r="F214" s="13">
        <f>IF(C214="aFRR+",power_mw*hours_per_day*damas_afrr_up*capacity_mult_A*stack_capacity*acceptance_rate,power_mw*hours_per_day*damas_afrr_down*capacity_mult_A*stack_capacity*acceptance_rate)</f>
        <v/>
      </c>
      <c r="G214" s="42">
        <f>IF(C214="aFRR+",DAMAS_Daily!I214,DAMAS_Daily!J214)</f>
        <v/>
      </c>
      <c r="H214" s="43">
        <f>IF(C214="aFRR+",DAMAS_Daily!E214,DAMAS_Daily!F214)</f>
        <v/>
      </c>
      <c r="I214" s="43">
        <f>IF(C214="aFRR+",DAMAS_Daily!G214,DAMAS_Daily!H214)</f>
        <v/>
      </c>
      <c r="J214" s="45">
        <f>IF(C214="aFRR+",DAMAS_Daily!C214,DAMAS_Daily!D214)</f>
        <v/>
      </c>
      <c r="K214" s="45">
        <f>IF(C214="aFRR+",MIN(DAMAS_Daily!C214*market_share_A*acceptance_rate*stack_activation,power_mw*hours_per_day,capacity_mwh),MIN(DAMAS_Daily!D214*market_share_A*acceptance_rate*stack_activation,power_mw*hours_per_day,capacity_mwh))</f>
        <v/>
      </c>
      <c r="L214" s="42">
        <f>IF(K214&gt;=capacity_mwh-0.01,"yes","no")</f>
        <v/>
      </c>
      <c r="M214" s="13">
        <f>IF(C214="aFRR+",(MIN(DAMAS_Daily!C214*market_share_A*acceptance_rate*stack_activation,power_mw*hours_per_day,capacity_mwh))*DAMAS_Daily!E214*activation_mult_A,(MIN(DAMAS_Daily!D214*market_share_A*acceptance_rate*stack_activation,power_mw*hours_per_day,capacity_mwh))*DAMAS_Daily!F214*activation_mult_A)</f>
        <v/>
      </c>
      <c r="N214" s="14">
        <f>F214+M214</f>
        <v/>
      </c>
    </row>
    <row r="215">
      <c r="A215" s="41">
        <f>DAMAS_Daily!A215</f>
        <v/>
      </c>
      <c r="B215" s="42">
        <f>DAMAS_Daily!B215</f>
        <v/>
      </c>
      <c r="C215" s="42">
        <f>IF((power_mw*hours_per_day*damas_afrr_up*capacity_mult_A*stack_capacity*acceptance_rate+(MIN(DAMAS_Daily!C215*market_share_A*acceptance_rate*stack_activation,power_mw*hours_per_day,capacity_mwh))*DAMAS_Daily!E215*activation_mult_A)&gt;=(power_mw*hours_per_day*damas_afrr_down*capacity_mult_A*stack_capacity*acceptance_rate+(MIN(DAMAS_Daily!D215*market_share_A*acceptance_rate*stack_activation,power_mw*hours_per_day,capacity_mwh))*DAMAS_Daily!F215*activation_mult_A),"aFRR+","aFRR-")</f>
        <v/>
      </c>
      <c r="D215" s="43">
        <f>IF(C215="aFRR+",damas_afrr_up*capacity_mult_A,damas_afrr_down*capacity_mult_A)</f>
        <v/>
      </c>
      <c r="E215" s="44">
        <f>acceptance_rate</f>
        <v/>
      </c>
      <c r="F215" s="13">
        <f>IF(C215="aFRR+",power_mw*hours_per_day*damas_afrr_up*capacity_mult_A*stack_capacity*acceptance_rate,power_mw*hours_per_day*damas_afrr_down*capacity_mult_A*stack_capacity*acceptance_rate)</f>
        <v/>
      </c>
      <c r="G215" s="42">
        <f>IF(C215="aFRR+",DAMAS_Daily!I215,DAMAS_Daily!J215)</f>
        <v/>
      </c>
      <c r="H215" s="43">
        <f>IF(C215="aFRR+",DAMAS_Daily!E215,DAMAS_Daily!F215)</f>
        <v/>
      </c>
      <c r="I215" s="43">
        <f>IF(C215="aFRR+",DAMAS_Daily!G215,DAMAS_Daily!H215)</f>
        <v/>
      </c>
      <c r="J215" s="45">
        <f>IF(C215="aFRR+",DAMAS_Daily!C215,DAMAS_Daily!D215)</f>
        <v/>
      </c>
      <c r="K215" s="45">
        <f>IF(C215="aFRR+",MIN(DAMAS_Daily!C215*market_share_A*acceptance_rate*stack_activation,power_mw*hours_per_day,capacity_mwh),MIN(DAMAS_Daily!D215*market_share_A*acceptance_rate*stack_activation,power_mw*hours_per_day,capacity_mwh))</f>
        <v/>
      </c>
      <c r="L215" s="42">
        <f>IF(K215&gt;=capacity_mwh-0.01,"yes","no")</f>
        <v/>
      </c>
      <c r="M215" s="13">
        <f>IF(C215="aFRR+",(MIN(DAMAS_Daily!C215*market_share_A*acceptance_rate*stack_activation,power_mw*hours_per_day,capacity_mwh))*DAMAS_Daily!E215*activation_mult_A,(MIN(DAMAS_Daily!D215*market_share_A*acceptance_rate*stack_activation,power_mw*hours_per_day,capacity_mwh))*DAMAS_Daily!F215*activation_mult_A)</f>
        <v/>
      </c>
      <c r="N215" s="14">
        <f>F215+M215</f>
        <v/>
      </c>
    </row>
    <row r="216">
      <c r="A216" s="41">
        <f>DAMAS_Daily!A216</f>
        <v/>
      </c>
      <c r="B216" s="42">
        <f>DAMAS_Daily!B216</f>
        <v/>
      </c>
      <c r="C216" s="42">
        <f>IF((power_mw*hours_per_day*damas_afrr_up*capacity_mult_A*stack_capacity*acceptance_rate+(MIN(DAMAS_Daily!C216*market_share_A*acceptance_rate*stack_activation,power_mw*hours_per_day,capacity_mwh))*DAMAS_Daily!E216*activation_mult_A)&gt;=(power_mw*hours_per_day*damas_afrr_down*capacity_mult_A*stack_capacity*acceptance_rate+(MIN(DAMAS_Daily!D216*market_share_A*acceptance_rate*stack_activation,power_mw*hours_per_day,capacity_mwh))*DAMAS_Daily!F216*activation_mult_A),"aFRR+","aFRR-")</f>
        <v/>
      </c>
      <c r="D216" s="43">
        <f>IF(C216="aFRR+",damas_afrr_up*capacity_mult_A,damas_afrr_down*capacity_mult_A)</f>
        <v/>
      </c>
      <c r="E216" s="44">
        <f>acceptance_rate</f>
        <v/>
      </c>
      <c r="F216" s="13">
        <f>IF(C216="aFRR+",power_mw*hours_per_day*damas_afrr_up*capacity_mult_A*stack_capacity*acceptance_rate,power_mw*hours_per_day*damas_afrr_down*capacity_mult_A*stack_capacity*acceptance_rate)</f>
        <v/>
      </c>
      <c r="G216" s="42">
        <f>IF(C216="aFRR+",DAMAS_Daily!I216,DAMAS_Daily!J216)</f>
        <v/>
      </c>
      <c r="H216" s="43">
        <f>IF(C216="aFRR+",DAMAS_Daily!E216,DAMAS_Daily!F216)</f>
        <v/>
      </c>
      <c r="I216" s="43">
        <f>IF(C216="aFRR+",DAMAS_Daily!G216,DAMAS_Daily!H216)</f>
        <v/>
      </c>
      <c r="J216" s="45">
        <f>IF(C216="aFRR+",DAMAS_Daily!C216,DAMAS_Daily!D216)</f>
        <v/>
      </c>
      <c r="K216" s="45">
        <f>IF(C216="aFRR+",MIN(DAMAS_Daily!C216*market_share_A*acceptance_rate*stack_activation,power_mw*hours_per_day,capacity_mwh),MIN(DAMAS_Daily!D216*market_share_A*acceptance_rate*stack_activation,power_mw*hours_per_day,capacity_mwh))</f>
        <v/>
      </c>
      <c r="L216" s="42">
        <f>IF(K216&gt;=capacity_mwh-0.01,"yes","no")</f>
        <v/>
      </c>
      <c r="M216" s="13">
        <f>IF(C216="aFRR+",(MIN(DAMAS_Daily!C216*market_share_A*acceptance_rate*stack_activation,power_mw*hours_per_day,capacity_mwh))*DAMAS_Daily!E216*activation_mult_A,(MIN(DAMAS_Daily!D216*market_share_A*acceptance_rate*stack_activation,power_mw*hours_per_day,capacity_mwh))*DAMAS_Daily!F216*activation_mult_A)</f>
        <v/>
      </c>
      <c r="N216" s="14">
        <f>F216+M216</f>
        <v/>
      </c>
    </row>
    <row r="217">
      <c r="A217" s="41">
        <f>DAMAS_Daily!A217</f>
        <v/>
      </c>
      <c r="B217" s="42">
        <f>DAMAS_Daily!B217</f>
        <v/>
      </c>
      <c r="C217" s="42">
        <f>IF((power_mw*hours_per_day*damas_afrr_up*capacity_mult_A*stack_capacity*acceptance_rate+(MIN(DAMAS_Daily!C217*market_share_A*acceptance_rate*stack_activation,power_mw*hours_per_day,capacity_mwh))*DAMAS_Daily!E217*activation_mult_A)&gt;=(power_mw*hours_per_day*damas_afrr_down*capacity_mult_A*stack_capacity*acceptance_rate+(MIN(DAMAS_Daily!D217*market_share_A*acceptance_rate*stack_activation,power_mw*hours_per_day,capacity_mwh))*DAMAS_Daily!F217*activation_mult_A),"aFRR+","aFRR-")</f>
        <v/>
      </c>
      <c r="D217" s="43">
        <f>IF(C217="aFRR+",damas_afrr_up*capacity_mult_A,damas_afrr_down*capacity_mult_A)</f>
        <v/>
      </c>
      <c r="E217" s="44">
        <f>acceptance_rate</f>
        <v/>
      </c>
      <c r="F217" s="13">
        <f>IF(C217="aFRR+",power_mw*hours_per_day*damas_afrr_up*capacity_mult_A*stack_capacity*acceptance_rate,power_mw*hours_per_day*damas_afrr_down*capacity_mult_A*stack_capacity*acceptance_rate)</f>
        <v/>
      </c>
      <c r="G217" s="42">
        <f>IF(C217="aFRR+",DAMAS_Daily!I217,DAMAS_Daily!J217)</f>
        <v/>
      </c>
      <c r="H217" s="43">
        <f>IF(C217="aFRR+",DAMAS_Daily!E217,DAMAS_Daily!F217)</f>
        <v/>
      </c>
      <c r="I217" s="43">
        <f>IF(C217="aFRR+",DAMAS_Daily!G217,DAMAS_Daily!H217)</f>
        <v/>
      </c>
      <c r="J217" s="45">
        <f>IF(C217="aFRR+",DAMAS_Daily!C217,DAMAS_Daily!D217)</f>
        <v/>
      </c>
      <c r="K217" s="45">
        <f>IF(C217="aFRR+",MIN(DAMAS_Daily!C217*market_share_A*acceptance_rate*stack_activation,power_mw*hours_per_day,capacity_mwh),MIN(DAMAS_Daily!D217*market_share_A*acceptance_rate*stack_activation,power_mw*hours_per_day,capacity_mwh))</f>
        <v/>
      </c>
      <c r="L217" s="42">
        <f>IF(K217&gt;=capacity_mwh-0.01,"yes","no")</f>
        <v/>
      </c>
      <c r="M217" s="13">
        <f>IF(C217="aFRR+",(MIN(DAMAS_Daily!C217*market_share_A*acceptance_rate*stack_activation,power_mw*hours_per_day,capacity_mwh))*DAMAS_Daily!E217*activation_mult_A,(MIN(DAMAS_Daily!D217*market_share_A*acceptance_rate*stack_activation,power_mw*hours_per_day,capacity_mwh))*DAMAS_Daily!F217*activation_mult_A)</f>
        <v/>
      </c>
      <c r="N217" s="14">
        <f>F217+M217</f>
        <v/>
      </c>
    </row>
    <row r="218">
      <c r="A218" s="41">
        <f>DAMAS_Daily!A218</f>
        <v/>
      </c>
      <c r="B218" s="42">
        <f>DAMAS_Daily!B218</f>
        <v/>
      </c>
      <c r="C218" s="42">
        <f>IF((power_mw*hours_per_day*damas_afrr_up*capacity_mult_A*stack_capacity*acceptance_rate+(MIN(DAMAS_Daily!C218*market_share_A*acceptance_rate*stack_activation,power_mw*hours_per_day,capacity_mwh))*DAMAS_Daily!E218*activation_mult_A)&gt;=(power_mw*hours_per_day*damas_afrr_down*capacity_mult_A*stack_capacity*acceptance_rate+(MIN(DAMAS_Daily!D218*market_share_A*acceptance_rate*stack_activation,power_mw*hours_per_day,capacity_mwh))*DAMAS_Daily!F218*activation_mult_A),"aFRR+","aFRR-")</f>
        <v/>
      </c>
      <c r="D218" s="43">
        <f>IF(C218="aFRR+",damas_afrr_up*capacity_mult_A,damas_afrr_down*capacity_mult_A)</f>
        <v/>
      </c>
      <c r="E218" s="44">
        <f>acceptance_rate</f>
        <v/>
      </c>
      <c r="F218" s="13">
        <f>IF(C218="aFRR+",power_mw*hours_per_day*damas_afrr_up*capacity_mult_A*stack_capacity*acceptance_rate,power_mw*hours_per_day*damas_afrr_down*capacity_mult_A*stack_capacity*acceptance_rate)</f>
        <v/>
      </c>
      <c r="G218" s="42">
        <f>IF(C218="aFRR+",DAMAS_Daily!I218,DAMAS_Daily!J218)</f>
        <v/>
      </c>
      <c r="H218" s="43">
        <f>IF(C218="aFRR+",DAMAS_Daily!E218,DAMAS_Daily!F218)</f>
        <v/>
      </c>
      <c r="I218" s="43">
        <f>IF(C218="aFRR+",DAMAS_Daily!G218,DAMAS_Daily!H218)</f>
        <v/>
      </c>
      <c r="J218" s="45">
        <f>IF(C218="aFRR+",DAMAS_Daily!C218,DAMAS_Daily!D218)</f>
        <v/>
      </c>
      <c r="K218" s="45">
        <f>IF(C218="aFRR+",MIN(DAMAS_Daily!C218*market_share_A*acceptance_rate*stack_activation,power_mw*hours_per_day,capacity_mwh),MIN(DAMAS_Daily!D218*market_share_A*acceptance_rate*stack_activation,power_mw*hours_per_day,capacity_mwh))</f>
        <v/>
      </c>
      <c r="L218" s="42">
        <f>IF(K218&gt;=capacity_mwh-0.01,"yes","no")</f>
        <v/>
      </c>
      <c r="M218" s="13">
        <f>IF(C218="aFRR+",(MIN(DAMAS_Daily!C218*market_share_A*acceptance_rate*stack_activation,power_mw*hours_per_day,capacity_mwh))*DAMAS_Daily!E218*activation_mult_A,(MIN(DAMAS_Daily!D218*market_share_A*acceptance_rate*stack_activation,power_mw*hours_per_day,capacity_mwh))*DAMAS_Daily!F218*activation_mult_A)</f>
        <v/>
      </c>
      <c r="N218" s="14">
        <f>F218+M218</f>
        <v/>
      </c>
    </row>
    <row r="219">
      <c r="A219" s="41">
        <f>DAMAS_Daily!A219</f>
        <v/>
      </c>
      <c r="B219" s="42">
        <f>DAMAS_Daily!B219</f>
        <v/>
      </c>
      <c r="C219" s="42">
        <f>IF((power_mw*hours_per_day*damas_afrr_up*capacity_mult_A*stack_capacity*acceptance_rate+(MIN(DAMAS_Daily!C219*market_share_A*acceptance_rate*stack_activation,power_mw*hours_per_day,capacity_mwh))*DAMAS_Daily!E219*activation_mult_A)&gt;=(power_mw*hours_per_day*damas_afrr_down*capacity_mult_A*stack_capacity*acceptance_rate+(MIN(DAMAS_Daily!D219*market_share_A*acceptance_rate*stack_activation,power_mw*hours_per_day,capacity_mwh))*DAMAS_Daily!F219*activation_mult_A),"aFRR+","aFRR-")</f>
        <v/>
      </c>
      <c r="D219" s="43">
        <f>IF(C219="aFRR+",damas_afrr_up*capacity_mult_A,damas_afrr_down*capacity_mult_A)</f>
        <v/>
      </c>
      <c r="E219" s="44">
        <f>acceptance_rate</f>
        <v/>
      </c>
      <c r="F219" s="13">
        <f>IF(C219="aFRR+",power_mw*hours_per_day*damas_afrr_up*capacity_mult_A*stack_capacity*acceptance_rate,power_mw*hours_per_day*damas_afrr_down*capacity_mult_A*stack_capacity*acceptance_rate)</f>
        <v/>
      </c>
      <c r="G219" s="42">
        <f>IF(C219="aFRR+",DAMAS_Daily!I219,DAMAS_Daily!J219)</f>
        <v/>
      </c>
      <c r="H219" s="43">
        <f>IF(C219="aFRR+",DAMAS_Daily!E219,DAMAS_Daily!F219)</f>
        <v/>
      </c>
      <c r="I219" s="43">
        <f>IF(C219="aFRR+",DAMAS_Daily!G219,DAMAS_Daily!H219)</f>
        <v/>
      </c>
      <c r="J219" s="45">
        <f>IF(C219="aFRR+",DAMAS_Daily!C219,DAMAS_Daily!D219)</f>
        <v/>
      </c>
      <c r="K219" s="45">
        <f>IF(C219="aFRR+",MIN(DAMAS_Daily!C219*market_share_A*acceptance_rate*stack_activation,power_mw*hours_per_day,capacity_mwh),MIN(DAMAS_Daily!D219*market_share_A*acceptance_rate*stack_activation,power_mw*hours_per_day,capacity_mwh))</f>
        <v/>
      </c>
      <c r="L219" s="42">
        <f>IF(K219&gt;=capacity_mwh-0.01,"yes","no")</f>
        <v/>
      </c>
      <c r="M219" s="13">
        <f>IF(C219="aFRR+",(MIN(DAMAS_Daily!C219*market_share_A*acceptance_rate*stack_activation,power_mw*hours_per_day,capacity_mwh))*DAMAS_Daily!E219*activation_mult_A,(MIN(DAMAS_Daily!D219*market_share_A*acceptance_rate*stack_activation,power_mw*hours_per_day,capacity_mwh))*DAMAS_Daily!F219*activation_mult_A)</f>
        <v/>
      </c>
      <c r="N219" s="14">
        <f>F219+M219</f>
        <v/>
      </c>
    </row>
    <row r="220">
      <c r="A220" s="41">
        <f>DAMAS_Daily!A220</f>
        <v/>
      </c>
      <c r="B220" s="42">
        <f>DAMAS_Daily!B220</f>
        <v/>
      </c>
      <c r="C220" s="42">
        <f>IF((power_mw*hours_per_day*damas_afrr_up*capacity_mult_A*stack_capacity*acceptance_rate+(MIN(DAMAS_Daily!C220*market_share_A*acceptance_rate*stack_activation,power_mw*hours_per_day,capacity_mwh))*DAMAS_Daily!E220*activation_mult_A)&gt;=(power_mw*hours_per_day*damas_afrr_down*capacity_mult_A*stack_capacity*acceptance_rate+(MIN(DAMAS_Daily!D220*market_share_A*acceptance_rate*stack_activation,power_mw*hours_per_day,capacity_mwh))*DAMAS_Daily!F220*activation_mult_A),"aFRR+","aFRR-")</f>
        <v/>
      </c>
      <c r="D220" s="43">
        <f>IF(C220="aFRR+",damas_afrr_up*capacity_mult_A,damas_afrr_down*capacity_mult_A)</f>
        <v/>
      </c>
      <c r="E220" s="44">
        <f>acceptance_rate</f>
        <v/>
      </c>
      <c r="F220" s="13">
        <f>IF(C220="aFRR+",power_mw*hours_per_day*damas_afrr_up*capacity_mult_A*stack_capacity*acceptance_rate,power_mw*hours_per_day*damas_afrr_down*capacity_mult_A*stack_capacity*acceptance_rate)</f>
        <v/>
      </c>
      <c r="G220" s="42">
        <f>IF(C220="aFRR+",DAMAS_Daily!I220,DAMAS_Daily!J220)</f>
        <v/>
      </c>
      <c r="H220" s="43">
        <f>IF(C220="aFRR+",DAMAS_Daily!E220,DAMAS_Daily!F220)</f>
        <v/>
      </c>
      <c r="I220" s="43">
        <f>IF(C220="aFRR+",DAMAS_Daily!G220,DAMAS_Daily!H220)</f>
        <v/>
      </c>
      <c r="J220" s="45">
        <f>IF(C220="aFRR+",DAMAS_Daily!C220,DAMAS_Daily!D220)</f>
        <v/>
      </c>
      <c r="K220" s="45">
        <f>IF(C220="aFRR+",MIN(DAMAS_Daily!C220*market_share_A*acceptance_rate*stack_activation,power_mw*hours_per_day,capacity_mwh),MIN(DAMAS_Daily!D220*market_share_A*acceptance_rate*stack_activation,power_mw*hours_per_day,capacity_mwh))</f>
        <v/>
      </c>
      <c r="L220" s="42">
        <f>IF(K220&gt;=capacity_mwh-0.01,"yes","no")</f>
        <v/>
      </c>
      <c r="M220" s="13">
        <f>IF(C220="aFRR+",(MIN(DAMAS_Daily!C220*market_share_A*acceptance_rate*stack_activation,power_mw*hours_per_day,capacity_mwh))*DAMAS_Daily!E220*activation_mult_A,(MIN(DAMAS_Daily!D220*market_share_A*acceptance_rate*stack_activation,power_mw*hours_per_day,capacity_mwh))*DAMAS_Daily!F220*activation_mult_A)</f>
        <v/>
      </c>
      <c r="N220" s="14">
        <f>F220+M220</f>
        <v/>
      </c>
    </row>
    <row r="221">
      <c r="A221" s="41">
        <f>DAMAS_Daily!A221</f>
        <v/>
      </c>
      <c r="B221" s="42">
        <f>DAMAS_Daily!B221</f>
        <v/>
      </c>
      <c r="C221" s="42">
        <f>IF((power_mw*hours_per_day*damas_afrr_up*capacity_mult_A*stack_capacity*acceptance_rate+(MIN(DAMAS_Daily!C221*market_share_A*acceptance_rate*stack_activation,power_mw*hours_per_day,capacity_mwh))*DAMAS_Daily!E221*activation_mult_A)&gt;=(power_mw*hours_per_day*damas_afrr_down*capacity_mult_A*stack_capacity*acceptance_rate+(MIN(DAMAS_Daily!D221*market_share_A*acceptance_rate*stack_activation,power_mw*hours_per_day,capacity_mwh))*DAMAS_Daily!F221*activation_mult_A),"aFRR+","aFRR-")</f>
        <v/>
      </c>
      <c r="D221" s="43">
        <f>IF(C221="aFRR+",damas_afrr_up*capacity_mult_A,damas_afrr_down*capacity_mult_A)</f>
        <v/>
      </c>
      <c r="E221" s="44">
        <f>acceptance_rate</f>
        <v/>
      </c>
      <c r="F221" s="13">
        <f>IF(C221="aFRR+",power_mw*hours_per_day*damas_afrr_up*capacity_mult_A*stack_capacity*acceptance_rate,power_mw*hours_per_day*damas_afrr_down*capacity_mult_A*stack_capacity*acceptance_rate)</f>
        <v/>
      </c>
      <c r="G221" s="42">
        <f>IF(C221="aFRR+",DAMAS_Daily!I221,DAMAS_Daily!J221)</f>
        <v/>
      </c>
      <c r="H221" s="43">
        <f>IF(C221="aFRR+",DAMAS_Daily!E221,DAMAS_Daily!F221)</f>
        <v/>
      </c>
      <c r="I221" s="43">
        <f>IF(C221="aFRR+",DAMAS_Daily!G221,DAMAS_Daily!H221)</f>
        <v/>
      </c>
      <c r="J221" s="45">
        <f>IF(C221="aFRR+",DAMAS_Daily!C221,DAMAS_Daily!D221)</f>
        <v/>
      </c>
      <c r="K221" s="45">
        <f>IF(C221="aFRR+",MIN(DAMAS_Daily!C221*market_share_A*acceptance_rate*stack_activation,power_mw*hours_per_day,capacity_mwh),MIN(DAMAS_Daily!D221*market_share_A*acceptance_rate*stack_activation,power_mw*hours_per_day,capacity_mwh))</f>
        <v/>
      </c>
      <c r="L221" s="42">
        <f>IF(K221&gt;=capacity_mwh-0.01,"yes","no")</f>
        <v/>
      </c>
      <c r="M221" s="13">
        <f>IF(C221="aFRR+",(MIN(DAMAS_Daily!C221*market_share_A*acceptance_rate*stack_activation,power_mw*hours_per_day,capacity_mwh))*DAMAS_Daily!E221*activation_mult_A,(MIN(DAMAS_Daily!D221*market_share_A*acceptance_rate*stack_activation,power_mw*hours_per_day,capacity_mwh))*DAMAS_Daily!F221*activation_mult_A)</f>
        <v/>
      </c>
      <c r="N221" s="14">
        <f>F221+M221</f>
        <v/>
      </c>
    </row>
    <row r="222">
      <c r="A222" s="41">
        <f>DAMAS_Daily!A222</f>
        <v/>
      </c>
      <c r="B222" s="42">
        <f>DAMAS_Daily!B222</f>
        <v/>
      </c>
      <c r="C222" s="42">
        <f>IF((power_mw*hours_per_day*damas_afrr_up*capacity_mult_A*stack_capacity*acceptance_rate+(MIN(DAMAS_Daily!C222*market_share_A*acceptance_rate*stack_activation,power_mw*hours_per_day,capacity_mwh))*DAMAS_Daily!E222*activation_mult_A)&gt;=(power_mw*hours_per_day*damas_afrr_down*capacity_mult_A*stack_capacity*acceptance_rate+(MIN(DAMAS_Daily!D222*market_share_A*acceptance_rate*stack_activation,power_mw*hours_per_day,capacity_mwh))*DAMAS_Daily!F222*activation_mult_A),"aFRR+","aFRR-")</f>
        <v/>
      </c>
      <c r="D222" s="43">
        <f>IF(C222="aFRR+",damas_afrr_up*capacity_mult_A,damas_afrr_down*capacity_mult_A)</f>
        <v/>
      </c>
      <c r="E222" s="44">
        <f>acceptance_rate</f>
        <v/>
      </c>
      <c r="F222" s="13">
        <f>IF(C222="aFRR+",power_mw*hours_per_day*damas_afrr_up*capacity_mult_A*stack_capacity*acceptance_rate,power_mw*hours_per_day*damas_afrr_down*capacity_mult_A*stack_capacity*acceptance_rate)</f>
        <v/>
      </c>
      <c r="G222" s="42">
        <f>IF(C222="aFRR+",DAMAS_Daily!I222,DAMAS_Daily!J222)</f>
        <v/>
      </c>
      <c r="H222" s="43">
        <f>IF(C222="aFRR+",DAMAS_Daily!E222,DAMAS_Daily!F222)</f>
        <v/>
      </c>
      <c r="I222" s="43">
        <f>IF(C222="aFRR+",DAMAS_Daily!G222,DAMAS_Daily!H222)</f>
        <v/>
      </c>
      <c r="J222" s="45">
        <f>IF(C222="aFRR+",DAMAS_Daily!C222,DAMAS_Daily!D222)</f>
        <v/>
      </c>
      <c r="K222" s="45">
        <f>IF(C222="aFRR+",MIN(DAMAS_Daily!C222*market_share_A*acceptance_rate*stack_activation,power_mw*hours_per_day,capacity_mwh),MIN(DAMAS_Daily!D222*market_share_A*acceptance_rate*stack_activation,power_mw*hours_per_day,capacity_mwh))</f>
        <v/>
      </c>
      <c r="L222" s="42">
        <f>IF(K222&gt;=capacity_mwh-0.01,"yes","no")</f>
        <v/>
      </c>
      <c r="M222" s="13">
        <f>IF(C222="aFRR+",(MIN(DAMAS_Daily!C222*market_share_A*acceptance_rate*stack_activation,power_mw*hours_per_day,capacity_mwh))*DAMAS_Daily!E222*activation_mult_A,(MIN(DAMAS_Daily!D222*market_share_A*acceptance_rate*stack_activation,power_mw*hours_per_day,capacity_mwh))*DAMAS_Daily!F222*activation_mult_A)</f>
        <v/>
      </c>
      <c r="N222" s="14">
        <f>F222+M222</f>
        <v/>
      </c>
    </row>
    <row r="223">
      <c r="A223" s="41">
        <f>DAMAS_Daily!A223</f>
        <v/>
      </c>
      <c r="B223" s="42">
        <f>DAMAS_Daily!B223</f>
        <v/>
      </c>
      <c r="C223" s="42">
        <f>IF((power_mw*hours_per_day*damas_afrr_up*capacity_mult_A*stack_capacity*acceptance_rate+(MIN(DAMAS_Daily!C223*market_share_A*acceptance_rate*stack_activation,power_mw*hours_per_day,capacity_mwh))*DAMAS_Daily!E223*activation_mult_A)&gt;=(power_mw*hours_per_day*damas_afrr_down*capacity_mult_A*stack_capacity*acceptance_rate+(MIN(DAMAS_Daily!D223*market_share_A*acceptance_rate*stack_activation,power_mw*hours_per_day,capacity_mwh))*DAMAS_Daily!F223*activation_mult_A),"aFRR+","aFRR-")</f>
        <v/>
      </c>
      <c r="D223" s="43">
        <f>IF(C223="aFRR+",damas_afrr_up*capacity_mult_A,damas_afrr_down*capacity_mult_A)</f>
        <v/>
      </c>
      <c r="E223" s="44">
        <f>acceptance_rate</f>
        <v/>
      </c>
      <c r="F223" s="13">
        <f>IF(C223="aFRR+",power_mw*hours_per_day*damas_afrr_up*capacity_mult_A*stack_capacity*acceptance_rate,power_mw*hours_per_day*damas_afrr_down*capacity_mult_A*stack_capacity*acceptance_rate)</f>
        <v/>
      </c>
      <c r="G223" s="42">
        <f>IF(C223="aFRR+",DAMAS_Daily!I223,DAMAS_Daily!J223)</f>
        <v/>
      </c>
      <c r="H223" s="43">
        <f>IF(C223="aFRR+",DAMAS_Daily!E223,DAMAS_Daily!F223)</f>
        <v/>
      </c>
      <c r="I223" s="43">
        <f>IF(C223="aFRR+",DAMAS_Daily!G223,DAMAS_Daily!H223)</f>
        <v/>
      </c>
      <c r="J223" s="45">
        <f>IF(C223="aFRR+",DAMAS_Daily!C223,DAMAS_Daily!D223)</f>
        <v/>
      </c>
      <c r="K223" s="45">
        <f>IF(C223="aFRR+",MIN(DAMAS_Daily!C223*market_share_A*acceptance_rate*stack_activation,power_mw*hours_per_day,capacity_mwh),MIN(DAMAS_Daily!D223*market_share_A*acceptance_rate*stack_activation,power_mw*hours_per_day,capacity_mwh))</f>
        <v/>
      </c>
      <c r="L223" s="42">
        <f>IF(K223&gt;=capacity_mwh-0.01,"yes","no")</f>
        <v/>
      </c>
      <c r="M223" s="13">
        <f>IF(C223="aFRR+",(MIN(DAMAS_Daily!C223*market_share_A*acceptance_rate*stack_activation,power_mw*hours_per_day,capacity_mwh))*DAMAS_Daily!E223*activation_mult_A,(MIN(DAMAS_Daily!D223*market_share_A*acceptance_rate*stack_activation,power_mw*hours_per_day,capacity_mwh))*DAMAS_Daily!F223*activation_mult_A)</f>
        <v/>
      </c>
      <c r="N223" s="14">
        <f>F223+M223</f>
        <v/>
      </c>
    </row>
    <row r="224">
      <c r="A224" s="41">
        <f>DAMAS_Daily!A224</f>
        <v/>
      </c>
      <c r="B224" s="42">
        <f>DAMAS_Daily!B224</f>
        <v/>
      </c>
      <c r="C224" s="42">
        <f>IF((power_mw*hours_per_day*damas_afrr_up*capacity_mult_A*stack_capacity*acceptance_rate+(MIN(DAMAS_Daily!C224*market_share_A*acceptance_rate*stack_activation,power_mw*hours_per_day,capacity_mwh))*DAMAS_Daily!E224*activation_mult_A)&gt;=(power_mw*hours_per_day*damas_afrr_down*capacity_mult_A*stack_capacity*acceptance_rate+(MIN(DAMAS_Daily!D224*market_share_A*acceptance_rate*stack_activation,power_mw*hours_per_day,capacity_mwh))*DAMAS_Daily!F224*activation_mult_A),"aFRR+","aFRR-")</f>
        <v/>
      </c>
      <c r="D224" s="43">
        <f>IF(C224="aFRR+",damas_afrr_up*capacity_mult_A,damas_afrr_down*capacity_mult_A)</f>
        <v/>
      </c>
      <c r="E224" s="44">
        <f>acceptance_rate</f>
        <v/>
      </c>
      <c r="F224" s="13">
        <f>IF(C224="aFRR+",power_mw*hours_per_day*damas_afrr_up*capacity_mult_A*stack_capacity*acceptance_rate,power_mw*hours_per_day*damas_afrr_down*capacity_mult_A*stack_capacity*acceptance_rate)</f>
        <v/>
      </c>
      <c r="G224" s="42">
        <f>IF(C224="aFRR+",DAMAS_Daily!I224,DAMAS_Daily!J224)</f>
        <v/>
      </c>
      <c r="H224" s="43">
        <f>IF(C224="aFRR+",DAMAS_Daily!E224,DAMAS_Daily!F224)</f>
        <v/>
      </c>
      <c r="I224" s="43">
        <f>IF(C224="aFRR+",DAMAS_Daily!G224,DAMAS_Daily!H224)</f>
        <v/>
      </c>
      <c r="J224" s="45">
        <f>IF(C224="aFRR+",DAMAS_Daily!C224,DAMAS_Daily!D224)</f>
        <v/>
      </c>
      <c r="K224" s="45">
        <f>IF(C224="aFRR+",MIN(DAMAS_Daily!C224*market_share_A*acceptance_rate*stack_activation,power_mw*hours_per_day,capacity_mwh),MIN(DAMAS_Daily!D224*market_share_A*acceptance_rate*stack_activation,power_mw*hours_per_day,capacity_mwh))</f>
        <v/>
      </c>
      <c r="L224" s="42">
        <f>IF(K224&gt;=capacity_mwh-0.01,"yes","no")</f>
        <v/>
      </c>
      <c r="M224" s="13">
        <f>IF(C224="aFRR+",(MIN(DAMAS_Daily!C224*market_share_A*acceptance_rate*stack_activation,power_mw*hours_per_day,capacity_mwh))*DAMAS_Daily!E224*activation_mult_A,(MIN(DAMAS_Daily!D224*market_share_A*acceptance_rate*stack_activation,power_mw*hours_per_day,capacity_mwh))*DAMAS_Daily!F224*activation_mult_A)</f>
        <v/>
      </c>
      <c r="N224" s="14">
        <f>F224+M224</f>
        <v/>
      </c>
    </row>
    <row r="225">
      <c r="A225" s="41">
        <f>DAMAS_Daily!A225</f>
        <v/>
      </c>
      <c r="B225" s="42">
        <f>DAMAS_Daily!B225</f>
        <v/>
      </c>
      <c r="C225" s="42">
        <f>IF((power_mw*hours_per_day*damas_afrr_up*capacity_mult_A*stack_capacity*acceptance_rate+(MIN(DAMAS_Daily!C225*market_share_A*acceptance_rate*stack_activation,power_mw*hours_per_day,capacity_mwh))*DAMAS_Daily!E225*activation_mult_A)&gt;=(power_mw*hours_per_day*damas_afrr_down*capacity_mult_A*stack_capacity*acceptance_rate+(MIN(DAMAS_Daily!D225*market_share_A*acceptance_rate*stack_activation,power_mw*hours_per_day,capacity_mwh))*DAMAS_Daily!F225*activation_mult_A),"aFRR+","aFRR-")</f>
        <v/>
      </c>
      <c r="D225" s="43">
        <f>IF(C225="aFRR+",damas_afrr_up*capacity_mult_A,damas_afrr_down*capacity_mult_A)</f>
        <v/>
      </c>
      <c r="E225" s="44">
        <f>acceptance_rate</f>
        <v/>
      </c>
      <c r="F225" s="13">
        <f>IF(C225="aFRR+",power_mw*hours_per_day*damas_afrr_up*capacity_mult_A*stack_capacity*acceptance_rate,power_mw*hours_per_day*damas_afrr_down*capacity_mult_A*stack_capacity*acceptance_rate)</f>
        <v/>
      </c>
      <c r="G225" s="42">
        <f>IF(C225="aFRR+",DAMAS_Daily!I225,DAMAS_Daily!J225)</f>
        <v/>
      </c>
      <c r="H225" s="43">
        <f>IF(C225="aFRR+",DAMAS_Daily!E225,DAMAS_Daily!F225)</f>
        <v/>
      </c>
      <c r="I225" s="43">
        <f>IF(C225="aFRR+",DAMAS_Daily!G225,DAMAS_Daily!H225)</f>
        <v/>
      </c>
      <c r="J225" s="45">
        <f>IF(C225="aFRR+",DAMAS_Daily!C225,DAMAS_Daily!D225)</f>
        <v/>
      </c>
      <c r="K225" s="45">
        <f>IF(C225="aFRR+",MIN(DAMAS_Daily!C225*market_share_A*acceptance_rate*stack_activation,power_mw*hours_per_day,capacity_mwh),MIN(DAMAS_Daily!D225*market_share_A*acceptance_rate*stack_activation,power_mw*hours_per_day,capacity_mwh))</f>
        <v/>
      </c>
      <c r="L225" s="42">
        <f>IF(K225&gt;=capacity_mwh-0.01,"yes","no")</f>
        <v/>
      </c>
      <c r="M225" s="13">
        <f>IF(C225="aFRR+",(MIN(DAMAS_Daily!C225*market_share_A*acceptance_rate*stack_activation,power_mw*hours_per_day,capacity_mwh))*DAMAS_Daily!E225*activation_mult_A,(MIN(DAMAS_Daily!D225*market_share_A*acceptance_rate*stack_activation,power_mw*hours_per_day,capacity_mwh))*DAMAS_Daily!F225*activation_mult_A)</f>
        <v/>
      </c>
      <c r="N225" s="14">
        <f>F225+M225</f>
        <v/>
      </c>
    </row>
    <row r="226">
      <c r="A226" s="41">
        <f>DAMAS_Daily!A226</f>
        <v/>
      </c>
      <c r="B226" s="42">
        <f>DAMAS_Daily!B226</f>
        <v/>
      </c>
      <c r="C226" s="42">
        <f>IF((power_mw*hours_per_day*damas_afrr_up*capacity_mult_A*stack_capacity*acceptance_rate+(MIN(DAMAS_Daily!C226*market_share_A*acceptance_rate*stack_activation,power_mw*hours_per_day,capacity_mwh))*DAMAS_Daily!E226*activation_mult_A)&gt;=(power_mw*hours_per_day*damas_afrr_down*capacity_mult_A*stack_capacity*acceptance_rate+(MIN(DAMAS_Daily!D226*market_share_A*acceptance_rate*stack_activation,power_mw*hours_per_day,capacity_mwh))*DAMAS_Daily!F226*activation_mult_A),"aFRR+","aFRR-")</f>
        <v/>
      </c>
      <c r="D226" s="43">
        <f>IF(C226="aFRR+",damas_afrr_up*capacity_mult_A,damas_afrr_down*capacity_mult_A)</f>
        <v/>
      </c>
      <c r="E226" s="44">
        <f>acceptance_rate</f>
        <v/>
      </c>
      <c r="F226" s="13">
        <f>IF(C226="aFRR+",power_mw*hours_per_day*damas_afrr_up*capacity_mult_A*stack_capacity*acceptance_rate,power_mw*hours_per_day*damas_afrr_down*capacity_mult_A*stack_capacity*acceptance_rate)</f>
        <v/>
      </c>
      <c r="G226" s="42">
        <f>IF(C226="aFRR+",DAMAS_Daily!I226,DAMAS_Daily!J226)</f>
        <v/>
      </c>
      <c r="H226" s="43">
        <f>IF(C226="aFRR+",DAMAS_Daily!E226,DAMAS_Daily!F226)</f>
        <v/>
      </c>
      <c r="I226" s="43">
        <f>IF(C226="aFRR+",DAMAS_Daily!G226,DAMAS_Daily!H226)</f>
        <v/>
      </c>
      <c r="J226" s="45">
        <f>IF(C226="aFRR+",DAMAS_Daily!C226,DAMAS_Daily!D226)</f>
        <v/>
      </c>
      <c r="K226" s="45">
        <f>IF(C226="aFRR+",MIN(DAMAS_Daily!C226*market_share_A*acceptance_rate*stack_activation,power_mw*hours_per_day,capacity_mwh),MIN(DAMAS_Daily!D226*market_share_A*acceptance_rate*stack_activation,power_mw*hours_per_day,capacity_mwh))</f>
        <v/>
      </c>
      <c r="L226" s="42">
        <f>IF(K226&gt;=capacity_mwh-0.01,"yes","no")</f>
        <v/>
      </c>
      <c r="M226" s="13">
        <f>IF(C226="aFRR+",(MIN(DAMAS_Daily!C226*market_share_A*acceptance_rate*stack_activation,power_mw*hours_per_day,capacity_mwh))*DAMAS_Daily!E226*activation_mult_A,(MIN(DAMAS_Daily!D226*market_share_A*acceptance_rate*stack_activation,power_mw*hours_per_day,capacity_mwh))*DAMAS_Daily!F226*activation_mult_A)</f>
        <v/>
      </c>
      <c r="N226" s="14">
        <f>F226+M226</f>
        <v/>
      </c>
    </row>
    <row r="227">
      <c r="A227" s="41">
        <f>DAMAS_Daily!A227</f>
        <v/>
      </c>
      <c r="B227" s="42">
        <f>DAMAS_Daily!B227</f>
        <v/>
      </c>
      <c r="C227" s="42">
        <f>IF((power_mw*hours_per_day*damas_afrr_up*capacity_mult_A*stack_capacity*acceptance_rate+(MIN(DAMAS_Daily!C227*market_share_A*acceptance_rate*stack_activation,power_mw*hours_per_day,capacity_mwh))*DAMAS_Daily!E227*activation_mult_A)&gt;=(power_mw*hours_per_day*damas_afrr_down*capacity_mult_A*stack_capacity*acceptance_rate+(MIN(DAMAS_Daily!D227*market_share_A*acceptance_rate*stack_activation,power_mw*hours_per_day,capacity_mwh))*DAMAS_Daily!F227*activation_mult_A),"aFRR+","aFRR-")</f>
        <v/>
      </c>
      <c r="D227" s="43">
        <f>IF(C227="aFRR+",damas_afrr_up*capacity_mult_A,damas_afrr_down*capacity_mult_A)</f>
        <v/>
      </c>
      <c r="E227" s="44">
        <f>acceptance_rate</f>
        <v/>
      </c>
      <c r="F227" s="13">
        <f>IF(C227="aFRR+",power_mw*hours_per_day*damas_afrr_up*capacity_mult_A*stack_capacity*acceptance_rate,power_mw*hours_per_day*damas_afrr_down*capacity_mult_A*stack_capacity*acceptance_rate)</f>
        <v/>
      </c>
      <c r="G227" s="42">
        <f>IF(C227="aFRR+",DAMAS_Daily!I227,DAMAS_Daily!J227)</f>
        <v/>
      </c>
      <c r="H227" s="43">
        <f>IF(C227="aFRR+",DAMAS_Daily!E227,DAMAS_Daily!F227)</f>
        <v/>
      </c>
      <c r="I227" s="43">
        <f>IF(C227="aFRR+",DAMAS_Daily!G227,DAMAS_Daily!H227)</f>
        <v/>
      </c>
      <c r="J227" s="45">
        <f>IF(C227="aFRR+",DAMAS_Daily!C227,DAMAS_Daily!D227)</f>
        <v/>
      </c>
      <c r="K227" s="45">
        <f>IF(C227="aFRR+",MIN(DAMAS_Daily!C227*market_share_A*acceptance_rate*stack_activation,power_mw*hours_per_day,capacity_mwh),MIN(DAMAS_Daily!D227*market_share_A*acceptance_rate*stack_activation,power_mw*hours_per_day,capacity_mwh))</f>
        <v/>
      </c>
      <c r="L227" s="42">
        <f>IF(K227&gt;=capacity_mwh-0.01,"yes","no")</f>
        <v/>
      </c>
      <c r="M227" s="13">
        <f>IF(C227="aFRR+",(MIN(DAMAS_Daily!C227*market_share_A*acceptance_rate*stack_activation,power_mw*hours_per_day,capacity_mwh))*DAMAS_Daily!E227*activation_mult_A,(MIN(DAMAS_Daily!D227*market_share_A*acceptance_rate*stack_activation,power_mw*hours_per_day,capacity_mwh))*DAMAS_Daily!F227*activation_mult_A)</f>
        <v/>
      </c>
      <c r="N227" s="14">
        <f>F227+M227</f>
        <v/>
      </c>
    </row>
    <row r="228">
      <c r="A228" s="41">
        <f>DAMAS_Daily!A228</f>
        <v/>
      </c>
      <c r="B228" s="42">
        <f>DAMAS_Daily!B228</f>
        <v/>
      </c>
      <c r="C228" s="42">
        <f>IF((power_mw*hours_per_day*damas_afrr_up*capacity_mult_A*stack_capacity*acceptance_rate+(MIN(DAMAS_Daily!C228*market_share_A*acceptance_rate*stack_activation,power_mw*hours_per_day,capacity_mwh))*DAMAS_Daily!E228*activation_mult_A)&gt;=(power_mw*hours_per_day*damas_afrr_down*capacity_mult_A*stack_capacity*acceptance_rate+(MIN(DAMAS_Daily!D228*market_share_A*acceptance_rate*stack_activation,power_mw*hours_per_day,capacity_mwh))*DAMAS_Daily!F228*activation_mult_A),"aFRR+","aFRR-")</f>
        <v/>
      </c>
      <c r="D228" s="43">
        <f>IF(C228="aFRR+",damas_afrr_up*capacity_mult_A,damas_afrr_down*capacity_mult_A)</f>
        <v/>
      </c>
      <c r="E228" s="44">
        <f>acceptance_rate</f>
        <v/>
      </c>
      <c r="F228" s="13">
        <f>IF(C228="aFRR+",power_mw*hours_per_day*damas_afrr_up*capacity_mult_A*stack_capacity*acceptance_rate,power_mw*hours_per_day*damas_afrr_down*capacity_mult_A*stack_capacity*acceptance_rate)</f>
        <v/>
      </c>
      <c r="G228" s="42">
        <f>IF(C228="aFRR+",DAMAS_Daily!I228,DAMAS_Daily!J228)</f>
        <v/>
      </c>
      <c r="H228" s="43">
        <f>IF(C228="aFRR+",DAMAS_Daily!E228,DAMAS_Daily!F228)</f>
        <v/>
      </c>
      <c r="I228" s="43">
        <f>IF(C228="aFRR+",DAMAS_Daily!G228,DAMAS_Daily!H228)</f>
        <v/>
      </c>
      <c r="J228" s="45">
        <f>IF(C228="aFRR+",DAMAS_Daily!C228,DAMAS_Daily!D228)</f>
        <v/>
      </c>
      <c r="K228" s="45">
        <f>IF(C228="aFRR+",MIN(DAMAS_Daily!C228*market_share_A*acceptance_rate*stack_activation,power_mw*hours_per_day,capacity_mwh),MIN(DAMAS_Daily!D228*market_share_A*acceptance_rate*stack_activation,power_mw*hours_per_day,capacity_mwh))</f>
        <v/>
      </c>
      <c r="L228" s="42">
        <f>IF(K228&gt;=capacity_mwh-0.01,"yes","no")</f>
        <v/>
      </c>
      <c r="M228" s="13">
        <f>IF(C228="aFRR+",(MIN(DAMAS_Daily!C228*market_share_A*acceptance_rate*stack_activation,power_mw*hours_per_day,capacity_mwh))*DAMAS_Daily!E228*activation_mult_A,(MIN(DAMAS_Daily!D228*market_share_A*acceptance_rate*stack_activation,power_mw*hours_per_day,capacity_mwh))*DAMAS_Daily!F228*activation_mult_A)</f>
        <v/>
      </c>
      <c r="N228" s="14">
        <f>F228+M228</f>
        <v/>
      </c>
    </row>
    <row r="229">
      <c r="A229" s="41">
        <f>DAMAS_Daily!A229</f>
        <v/>
      </c>
      <c r="B229" s="42">
        <f>DAMAS_Daily!B229</f>
        <v/>
      </c>
      <c r="C229" s="42">
        <f>IF((power_mw*hours_per_day*damas_afrr_up*capacity_mult_A*stack_capacity*acceptance_rate+(MIN(DAMAS_Daily!C229*market_share_A*acceptance_rate*stack_activation,power_mw*hours_per_day,capacity_mwh))*DAMAS_Daily!E229*activation_mult_A)&gt;=(power_mw*hours_per_day*damas_afrr_down*capacity_mult_A*stack_capacity*acceptance_rate+(MIN(DAMAS_Daily!D229*market_share_A*acceptance_rate*stack_activation,power_mw*hours_per_day,capacity_mwh))*DAMAS_Daily!F229*activation_mult_A),"aFRR+","aFRR-")</f>
        <v/>
      </c>
      <c r="D229" s="43">
        <f>IF(C229="aFRR+",damas_afrr_up*capacity_mult_A,damas_afrr_down*capacity_mult_A)</f>
        <v/>
      </c>
      <c r="E229" s="44">
        <f>acceptance_rate</f>
        <v/>
      </c>
      <c r="F229" s="13">
        <f>IF(C229="aFRR+",power_mw*hours_per_day*damas_afrr_up*capacity_mult_A*stack_capacity*acceptance_rate,power_mw*hours_per_day*damas_afrr_down*capacity_mult_A*stack_capacity*acceptance_rate)</f>
        <v/>
      </c>
      <c r="G229" s="42">
        <f>IF(C229="aFRR+",DAMAS_Daily!I229,DAMAS_Daily!J229)</f>
        <v/>
      </c>
      <c r="H229" s="43">
        <f>IF(C229="aFRR+",DAMAS_Daily!E229,DAMAS_Daily!F229)</f>
        <v/>
      </c>
      <c r="I229" s="43">
        <f>IF(C229="aFRR+",DAMAS_Daily!G229,DAMAS_Daily!H229)</f>
        <v/>
      </c>
      <c r="J229" s="45">
        <f>IF(C229="aFRR+",DAMAS_Daily!C229,DAMAS_Daily!D229)</f>
        <v/>
      </c>
      <c r="K229" s="45">
        <f>IF(C229="aFRR+",MIN(DAMAS_Daily!C229*market_share_A*acceptance_rate*stack_activation,power_mw*hours_per_day,capacity_mwh),MIN(DAMAS_Daily!D229*market_share_A*acceptance_rate*stack_activation,power_mw*hours_per_day,capacity_mwh))</f>
        <v/>
      </c>
      <c r="L229" s="42">
        <f>IF(K229&gt;=capacity_mwh-0.01,"yes","no")</f>
        <v/>
      </c>
      <c r="M229" s="13">
        <f>IF(C229="aFRR+",(MIN(DAMAS_Daily!C229*market_share_A*acceptance_rate*stack_activation,power_mw*hours_per_day,capacity_mwh))*DAMAS_Daily!E229*activation_mult_A,(MIN(DAMAS_Daily!D229*market_share_A*acceptance_rate*stack_activation,power_mw*hours_per_day,capacity_mwh))*DAMAS_Daily!F229*activation_mult_A)</f>
        <v/>
      </c>
      <c r="N229" s="14">
        <f>F229+M229</f>
        <v/>
      </c>
    </row>
    <row r="230">
      <c r="A230" s="41">
        <f>DAMAS_Daily!A230</f>
        <v/>
      </c>
      <c r="B230" s="42">
        <f>DAMAS_Daily!B230</f>
        <v/>
      </c>
      <c r="C230" s="42">
        <f>IF((power_mw*hours_per_day*damas_afrr_up*capacity_mult_A*stack_capacity*acceptance_rate+(MIN(DAMAS_Daily!C230*market_share_A*acceptance_rate*stack_activation,power_mw*hours_per_day,capacity_mwh))*DAMAS_Daily!E230*activation_mult_A)&gt;=(power_mw*hours_per_day*damas_afrr_down*capacity_mult_A*stack_capacity*acceptance_rate+(MIN(DAMAS_Daily!D230*market_share_A*acceptance_rate*stack_activation,power_mw*hours_per_day,capacity_mwh))*DAMAS_Daily!F230*activation_mult_A),"aFRR+","aFRR-")</f>
        <v/>
      </c>
      <c r="D230" s="43">
        <f>IF(C230="aFRR+",damas_afrr_up*capacity_mult_A,damas_afrr_down*capacity_mult_A)</f>
        <v/>
      </c>
      <c r="E230" s="44">
        <f>acceptance_rate</f>
        <v/>
      </c>
      <c r="F230" s="13">
        <f>IF(C230="aFRR+",power_mw*hours_per_day*damas_afrr_up*capacity_mult_A*stack_capacity*acceptance_rate,power_mw*hours_per_day*damas_afrr_down*capacity_mult_A*stack_capacity*acceptance_rate)</f>
        <v/>
      </c>
      <c r="G230" s="42">
        <f>IF(C230="aFRR+",DAMAS_Daily!I230,DAMAS_Daily!J230)</f>
        <v/>
      </c>
      <c r="H230" s="43">
        <f>IF(C230="aFRR+",DAMAS_Daily!E230,DAMAS_Daily!F230)</f>
        <v/>
      </c>
      <c r="I230" s="43">
        <f>IF(C230="aFRR+",DAMAS_Daily!G230,DAMAS_Daily!H230)</f>
        <v/>
      </c>
      <c r="J230" s="45">
        <f>IF(C230="aFRR+",DAMAS_Daily!C230,DAMAS_Daily!D230)</f>
        <v/>
      </c>
      <c r="K230" s="45">
        <f>IF(C230="aFRR+",MIN(DAMAS_Daily!C230*market_share_A*acceptance_rate*stack_activation,power_mw*hours_per_day,capacity_mwh),MIN(DAMAS_Daily!D230*market_share_A*acceptance_rate*stack_activation,power_mw*hours_per_day,capacity_mwh))</f>
        <v/>
      </c>
      <c r="L230" s="42">
        <f>IF(K230&gt;=capacity_mwh-0.01,"yes","no")</f>
        <v/>
      </c>
      <c r="M230" s="13">
        <f>IF(C230="aFRR+",(MIN(DAMAS_Daily!C230*market_share_A*acceptance_rate*stack_activation,power_mw*hours_per_day,capacity_mwh))*DAMAS_Daily!E230*activation_mult_A,(MIN(DAMAS_Daily!D230*market_share_A*acceptance_rate*stack_activation,power_mw*hours_per_day,capacity_mwh))*DAMAS_Daily!F230*activation_mult_A)</f>
        <v/>
      </c>
      <c r="N230" s="14">
        <f>F230+M230</f>
        <v/>
      </c>
    </row>
    <row r="231">
      <c r="A231" s="41">
        <f>DAMAS_Daily!A231</f>
        <v/>
      </c>
      <c r="B231" s="42">
        <f>DAMAS_Daily!B231</f>
        <v/>
      </c>
      <c r="C231" s="42">
        <f>IF((power_mw*hours_per_day*damas_afrr_up*capacity_mult_A*stack_capacity*acceptance_rate+(MIN(DAMAS_Daily!C231*market_share_A*acceptance_rate*stack_activation,power_mw*hours_per_day,capacity_mwh))*DAMAS_Daily!E231*activation_mult_A)&gt;=(power_mw*hours_per_day*damas_afrr_down*capacity_mult_A*stack_capacity*acceptance_rate+(MIN(DAMAS_Daily!D231*market_share_A*acceptance_rate*stack_activation,power_mw*hours_per_day,capacity_mwh))*DAMAS_Daily!F231*activation_mult_A),"aFRR+","aFRR-")</f>
        <v/>
      </c>
      <c r="D231" s="43">
        <f>IF(C231="aFRR+",damas_afrr_up*capacity_mult_A,damas_afrr_down*capacity_mult_A)</f>
        <v/>
      </c>
      <c r="E231" s="44">
        <f>acceptance_rate</f>
        <v/>
      </c>
      <c r="F231" s="13">
        <f>IF(C231="aFRR+",power_mw*hours_per_day*damas_afrr_up*capacity_mult_A*stack_capacity*acceptance_rate,power_mw*hours_per_day*damas_afrr_down*capacity_mult_A*stack_capacity*acceptance_rate)</f>
        <v/>
      </c>
      <c r="G231" s="42">
        <f>IF(C231="aFRR+",DAMAS_Daily!I231,DAMAS_Daily!J231)</f>
        <v/>
      </c>
      <c r="H231" s="43">
        <f>IF(C231="aFRR+",DAMAS_Daily!E231,DAMAS_Daily!F231)</f>
        <v/>
      </c>
      <c r="I231" s="43">
        <f>IF(C231="aFRR+",DAMAS_Daily!G231,DAMAS_Daily!H231)</f>
        <v/>
      </c>
      <c r="J231" s="45">
        <f>IF(C231="aFRR+",DAMAS_Daily!C231,DAMAS_Daily!D231)</f>
        <v/>
      </c>
      <c r="K231" s="45">
        <f>IF(C231="aFRR+",MIN(DAMAS_Daily!C231*market_share_A*acceptance_rate*stack_activation,power_mw*hours_per_day,capacity_mwh),MIN(DAMAS_Daily!D231*market_share_A*acceptance_rate*stack_activation,power_mw*hours_per_day,capacity_mwh))</f>
        <v/>
      </c>
      <c r="L231" s="42">
        <f>IF(K231&gt;=capacity_mwh-0.01,"yes","no")</f>
        <v/>
      </c>
      <c r="M231" s="13">
        <f>IF(C231="aFRR+",(MIN(DAMAS_Daily!C231*market_share_A*acceptance_rate*stack_activation,power_mw*hours_per_day,capacity_mwh))*DAMAS_Daily!E231*activation_mult_A,(MIN(DAMAS_Daily!D231*market_share_A*acceptance_rate*stack_activation,power_mw*hours_per_day,capacity_mwh))*DAMAS_Daily!F231*activation_mult_A)</f>
        <v/>
      </c>
      <c r="N231" s="14">
        <f>F231+M231</f>
        <v/>
      </c>
    </row>
    <row r="232">
      <c r="A232" s="41">
        <f>DAMAS_Daily!A232</f>
        <v/>
      </c>
      <c r="B232" s="42">
        <f>DAMAS_Daily!B232</f>
        <v/>
      </c>
      <c r="C232" s="42">
        <f>IF((power_mw*hours_per_day*damas_afrr_up*capacity_mult_A*stack_capacity*acceptance_rate+(MIN(DAMAS_Daily!C232*market_share_A*acceptance_rate*stack_activation,power_mw*hours_per_day,capacity_mwh))*DAMAS_Daily!E232*activation_mult_A)&gt;=(power_mw*hours_per_day*damas_afrr_down*capacity_mult_A*stack_capacity*acceptance_rate+(MIN(DAMAS_Daily!D232*market_share_A*acceptance_rate*stack_activation,power_mw*hours_per_day,capacity_mwh))*DAMAS_Daily!F232*activation_mult_A),"aFRR+","aFRR-")</f>
        <v/>
      </c>
      <c r="D232" s="43">
        <f>IF(C232="aFRR+",damas_afrr_up*capacity_mult_A,damas_afrr_down*capacity_mult_A)</f>
        <v/>
      </c>
      <c r="E232" s="44">
        <f>acceptance_rate</f>
        <v/>
      </c>
      <c r="F232" s="13">
        <f>IF(C232="aFRR+",power_mw*hours_per_day*damas_afrr_up*capacity_mult_A*stack_capacity*acceptance_rate,power_mw*hours_per_day*damas_afrr_down*capacity_mult_A*stack_capacity*acceptance_rate)</f>
        <v/>
      </c>
      <c r="G232" s="42">
        <f>IF(C232="aFRR+",DAMAS_Daily!I232,DAMAS_Daily!J232)</f>
        <v/>
      </c>
      <c r="H232" s="43">
        <f>IF(C232="aFRR+",DAMAS_Daily!E232,DAMAS_Daily!F232)</f>
        <v/>
      </c>
      <c r="I232" s="43">
        <f>IF(C232="aFRR+",DAMAS_Daily!G232,DAMAS_Daily!H232)</f>
        <v/>
      </c>
      <c r="J232" s="45">
        <f>IF(C232="aFRR+",DAMAS_Daily!C232,DAMAS_Daily!D232)</f>
        <v/>
      </c>
      <c r="K232" s="45">
        <f>IF(C232="aFRR+",MIN(DAMAS_Daily!C232*market_share_A*acceptance_rate*stack_activation,power_mw*hours_per_day,capacity_mwh),MIN(DAMAS_Daily!D232*market_share_A*acceptance_rate*stack_activation,power_mw*hours_per_day,capacity_mwh))</f>
        <v/>
      </c>
      <c r="L232" s="42">
        <f>IF(K232&gt;=capacity_mwh-0.01,"yes","no")</f>
        <v/>
      </c>
      <c r="M232" s="13">
        <f>IF(C232="aFRR+",(MIN(DAMAS_Daily!C232*market_share_A*acceptance_rate*stack_activation,power_mw*hours_per_day,capacity_mwh))*DAMAS_Daily!E232*activation_mult_A,(MIN(DAMAS_Daily!D232*market_share_A*acceptance_rate*stack_activation,power_mw*hours_per_day,capacity_mwh))*DAMAS_Daily!F232*activation_mult_A)</f>
        <v/>
      </c>
      <c r="N232" s="14">
        <f>F232+M232</f>
        <v/>
      </c>
    </row>
    <row r="233">
      <c r="A233" s="41">
        <f>DAMAS_Daily!A233</f>
        <v/>
      </c>
      <c r="B233" s="42">
        <f>DAMAS_Daily!B233</f>
        <v/>
      </c>
      <c r="C233" s="42">
        <f>IF((power_mw*hours_per_day*damas_afrr_up*capacity_mult_A*stack_capacity*acceptance_rate+(MIN(DAMAS_Daily!C233*market_share_A*acceptance_rate*stack_activation,power_mw*hours_per_day,capacity_mwh))*DAMAS_Daily!E233*activation_mult_A)&gt;=(power_mw*hours_per_day*damas_afrr_down*capacity_mult_A*stack_capacity*acceptance_rate+(MIN(DAMAS_Daily!D233*market_share_A*acceptance_rate*stack_activation,power_mw*hours_per_day,capacity_mwh))*DAMAS_Daily!F233*activation_mult_A),"aFRR+","aFRR-")</f>
        <v/>
      </c>
      <c r="D233" s="43">
        <f>IF(C233="aFRR+",damas_afrr_up*capacity_mult_A,damas_afrr_down*capacity_mult_A)</f>
        <v/>
      </c>
      <c r="E233" s="44">
        <f>acceptance_rate</f>
        <v/>
      </c>
      <c r="F233" s="13">
        <f>IF(C233="aFRR+",power_mw*hours_per_day*damas_afrr_up*capacity_mult_A*stack_capacity*acceptance_rate,power_mw*hours_per_day*damas_afrr_down*capacity_mult_A*stack_capacity*acceptance_rate)</f>
        <v/>
      </c>
      <c r="G233" s="42">
        <f>IF(C233="aFRR+",DAMAS_Daily!I233,DAMAS_Daily!J233)</f>
        <v/>
      </c>
      <c r="H233" s="43">
        <f>IF(C233="aFRR+",DAMAS_Daily!E233,DAMAS_Daily!F233)</f>
        <v/>
      </c>
      <c r="I233" s="43">
        <f>IF(C233="aFRR+",DAMAS_Daily!G233,DAMAS_Daily!H233)</f>
        <v/>
      </c>
      <c r="J233" s="45">
        <f>IF(C233="aFRR+",DAMAS_Daily!C233,DAMAS_Daily!D233)</f>
        <v/>
      </c>
      <c r="K233" s="45">
        <f>IF(C233="aFRR+",MIN(DAMAS_Daily!C233*market_share_A*acceptance_rate*stack_activation,power_mw*hours_per_day,capacity_mwh),MIN(DAMAS_Daily!D233*market_share_A*acceptance_rate*stack_activation,power_mw*hours_per_day,capacity_mwh))</f>
        <v/>
      </c>
      <c r="L233" s="42">
        <f>IF(K233&gt;=capacity_mwh-0.01,"yes","no")</f>
        <v/>
      </c>
      <c r="M233" s="13">
        <f>IF(C233="aFRR+",(MIN(DAMAS_Daily!C233*market_share_A*acceptance_rate*stack_activation,power_mw*hours_per_day,capacity_mwh))*DAMAS_Daily!E233*activation_mult_A,(MIN(DAMAS_Daily!D233*market_share_A*acceptance_rate*stack_activation,power_mw*hours_per_day,capacity_mwh))*DAMAS_Daily!F233*activation_mult_A)</f>
        <v/>
      </c>
      <c r="N233" s="14">
        <f>F233+M233</f>
        <v/>
      </c>
    </row>
    <row r="234">
      <c r="A234" s="41">
        <f>DAMAS_Daily!A234</f>
        <v/>
      </c>
      <c r="B234" s="42">
        <f>DAMAS_Daily!B234</f>
        <v/>
      </c>
      <c r="C234" s="42">
        <f>IF((power_mw*hours_per_day*damas_afrr_up*capacity_mult_A*stack_capacity*acceptance_rate+(MIN(DAMAS_Daily!C234*market_share_A*acceptance_rate*stack_activation,power_mw*hours_per_day,capacity_mwh))*DAMAS_Daily!E234*activation_mult_A)&gt;=(power_mw*hours_per_day*damas_afrr_down*capacity_mult_A*stack_capacity*acceptance_rate+(MIN(DAMAS_Daily!D234*market_share_A*acceptance_rate*stack_activation,power_mw*hours_per_day,capacity_mwh))*DAMAS_Daily!F234*activation_mult_A),"aFRR+","aFRR-")</f>
        <v/>
      </c>
      <c r="D234" s="43">
        <f>IF(C234="aFRR+",damas_afrr_up*capacity_mult_A,damas_afrr_down*capacity_mult_A)</f>
        <v/>
      </c>
      <c r="E234" s="44">
        <f>acceptance_rate</f>
        <v/>
      </c>
      <c r="F234" s="13">
        <f>IF(C234="aFRR+",power_mw*hours_per_day*damas_afrr_up*capacity_mult_A*stack_capacity*acceptance_rate,power_mw*hours_per_day*damas_afrr_down*capacity_mult_A*stack_capacity*acceptance_rate)</f>
        <v/>
      </c>
      <c r="G234" s="42">
        <f>IF(C234="aFRR+",DAMAS_Daily!I234,DAMAS_Daily!J234)</f>
        <v/>
      </c>
      <c r="H234" s="43">
        <f>IF(C234="aFRR+",DAMAS_Daily!E234,DAMAS_Daily!F234)</f>
        <v/>
      </c>
      <c r="I234" s="43">
        <f>IF(C234="aFRR+",DAMAS_Daily!G234,DAMAS_Daily!H234)</f>
        <v/>
      </c>
      <c r="J234" s="45">
        <f>IF(C234="aFRR+",DAMAS_Daily!C234,DAMAS_Daily!D234)</f>
        <v/>
      </c>
      <c r="K234" s="45">
        <f>IF(C234="aFRR+",MIN(DAMAS_Daily!C234*market_share_A*acceptance_rate*stack_activation,power_mw*hours_per_day,capacity_mwh),MIN(DAMAS_Daily!D234*market_share_A*acceptance_rate*stack_activation,power_mw*hours_per_day,capacity_mwh))</f>
        <v/>
      </c>
      <c r="L234" s="42">
        <f>IF(K234&gt;=capacity_mwh-0.01,"yes","no")</f>
        <v/>
      </c>
      <c r="M234" s="13">
        <f>IF(C234="aFRR+",(MIN(DAMAS_Daily!C234*market_share_A*acceptance_rate*stack_activation,power_mw*hours_per_day,capacity_mwh))*DAMAS_Daily!E234*activation_mult_A,(MIN(DAMAS_Daily!D234*market_share_A*acceptance_rate*stack_activation,power_mw*hours_per_day,capacity_mwh))*DAMAS_Daily!F234*activation_mult_A)</f>
        <v/>
      </c>
      <c r="N234" s="14">
        <f>F234+M234</f>
        <v/>
      </c>
    </row>
    <row r="235">
      <c r="A235" s="41">
        <f>DAMAS_Daily!A235</f>
        <v/>
      </c>
      <c r="B235" s="42">
        <f>DAMAS_Daily!B235</f>
        <v/>
      </c>
      <c r="C235" s="42">
        <f>IF((power_mw*hours_per_day*damas_afrr_up*capacity_mult_A*stack_capacity*acceptance_rate+(MIN(DAMAS_Daily!C235*market_share_A*acceptance_rate*stack_activation,power_mw*hours_per_day,capacity_mwh))*DAMAS_Daily!E235*activation_mult_A)&gt;=(power_mw*hours_per_day*damas_afrr_down*capacity_mult_A*stack_capacity*acceptance_rate+(MIN(DAMAS_Daily!D235*market_share_A*acceptance_rate*stack_activation,power_mw*hours_per_day,capacity_mwh))*DAMAS_Daily!F235*activation_mult_A),"aFRR+","aFRR-")</f>
        <v/>
      </c>
      <c r="D235" s="43">
        <f>IF(C235="aFRR+",damas_afrr_up*capacity_mult_A,damas_afrr_down*capacity_mult_A)</f>
        <v/>
      </c>
      <c r="E235" s="44">
        <f>acceptance_rate</f>
        <v/>
      </c>
      <c r="F235" s="13">
        <f>IF(C235="aFRR+",power_mw*hours_per_day*damas_afrr_up*capacity_mult_A*stack_capacity*acceptance_rate,power_mw*hours_per_day*damas_afrr_down*capacity_mult_A*stack_capacity*acceptance_rate)</f>
        <v/>
      </c>
      <c r="G235" s="42">
        <f>IF(C235="aFRR+",DAMAS_Daily!I235,DAMAS_Daily!J235)</f>
        <v/>
      </c>
      <c r="H235" s="43">
        <f>IF(C235="aFRR+",DAMAS_Daily!E235,DAMAS_Daily!F235)</f>
        <v/>
      </c>
      <c r="I235" s="43">
        <f>IF(C235="aFRR+",DAMAS_Daily!G235,DAMAS_Daily!H235)</f>
        <v/>
      </c>
      <c r="J235" s="45">
        <f>IF(C235="aFRR+",DAMAS_Daily!C235,DAMAS_Daily!D235)</f>
        <v/>
      </c>
      <c r="K235" s="45">
        <f>IF(C235="aFRR+",MIN(DAMAS_Daily!C235*market_share_A*acceptance_rate*stack_activation,power_mw*hours_per_day,capacity_mwh),MIN(DAMAS_Daily!D235*market_share_A*acceptance_rate*stack_activation,power_mw*hours_per_day,capacity_mwh))</f>
        <v/>
      </c>
      <c r="L235" s="42">
        <f>IF(K235&gt;=capacity_mwh-0.01,"yes","no")</f>
        <v/>
      </c>
      <c r="M235" s="13">
        <f>IF(C235="aFRR+",(MIN(DAMAS_Daily!C235*market_share_A*acceptance_rate*stack_activation,power_mw*hours_per_day,capacity_mwh))*DAMAS_Daily!E235*activation_mult_A,(MIN(DAMAS_Daily!D235*market_share_A*acceptance_rate*stack_activation,power_mw*hours_per_day,capacity_mwh))*DAMAS_Daily!F235*activation_mult_A)</f>
        <v/>
      </c>
      <c r="N235" s="14">
        <f>F235+M235</f>
        <v/>
      </c>
    </row>
    <row r="236">
      <c r="A236" s="41">
        <f>DAMAS_Daily!A236</f>
        <v/>
      </c>
      <c r="B236" s="42">
        <f>DAMAS_Daily!B236</f>
        <v/>
      </c>
      <c r="C236" s="42">
        <f>IF((power_mw*hours_per_day*damas_afrr_up*capacity_mult_A*stack_capacity*acceptance_rate+(MIN(DAMAS_Daily!C236*market_share_A*acceptance_rate*stack_activation,power_mw*hours_per_day,capacity_mwh))*DAMAS_Daily!E236*activation_mult_A)&gt;=(power_mw*hours_per_day*damas_afrr_down*capacity_mult_A*stack_capacity*acceptance_rate+(MIN(DAMAS_Daily!D236*market_share_A*acceptance_rate*stack_activation,power_mw*hours_per_day,capacity_mwh))*DAMAS_Daily!F236*activation_mult_A),"aFRR+","aFRR-")</f>
        <v/>
      </c>
      <c r="D236" s="43">
        <f>IF(C236="aFRR+",damas_afrr_up*capacity_mult_A,damas_afrr_down*capacity_mult_A)</f>
        <v/>
      </c>
      <c r="E236" s="44">
        <f>acceptance_rate</f>
        <v/>
      </c>
      <c r="F236" s="13">
        <f>IF(C236="aFRR+",power_mw*hours_per_day*damas_afrr_up*capacity_mult_A*stack_capacity*acceptance_rate,power_mw*hours_per_day*damas_afrr_down*capacity_mult_A*stack_capacity*acceptance_rate)</f>
        <v/>
      </c>
      <c r="G236" s="42">
        <f>IF(C236="aFRR+",DAMAS_Daily!I236,DAMAS_Daily!J236)</f>
        <v/>
      </c>
      <c r="H236" s="43">
        <f>IF(C236="aFRR+",DAMAS_Daily!E236,DAMAS_Daily!F236)</f>
        <v/>
      </c>
      <c r="I236" s="43">
        <f>IF(C236="aFRR+",DAMAS_Daily!G236,DAMAS_Daily!H236)</f>
        <v/>
      </c>
      <c r="J236" s="45">
        <f>IF(C236="aFRR+",DAMAS_Daily!C236,DAMAS_Daily!D236)</f>
        <v/>
      </c>
      <c r="K236" s="45">
        <f>IF(C236="aFRR+",MIN(DAMAS_Daily!C236*market_share_A*acceptance_rate*stack_activation,power_mw*hours_per_day,capacity_mwh),MIN(DAMAS_Daily!D236*market_share_A*acceptance_rate*stack_activation,power_mw*hours_per_day,capacity_mwh))</f>
        <v/>
      </c>
      <c r="L236" s="42">
        <f>IF(K236&gt;=capacity_mwh-0.01,"yes","no")</f>
        <v/>
      </c>
      <c r="M236" s="13">
        <f>IF(C236="aFRR+",(MIN(DAMAS_Daily!C236*market_share_A*acceptance_rate*stack_activation,power_mw*hours_per_day,capacity_mwh))*DAMAS_Daily!E236*activation_mult_A,(MIN(DAMAS_Daily!D236*market_share_A*acceptance_rate*stack_activation,power_mw*hours_per_day,capacity_mwh))*DAMAS_Daily!F236*activation_mult_A)</f>
        <v/>
      </c>
      <c r="N236" s="14">
        <f>F236+M236</f>
        <v/>
      </c>
    </row>
    <row r="237">
      <c r="A237" s="41">
        <f>DAMAS_Daily!A237</f>
        <v/>
      </c>
      <c r="B237" s="42">
        <f>DAMAS_Daily!B237</f>
        <v/>
      </c>
      <c r="C237" s="42">
        <f>IF((power_mw*hours_per_day*damas_afrr_up*capacity_mult_A*stack_capacity*acceptance_rate+(MIN(DAMAS_Daily!C237*market_share_A*acceptance_rate*stack_activation,power_mw*hours_per_day,capacity_mwh))*DAMAS_Daily!E237*activation_mult_A)&gt;=(power_mw*hours_per_day*damas_afrr_down*capacity_mult_A*stack_capacity*acceptance_rate+(MIN(DAMAS_Daily!D237*market_share_A*acceptance_rate*stack_activation,power_mw*hours_per_day,capacity_mwh))*DAMAS_Daily!F237*activation_mult_A),"aFRR+","aFRR-")</f>
        <v/>
      </c>
      <c r="D237" s="43">
        <f>IF(C237="aFRR+",damas_afrr_up*capacity_mult_A,damas_afrr_down*capacity_mult_A)</f>
        <v/>
      </c>
      <c r="E237" s="44">
        <f>acceptance_rate</f>
        <v/>
      </c>
      <c r="F237" s="13">
        <f>IF(C237="aFRR+",power_mw*hours_per_day*damas_afrr_up*capacity_mult_A*stack_capacity*acceptance_rate,power_mw*hours_per_day*damas_afrr_down*capacity_mult_A*stack_capacity*acceptance_rate)</f>
        <v/>
      </c>
      <c r="G237" s="42">
        <f>IF(C237="aFRR+",DAMAS_Daily!I237,DAMAS_Daily!J237)</f>
        <v/>
      </c>
      <c r="H237" s="43">
        <f>IF(C237="aFRR+",DAMAS_Daily!E237,DAMAS_Daily!F237)</f>
        <v/>
      </c>
      <c r="I237" s="43">
        <f>IF(C237="aFRR+",DAMAS_Daily!G237,DAMAS_Daily!H237)</f>
        <v/>
      </c>
      <c r="J237" s="45">
        <f>IF(C237="aFRR+",DAMAS_Daily!C237,DAMAS_Daily!D237)</f>
        <v/>
      </c>
      <c r="K237" s="45">
        <f>IF(C237="aFRR+",MIN(DAMAS_Daily!C237*market_share_A*acceptance_rate*stack_activation,power_mw*hours_per_day,capacity_mwh),MIN(DAMAS_Daily!D237*market_share_A*acceptance_rate*stack_activation,power_mw*hours_per_day,capacity_mwh))</f>
        <v/>
      </c>
      <c r="L237" s="42">
        <f>IF(K237&gt;=capacity_mwh-0.01,"yes","no")</f>
        <v/>
      </c>
      <c r="M237" s="13">
        <f>IF(C237="aFRR+",(MIN(DAMAS_Daily!C237*market_share_A*acceptance_rate*stack_activation,power_mw*hours_per_day,capacity_mwh))*DAMAS_Daily!E237*activation_mult_A,(MIN(DAMAS_Daily!D237*market_share_A*acceptance_rate*stack_activation,power_mw*hours_per_day,capacity_mwh))*DAMAS_Daily!F237*activation_mult_A)</f>
        <v/>
      </c>
      <c r="N237" s="14">
        <f>F237+M237</f>
        <v/>
      </c>
    </row>
    <row r="238">
      <c r="A238" s="41">
        <f>DAMAS_Daily!A238</f>
        <v/>
      </c>
      <c r="B238" s="42">
        <f>DAMAS_Daily!B238</f>
        <v/>
      </c>
      <c r="C238" s="42">
        <f>IF((power_mw*hours_per_day*damas_afrr_up*capacity_mult_A*stack_capacity*acceptance_rate+(MIN(DAMAS_Daily!C238*market_share_A*acceptance_rate*stack_activation,power_mw*hours_per_day,capacity_mwh))*DAMAS_Daily!E238*activation_mult_A)&gt;=(power_mw*hours_per_day*damas_afrr_down*capacity_mult_A*stack_capacity*acceptance_rate+(MIN(DAMAS_Daily!D238*market_share_A*acceptance_rate*stack_activation,power_mw*hours_per_day,capacity_mwh))*DAMAS_Daily!F238*activation_mult_A),"aFRR+","aFRR-")</f>
        <v/>
      </c>
      <c r="D238" s="43">
        <f>IF(C238="aFRR+",damas_afrr_up*capacity_mult_A,damas_afrr_down*capacity_mult_A)</f>
        <v/>
      </c>
      <c r="E238" s="44">
        <f>acceptance_rate</f>
        <v/>
      </c>
      <c r="F238" s="13">
        <f>IF(C238="aFRR+",power_mw*hours_per_day*damas_afrr_up*capacity_mult_A*stack_capacity*acceptance_rate,power_mw*hours_per_day*damas_afrr_down*capacity_mult_A*stack_capacity*acceptance_rate)</f>
        <v/>
      </c>
      <c r="G238" s="42">
        <f>IF(C238="aFRR+",DAMAS_Daily!I238,DAMAS_Daily!J238)</f>
        <v/>
      </c>
      <c r="H238" s="43">
        <f>IF(C238="aFRR+",DAMAS_Daily!E238,DAMAS_Daily!F238)</f>
        <v/>
      </c>
      <c r="I238" s="43">
        <f>IF(C238="aFRR+",DAMAS_Daily!G238,DAMAS_Daily!H238)</f>
        <v/>
      </c>
      <c r="J238" s="45">
        <f>IF(C238="aFRR+",DAMAS_Daily!C238,DAMAS_Daily!D238)</f>
        <v/>
      </c>
      <c r="K238" s="45">
        <f>IF(C238="aFRR+",MIN(DAMAS_Daily!C238*market_share_A*acceptance_rate*stack_activation,power_mw*hours_per_day,capacity_mwh),MIN(DAMAS_Daily!D238*market_share_A*acceptance_rate*stack_activation,power_mw*hours_per_day,capacity_mwh))</f>
        <v/>
      </c>
      <c r="L238" s="42">
        <f>IF(K238&gt;=capacity_mwh-0.01,"yes","no")</f>
        <v/>
      </c>
      <c r="M238" s="13">
        <f>IF(C238="aFRR+",(MIN(DAMAS_Daily!C238*market_share_A*acceptance_rate*stack_activation,power_mw*hours_per_day,capacity_mwh))*DAMAS_Daily!E238*activation_mult_A,(MIN(DAMAS_Daily!D238*market_share_A*acceptance_rate*stack_activation,power_mw*hours_per_day,capacity_mwh))*DAMAS_Daily!F238*activation_mult_A)</f>
        <v/>
      </c>
      <c r="N238" s="14">
        <f>F238+M238</f>
        <v/>
      </c>
    </row>
    <row r="239">
      <c r="A239" s="41">
        <f>DAMAS_Daily!A239</f>
        <v/>
      </c>
      <c r="B239" s="42">
        <f>DAMAS_Daily!B239</f>
        <v/>
      </c>
      <c r="C239" s="42">
        <f>IF((power_mw*hours_per_day*damas_afrr_up*capacity_mult_A*stack_capacity*acceptance_rate+(MIN(DAMAS_Daily!C239*market_share_A*acceptance_rate*stack_activation,power_mw*hours_per_day,capacity_mwh))*DAMAS_Daily!E239*activation_mult_A)&gt;=(power_mw*hours_per_day*damas_afrr_down*capacity_mult_A*stack_capacity*acceptance_rate+(MIN(DAMAS_Daily!D239*market_share_A*acceptance_rate*stack_activation,power_mw*hours_per_day,capacity_mwh))*DAMAS_Daily!F239*activation_mult_A),"aFRR+","aFRR-")</f>
        <v/>
      </c>
      <c r="D239" s="43">
        <f>IF(C239="aFRR+",damas_afrr_up*capacity_mult_A,damas_afrr_down*capacity_mult_A)</f>
        <v/>
      </c>
      <c r="E239" s="44">
        <f>acceptance_rate</f>
        <v/>
      </c>
      <c r="F239" s="13">
        <f>IF(C239="aFRR+",power_mw*hours_per_day*damas_afrr_up*capacity_mult_A*stack_capacity*acceptance_rate,power_mw*hours_per_day*damas_afrr_down*capacity_mult_A*stack_capacity*acceptance_rate)</f>
        <v/>
      </c>
      <c r="G239" s="42">
        <f>IF(C239="aFRR+",DAMAS_Daily!I239,DAMAS_Daily!J239)</f>
        <v/>
      </c>
      <c r="H239" s="43">
        <f>IF(C239="aFRR+",DAMAS_Daily!E239,DAMAS_Daily!F239)</f>
        <v/>
      </c>
      <c r="I239" s="43">
        <f>IF(C239="aFRR+",DAMAS_Daily!G239,DAMAS_Daily!H239)</f>
        <v/>
      </c>
      <c r="J239" s="45">
        <f>IF(C239="aFRR+",DAMAS_Daily!C239,DAMAS_Daily!D239)</f>
        <v/>
      </c>
      <c r="K239" s="45">
        <f>IF(C239="aFRR+",MIN(DAMAS_Daily!C239*market_share_A*acceptance_rate*stack_activation,power_mw*hours_per_day,capacity_mwh),MIN(DAMAS_Daily!D239*market_share_A*acceptance_rate*stack_activation,power_mw*hours_per_day,capacity_mwh))</f>
        <v/>
      </c>
      <c r="L239" s="42">
        <f>IF(K239&gt;=capacity_mwh-0.01,"yes","no")</f>
        <v/>
      </c>
      <c r="M239" s="13">
        <f>IF(C239="aFRR+",(MIN(DAMAS_Daily!C239*market_share_A*acceptance_rate*stack_activation,power_mw*hours_per_day,capacity_mwh))*DAMAS_Daily!E239*activation_mult_A,(MIN(DAMAS_Daily!D239*market_share_A*acceptance_rate*stack_activation,power_mw*hours_per_day,capacity_mwh))*DAMAS_Daily!F239*activation_mult_A)</f>
        <v/>
      </c>
      <c r="N239" s="14">
        <f>F239+M239</f>
        <v/>
      </c>
    </row>
    <row r="240">
      <c r="A240" s="41">
        <f>DAMAS_Daily!A240</f>
        <v/>
      </c>
      <c r="B240" s="42">
        <f>DAMAS_Daily!B240</f>
        <v/>
      </c>
      <c r="C240" s="42">
        <f>IF((power_mw*hours_per_day*damas_afrr_up*capacity_mult_A*stack_capacity*acceptance_rate+(MIN(DAMAS_Daily!C240*market_share_A*acceptance_rate*stack_activation,power_mw*hours_per_day,capacity_mwh))*DAMAS_Daily!E240*activation_mult_A)&gt;=(power_mw*hours_per_day*damas_afrr_down*capacity_mult_A*stack_capacity*acceptance_rate+(MIN(DAMAS_Daily!D240*market_share_A*acceptance_rate*stack_activation,power_mw*hours_per_day,capacity_mwh))*DAMAS_Daily!F240*activation_mult_A),"aFRR+","aFRR-")</f>
        <v/>
      </c>
      <c r="D240" s="43">
        <f>IF(C240="aFRR+",damas_afrr_up*capacity_mult_A,damas_afrr_down*capacity_mult_A)</f>
        <v/>
      </c>
      <c r="E240" s="44">
        <f>acceptance_rate</f>
        <v/>
      </c>
      <c r="F240" s="13">
        <f>IF(C240="aFRR+",power_mw*hours_per_day*damas_afrr_up*capacity_mult_A*stack_capacity*acceptance_rate,power_mw*hours_per_day*damas_afrr_down*capacity_mult_A*stack_capacity*acceptance_rate)</f>
        <v/>
      </c>
      <c r="G240" s="42">
        <f>IF(C240="aFRR+",DAMAS_Daily!I240,DAMAS_Daily!J240)</f>
        <v/>
      </c>
      <c r="H240" s="43">
        <f>IF(C240="aFRR+",DAMAS_Daily!E240,DAMAS_Daily!F240)</f>
        <v/>
      </c>
      <c r="I240" s="43">
        <f>IF(C240="aFRR+",DAMAS_Daily!G240,DAMAS_Daily!H240)</f>
        <v/>
      </c>
      <c r="J240" s="45">
        <f>IF(C240="aFRR+",DAMAS_Daily!C240,DAMAS_Daily!D240)</f>
        <v/>
      </c>
      <c r="K240" s="45">
        <f>IF(C240="aFRR+",MIN(DAMAS_Daily!C240*market_share_A*acceptance_rate*stack_activation,power_mw*hours_per_day,capacity_mwh),MIN(DAMAS_Daily!D240*market_share_A*acceptance_rate*stack_activation,power_mw*hours_per_day,capacity_mwh))</f>
        <v/>
      </c>
      <c r="L240" s="42">
        <f>IF(K240&gt;=capacity_mwh-0.01,"yes","no")</f>
        <v/>
      </c>
      <c r="M240" s="13">
        <f>IF(C240="aFRR+",(MIN(DAMAS_Daily!C240*market_share_A*acceptance_rate*stack_activation,power_mw*hours_per_day,capacity_mwh))*DAMAS_Daily!E240*activation_mult_A,(MIN(DAMAS_Daily!D240*market_share_A*acceptance_rate*stack_activation,power_mw*hours_per_day,capacity_mwh))*DAMAS_Daily!F240*activation_mult_A)</f>
        <v/>
      </c>
      <c r="N240" s="14">
        <f>F240+M240</f>
        <v/>
      </c>
    </row>
    <row r="241">
      <c r="A241" s="41">
        <f>DAMAS_Daily!A241</f>
        <v/>
      </c>
      <c r="B241" s="42">
        <f>DAMAS_Daily!B241</f>
        <v/>
      </c>
      <c r="C241" s="42">
        <f>IF((power_mw*hours_per_day*damas_afrr_up*capacity_mult_A*stack_capacity*acceptance_rate+(MIN(DAMAS_Daily!C241*market_share_A*acceptance_rate*stack_activation,power_mw*hours_per_day,capacity_mwh))*DAMAS_Daily!E241*activation_mult_A)&gt;=(power_mw*hours_per_day*damas_afrr_down*capacity_mult_A*stack_capacity*acceptance_rate+(MIN(DAMAS_Daily!D241*market_share_A*acceptance_rate*stack_activation,power_mw*hours_per_day,capacity_mwh))*DAMAS_Daily!F241*activation_mult_A),"aFRR+","aFRR-")</f>
        <v/>
      </c>
      <c r="D241" s="43">
        <f>IF(C241="aFRR+",damas_afrr_up*capacity_mult_A,damas_afrr_down*capacity_mult_A)</f>
        <v/>
      </c>
      <c r="E241" s="44">
        <f>acceptance_rate</f>
        <v/>
      </c>
      <c r="F241" s="13">
        <f>IF(C241="aFRR+",power_mw*hours_per_day*damas_afrr_up*capacity_mult_A*stack_capacity*acceptance_rate,power_mw*hours_per_day*damas_afrr_down*capacity_mult_A*stack_capacity*acceptance_rate)</f>
        <v/>
      </c>
      <c r="G241" s="42">
        <f>IF(C241="aFRR+",DAMAS_Daily!I241,DAMAS_Daily!J241)</f>
        <v/>
      </c>
      <c r="H241" s="43">
        <f>IF(C241="aFRR+",DAMAS_Daily!E241,DAMAS_Daily!F241)</f>
        <v/>
      </c>
      <c r="I241" s="43">
        <f>IF(C241="aFRR+",DAMAS_Daily!G241,DAMAS_Daily!H241)</f>
        <v/>
      </c>
      <c r="J241" s="45">
        <f>IF(C241="aFRR+",DAMAS_Daily!C241,DAMAS_Daily!D241)</f>
        <v/>
      </c>
      <c r="K241" s="45">
        <f>IF(C241="aFRR+",MIN(DAMAS_Daily!C241*market_share_A*acceptance_rate*stack_activation,power_mw*hours_per_day,capacity_mwh),MIN(DAMAS_Daily!D241*market_share_A*acceptance_rate*stack_activation,power_mw*hours_per_day,capacity_mwh))</f>
        <v/>
      </c>
      <c r="L241" s="42">
        <f>IF(K241&gt;=capacity_mwh-0.01,"yes","no")</f>
        <v/>
      </c>
      <c r="M241" s="13">
        <f>IF(C241="aFRR+",(MIN(DAMAS_Daily!C241*market_share_A*acceptance_rate*stack_activation,power_mw*hours_per_day,capacity_mwh))*DAMAS_Daily!E241*activation_mult_A,(MIN(DAMAS_Daily!D241*market_share_A*acceptance_rate*stack_activation,power_mw*hours_per_day,capacity_mwh))*DAMAS_Daily!F241*activation_mult_A)</f>
        <v/>
      </c>
      <c r="N241" s="14">
        <f>F241+M241</f>
        <v/>
      </c>
    </row>
    <row r="242">
      <c r="A242" s="41">
        <f>DAMAS_Daily!A242</f>
        <v/>
      </c>
      <c r="B242" s="42">
        <f>DAMAS_Daily!B242</f>
        <v/>
      </c>
      <c r="C242" s="42">
        <f>IF((power_mw*hours_per_day*damas_afrr_up*capacity_mult_A*stack_capacity*acceptance_rate+(MIN(DAMAS_Daily!C242*market_share_A*acceptance_rate*stack_activation,power_mw*hours_per_day,capacity_mwh))*DAMAS_Daily!E242*activation_mult_A)&gt;=(power_mw*hours_per_day*damas_afrr_down*capacity_mult_A*stack_capacity*acceptance_rate+(MIN(DAMAS_Daily!D242*market_share_A*acceptance_rate*stack_activation,power_mw*hours_per_day,capacity_mwh))*DAMAS_Daily!F242*activation_mult_A),"aFRR+","aFRR-")</f>
        <v/>
      </c>
      <c r="D242" s="43">
        <f>IF(C242="aFRR+",damas_afrr_up*capacity_mult_A,damas_afrr_down*capacity_mult_A)</f>
        <v/>
      </c>
      <c r="E242" s="44">
        <f>acceptance_rate</f>
        <v/>
      </c>
      <c r="F242" s="13">
        <f>IF(C242="aFRR+",power_mw*hours_per_day*damas_afrr_up*capacity_mult_A*stack_capacity*acceptance_rate,power_mw*hours_per_day*damas_afrr_down*capacity_mult_A*stack_capacity*acceptance_rate)</f>
        <v/>
      </c>
      <c r="G242" s="42">
        <f>IF(C242="aFRR+",DAMAS_Daily!I242,DAMAS_Daily!J242)</f>
        <v/>
      </c>
      <c r="H242" s="43">
        <f>IF(C242="aFRR+",DAMAS_Daily!E242,DAMAS_Daily!F242)</f>
        <v/>
      </c>
      <c r="I242" s="43">
        <f>IF(C242="aFRR+",DAMAS_Daily!G242,DAMAS_Daily!H242)</f>
        <v/>
      </c>
      <c r="J242" s="45">
        <f>IF(C242="aFRR+",DAMAS_Daily!C242,DAMAS_Daily!D242)</f>
        <v/>
      </c>
      <c r="K242" s="45">
        <f>IF(C242="aFRR+",MIN(DAMAS_Daily!C242*market_share_A*acceptance_rate*stack_activation,power_mw*hours_per_day,capacity_mwh),MIN(DAMAS_Daily!D242*market_share_A*acceptance_rate*stack_activation,power_mw*hours_per_day,capacity_mwh))</f>
        <v/>
      </c>
      <c r="L242" s="42">
        <f>IF(K242&gt;=capacity_mwh-0.01,"yes","no")</f>
        <v/>
      </c>
      <c r="M242" s="13">
        <f>IF(C242="aFRR+",(MIN(DAMAS_Daily!C242*market_share_A*acceptance_rate*stack_activation,power_mw*hours_per_day,capacity_mwh))*DAMAS_Daily!E242*activation_mult_A,(MIN(DAMAS_Daily!D242*market_share_A*acceptance_rate*stack_activation,power_mw*hours_per_day,capacity_mwh))*DAMAS_Daily!F242*activation_mult_A)</f>
        <v/>
      </c>
      <c r="N242" s="14">
        <f>F242+M242</f>
        <v/>
      </c>
    </row>
    <row r="243">
      <c r="A243" s="41">
        <f>DAMAS_Daily!A243</f>
        <v/>
      </c>
      <c r="B243" s="42">
        <f>DAMAS_Daily!B243</f>
        <v/>
      </c>
      <c r="C243" s="42">
        <f>IF((power_mw*hours_per_day*damas_afrr_up*capacity_mult_A*stack_capacity*acceptance_rate+(MIN(DAMAS_Daily!C243*market_share_A*acceptance_rate*stack_activation,power_mw*hours_per_day,capacity_mwh))*DAMAS_Daily!E243*activation_mult_A)&gt;=(power_mw*hours_per_day*damas_afrr_down*capacity_mult_A*stack_capacity*acceptance_rate+(MIN(DAMAS_Daily!D243*market_share_A*acceptance_rate*stack_activation,power_mw*hours_per_day,capacity_mwh))*DAMAS_Daily!F243*activation_mult_A),"aFRR+","aFRR-")</f>
        <v/>
      </c>
      <c r="D243" s="43">
        <f>IF(C243="aFRR+",damas_afrr_up*capacity_mult_A,damas_afrr_down*capacity_mult_A)</f>
        <v/>
      </c>
      <c r="E243" s="44">
        <f>acceptance_rate</f>
        <v/>
      </c>
      <c r="F243" s="13">
        <f>IF(C243="aFRR+",power_mw*hours_per_day*damas_afrr_up*capacity_mult_A*stack_capacity*acceptance_rate,power_mw*hours_per_day*damas_afrr_down*capacity_mult_A*stack_capacity*acceptance_rate)</f>
        <v/>
      </c>
      <c r="G243" s="42">
        <f>IF(C243="aFRR+",DAMAS_Daily!I243,DAMAS_Daily!J243)</f>
        <v/>
      </c>
      <c r="H243" s="43">
        <f>IF(C243="aFRR+",DAMAS_Daily!E243,DAMAS_Daily!F243)</f>
        <v/>
      </c>
      <c r="I243" s="43">
        <f>IF(C243="aFRR+",DAMAS_Daily!G243,DAMAS_Daily!H243)</f>
        <v/>
      </c>
      <c r="J243" s="45">
        <f>IF(C243="aFRR+",DAMAS_Daily!C243,DAMAS_Daily!D243)</f>
        <v/>
      </c>
      <c r="K243" s="45">
        <f>IF(C243="aFRR+",MIN(DAMAS_Daily!C243*market_share_A*acceptance_rate*stack_activation,power_mw*hours_per_day,capacity_mwh),MIN(DAMAS_Daily!D243*market_share_A*acceptance_rate*stack_activation,power_mw*hours_per_day,capacity_mwh))</f>
        <v/>
      </c>
      <c r="L243" s="42">
        <f>IF(K243&gt;=capacity_mwh-0.01,"yes","no")</f>
        <v/>
      </c>
      <c r="M243" s="13">
        <f>IF(C243="aFRR+",(MIN(DAMAS_Daily!C243*market_share_A*acceptance_rate*stack_activation,power_mw*hours_per_day,capacity_mwh))*DAMAS_Daily!E243*activation_mult_A,(MIN(DAMAS_Daily!D243*market_share_A*acceptance_rate*stack_activation,power_mw*hours_per_day,capacity_mwh))*DAMAS_Daily!F243*activation_mult_A)</f>
        <v/>
      </c>
      <c r="N243" s="14">
        <f>F243+M243</f>
        <v/>
      </c>
    </row>
    <row r="244">
      <c r="A244" s="41">
        <f>DAMAS_Daily!A244</f>
        <v/>
      </c>
      <c r="B244" s="42">
        <f>DAMAS_Daily!B244</f>
        <v/>
      </c>
      <c r="C244" s="42">
        <f>IF((power_mw*hours_per_day*damas_afrr_up*capacity_mult_A*stack_capacity*acceptance_rate+(MIN(DAMAS_Daily!C244*market_share_A*acceptance_rate*stack_activation,power_mw*hours_per_day,capacity_mwh))*DAMAS_Daily!E244*activation_mult_A)&gt;=(power_mw*hours_per_day*damas_afrr_down*capacity_mult_A*stack_capacity*acceptance_rate+(MIN(DAMAS_Daily!D244*market_share_A*acceptance_rate*stack_activation,power_mw*hours_per_day,capacity_mwh))*DAMAS_Daily!F244*activation_mult_A),"aFRR+","aFRR-")</f>
        <v/>
      </c>
      <c r="D244" s="43">
        <f>IF(C244="aFRR+",damas_afrr_up*capacity_mult_A,damas_afrr_down*capacity_mult_A)</f>
        <v/>
      </c>
      <c r="E244" s="44">
        <f>acceptance_rate</f>
        <v/>
      </c>
      <c r="F244" s="13">
        <f>IF(C244="aFRR+",power_mw*hours_per_day*damas_afrr_up*capacity_mult_A*stack_capacity*acceptance_rate,power_mw*hours_per_day*damas_afrr_down*capacity_mult_A*stack_capacity*acceptance_rate)</f>
        <v/>
      </c>
      <c r="G244" s="42">
        <f>IF(C244="aFRR+",DAMAS_Daily!I244,DAMAS_Daily!J244)</f>
        <v/>
      </c>
      <c r="H244" s="43">
        <f>IF(C244="aFRR+",DAMAS_Daily!E244,DAMAS_Daily!F244)</f>
        <v/>
      </c>
      <c r="I244" s="43">
        <f>IF(C244="aFRR+",DAMAS_Daily!G244,DAMAS_Daily!H244)</f>
        <v/>
      </c>
      <c r="J244" s="45">
        <f>IF(C244="aFRR+",DAMAS_Daily!C244,DAMAS_Daily!D244)</f>
        <v/>
      </c>
      <c r="K244" s="45">
        <f>IF(C244="aFRR+",MIN(DAMAS_Daily!C244*market_share_A*acceptance_rate*stack_activation,power_mw*hours_per_day,capacity_mwh),MIN(DAMAS_Daily!D244*market_share_A*acceptance_rate*stack_activation,power_mw*hours_per_day,capacity_mwh))</f>
        <v/>
      </c>
      <c r="L244" s="42">
        <f>IF(K244&gt;=capacity_mwh-0.01,"yes","no")</f>
        <v/>
      </c>
      <c r="M244" s="13">
        <f>IF(C244="aFRR+",(MIN(DAMAS_Daily!C244*market_share_A*acceptance_rate*stack_activation,power_mw*hours_per_day,capacity_mwh))*DAMAS_Daily!E244*activation_mult_A,(MIN(DAMAS_Daily!D244*market_share_A*acceptance_rate*stack_activation,power_mw*hours_per_day,capacity_mwh))*DAMAS_Daily!F244*activation_mult_A)</f>
        <v/>
      </c>
      <c r="N244" s="14">
        <f>F244+M244</f>
        <v/>
      </c>
    </row>
    <row r="245">
      <c r="A245" s="41">
        <f>DAMAS_Daily!A245</f>
        <v/>
      </c>
      <c r="B245" s="42">
        <f>DAMAS_Daily!B245</f>
        <v/>
      </c>
      <c r="C245" s="42">
        <f>IF((power_mw*hours_per_day*damas_afrr_up*capacity_mult_A*stack_capacity*acceptance_rate+(MIN(DAMAS_Daily!C245*market_share_A*acceptance_rate*stack_activation,power_mw*hours_per_day,capacity_mwh))*DAMAS_Daily!E245*activation_mult_A)&gt;=(power_mw*hours_per_day*damas_afrr_down*capacity_mult_A*stack_capacity*acceptance_rate+(MIN(DAMAS_Daily!D245*market_share_A*acceptance_rate*stack_activation,power_mw*hours_per_day,capacity_mwh))*DAMAS_Daily!F245*activation_mult_A),"aFRR+","aFRR-")</f>
        <v/>
      </c>
      <c r="D245" s="43">
        <f>IF(C245="aFRR+",damas_afrr_up*capacity_mult_A,damas_afrr_down*capacity_mult_A)</f>
        <v/>
      </c>
      <c r="E245" s="44">
        <f>acceptance_rate</f>
        <v/>
      </c>
      <c r="F245" s="13">
        <f>IF(C245="aFRR+",power_mw*hours_per_day*damas_afrr_up*capacity_mult_A*stack_capacity*acceptance_rate,power_mw*hours_per_day*damas_afrr_down*capacity_mult_A*stack_capacity*acceptance_rate)</f>
        <v/>
      </c>
      <c r="G245" s="42">
        <f>IF(C245="aFRR+",DAMAS_Daily!I245,DAMAS_Daily!J245)</f>
        <v/>
      </c>
      <c r="H245" s="43">
        <f>IF(C245="aFRR+",DAMAS_Daily!E245,DAMAS_Daily!F245)</f>
        <v/>
      </c>
      <c r="I245" s="43">
        <f>IF(C245="aFRR+",DAMAS_Daily!G245,DAMAS_Daily!H245)</f>
        <v/>
      </c>
      <c r="J245" s="45">
        <f>IF(C245="aFRR+",DAMAS_Daily!C245,DAMAS_Daily!D245)</f>
        <v/>
      </c>
      <c r="K245" s="45">
        <f>IF(C245="aFRR+",MIN(DAMAS_Daily!C245*market_share_A*acceptance_rate*stack_activation,power_mw*hours_per_day,capacity_mwh),MIN(DAMAS_Daily!D245*market_share_A*acceptance_rate*stack_activation,power_mw*hours_per_day,capacity_mwh))</f>
        <v/>
      </c>
      <c r="L245" s="42">
        <f>IF(K245&gt;=capacity_mwh-0.01,"yes","no")</f>
        <v/>
      </c>
      <c r="M245" s="13">
        <f>IF(C245="aFRR+",(MIN(DAMAS_Daily!C245*market_share_A*acceptance_rate*stack_activation,power_mw*hours_per_day,capacity_mwh))*DAMAS_Daily!E245*activation_mult_A,(MIN(DAMAS_Daily!D245*market_share_A*acceptance_rate*stack_activation,power_mw*hours_per_day,capacity_mwh))*DAMAS_Daily!F245*activation_mult_A)</f>
        <v/>
      </c>
      <c r="N245" s="14">
        <f>F245+M245</f>
        <v/>
      </c>
    </row>
    <row r="246">
      <c r="A246" s="41">
        <f>DAMAS_Daily!A246</f>
        <v/>
      </c>
      <c r="B246" s="42">
        <f>DAMAS_Daily!B246</f>
        <v/>
      </c>
      <c r="C246" s="42">
        <f>IF((power_mw*hours_per_day*damas_afrr_up*capacity_mult_A*stack_capacity*acceptance_rate+(MIN(DAMAS_Daily!C246*market_share_A*acceptance_rate*stack_activation,power_mw*hours_per_day,capacity_mwh))*DAMAS_Daily!E246*activation_mult_A)&gt;=(power_mw*hours_per_day*damas_afrr_down*capacity_mult_A*stack_capacity*acceptance_rate+(MIN(DAMAS_Daily!D246*market_share_A*acceptance_rate*stack_activation,power_mw*hours_per_day,capacity_mwh))*DAMAS_Daily!F246*activation_mult_A),"aFRR+","aFRR-")</f>
        <v/>
      </c>
      <c r="D246" s="43">
        <f>IF(C246="aFRR+",damas_afrr_up*capacity_mult_A,damas_afrr_down*capacity_mult_A)</f>
        <v/>
      </c>
      <c r="E246" s="44">
        <f>acceptance_rate</f>
        <v/>
      </c>
      <c r="F246" s="13">
        <f>IF(C246="aFRR+",power_mw*hours_per_day*damas_afrr_up*capacity_mult_A*stack_capacity*acceptance_rate,power_mw*hours_per_day*damas_afrr_down*capacity_mult_A*stack_capacity*acceptance_rate)</f>
        <v/>
      </c>
      <c r="G246" s="42">
        <f>IF(C246="aFRR+",DAMAS_Daily!I246,DAMAS_Daily!J246)</f>
        <v/>
      </c>
      <c r="H246" s="43">
        <f>IF(C246="aFRR+",DAMAS_Daily!E246,DAMAS_Daily!F246)</f>
        <v/>
      </c>
      <c r="I246" s="43">
        <f>IF(C246="aFRR+",DAMAS_Daily!G246,DAMAS_Daily!H246)</f>
        <v/>
      </c>
      <c r="J246" s="45">
        <f>IF(C246="aFRR+",DAMAS_Daily!C246,DAMAS_Daily!D246)</f>
        <v/>
      </c>
      <c r="K246" s="45">
        <f>IF(C246="aFRR+",MIN(DAMAS_Daily!C246*market_share_A*acceptance_rate*stack_activation,power_mw*hours_per_day,capacity_mwh),MIN(DAMAS_Daily!D246*market_share_A*acceptance_rate*stack_activation,power_mw*hours_per_day,capacity_mwh))</f>
        <v/>
      </c>
      <c r="L246" s="42">
        <f>IF(K246&gt;=capacity_mwh-0.01,"yes","no")</f>
        <v/>
      </c>
      <c r="M246" s="13">
        <f>IF(C246="aFRR+",(MIN(DAMAS_Daily!C246*market_share_A*acceptance_rate*stack_activation,power_mw*hours_per_day,capacity_mwh))*DAMAS_Daily!E246*activation_mult_A,(MIN(DAMAS_Daily!D246*market_share_A*acceptance_rate*stack_activation,power_mw*hours_per_day,capacity_mwh))*DAMAS_Daily!F246*activation_mult_A)</f>
        <v/>
      </c>
      <c r="N246" s="14">
        <f>F246+M246</f>
        <v/>
      </c>
    </row>
    <row r="247">
      <c r="A247" s="41">
        <f>DAMAS_Daily!A247</f>
        <v/>
      </c>
      <c r="B247" s="42">
        <f>DAMAS_Daily!B247</f>
        <v/>
      </c>
      <c r="C247" s="42">
        <f>IF((power_mw*hours_per_day*damas_afrr_up*capacity_mult_A*stack_capacity*acceptance_rate+(MIN(DAMAS_Daily!C247*market_share_A*acceptance_rate*stack_activation,power_mw*hours_per_day,capacity_mwh))*DAMAS_Daily!E247*activation_mult_A)&gt;=(power_mw*hours_per_day*damas_afrr_down*capacity_mult_A*stack_capacity*acceptance_rate+(MIN(DAMAS_Daily!D247*market_share_A*acceptance_rate*stack_activation,power_mw*hours_per_day,capacity_mwh))*DAMAS_Daily!F247*activation_mult_A),"aFRR+","aFRR-")</f>
        <v/>
      </c>
      <c r="D247" s="43">
        <f>IF(C247="aFRR+",damas_afrr_up*capacity_mult_A,damas_afrr_down*capacity_mult_A)</f>
        <v/>
      </c>
      <c r="E247" s="44">
        <f>acceptance_rate</f>
        <v/>
      </c>
      <c r="F247" s="13">
        <f>IF(C247="aFRR+",power_mw*hours_per_day*damas_afrr_up*capacity_mult_A*stack_capacity*acceptance_rate,power_mw*hours_per_day*damas_afrr_down*capacity_mult_A*stack_capacity*acceptance_rate)</f>
        <v/>
      </c>
      <c r="G247" s="42">
        <f>IF(C247="aFRR+",DAMAS_Daily!I247,DAMAS_Daily!J247)</f>
        <v/>
      </c>
      <c r="H247" s="43">
        <f>IF(C247="aFRR+",DAMAS_Daily!E247,DAMAS_Daily!F247)</f>
        <v/>
      </c>
      <c r="I247" s="43">
        <f>IF(C247="aFRR+",DAMAS_Daily!G247,DAMAS_Daily!H247)</f>
        <v/>
      </c>
      <c r="J247" s="45">
        <f>IF(C247="aFRR+",DAMAS_Daily!C247,DAMAS_Daily!D247)</f>
        <v/>
      </c>
      <c r="K247" s="45">
        <f>IF(C247="aFRR+",MIN(DAMAS_Daily!C247*market_share_A*acceptance_rate*stack_activation,power_mw*hours_per_day,capacity_mwh),MIN(DAMAS_Daily!D247*market_share_A*acceptance_rate*stack_activation,power_mw*hours_per_day,capacity_mwh))</f>
        <v/>
      </c>
      <c r="L247" s="42">
        <f>IF(K247&gt;=capacity_mwh-0.01,"yes","no")</f>
        <v/>
      </c>
      <c r="M247" s="13">
        <f>IF(C247="aFRR+",(MIN(DAMAS_Daily!C247*market_share_A*acceptance_rate*stack_activation,power_mw*hours_per_day,capacity_mwh))*DAMAS_Daily!E247*activation_mult_A,(MIN(DAMAS_Daily!D247*market_share_A*acceptance_rate*stack_activation,power_mw*hours_per_day,capacity_mwh))*DAMAS_Daily!F247*activation_mult_A)</f>
        <v/>
      </c>
      <c r="N247" s="14">
        <f>F247+M247</f>
        <v/>
      </c>
    </row>
    <row r="248">
      <c r="A248" s="41">
        <f>DAMAS_Daily!A248</f>
        <v/>
      </c>
      <c r="B248" s="42">
        <f>DAMAS_Daily!B248</f>
        <v/>
      </c>
      <c r="C248" s="42">
        <f>IF((power_mw*hours_per_day*damas_afrr_up*capacity_mult_A*stack_capacity*acceptance_rate+(MIN(DAMAS_Daily!C248*market_share_A*acceptance_rate*stack_activation,power_mw*hours_per_day,capacity_mwh))*DAMAS_Daily!E248*activation_mult_A)&gt;=(power_mw*hours_per_day*damas_afrr_down*capacity_mult_A*stack_capacity*acceptance_rate+(MIN(DAMAS_Daily!D248*market_share_A*acceptance_rate*stack_activation,power_mw*hours_per_day,capacity_mwh))*DAMAS_Daily!F248*activation_mult_A),"aFRR+","aFRR-")</f>
        <v/>
      </c>
      <c r="D248" s="43">
        <f>IF(C248="aFRR+",damas_afrr_up*capacity_mult_A,damas_afrr_down*capacity_mult_A)</f>
        <v/>
      </c>
      <c r="E248" s="44">
        <f>acceptance_rate</f>
        <v/>
      </c>
      <c r="F248" s="13">
        <f>IF(C248="aFRR+",power_mw*hours_per_day*damas_afrr_up*capacity_mult_A*stack_capacity*acceptance_rate,power_mw*hours_per_day*damas_afrr_down*capacity_mult_A*stack_capacity*acceptance_rate)</f>
        <v/>
      </c>
      <c r="G248" s="42">
        <f>IF(C248="aFRR+",DAMAS_Daily!I248,DAMAS_Daily!J248)</f>
        <v/>
      </c>
      <c r="H248" s="43">
        <f>IF(C248="aFRR+",DAMAS_Daily!E248,DAMAS_Daily!F248)</f>
        <v/>
      </c>
      <c r="I248" s="43">
        <f>IF(C248="aFRR+",DAMAS_Daily!G248,DAMAS_Daily!H248)</f>
        <v/>
      </c>
      <c r="J248" s="45">
        <f>IF(C248="aFRR+",DAMAS_Daily!C248,DAMAS_Daily!D248)</f>
        <v/>
      </c>
      <c r="K248" s="45">
        <f>IF(C248="aFRR+",MIN(DAMAS_Daily!C248*market_share_A*acceptance_rate*stack_activation,power_mw*hours_per_day,capacity_mwh),MIN(DAMAS_Daily!D248*market_share_A*acceptance_rate*stack_activation,power_mw*hours_per_day,capacity_mwh))</f>
        <v/>
      </c>
      <c r="L248" s="42">
        <f>IF(K248&gt;=capacity_mwh-0.01,"yes","no")</f>
        <v/>
      </c>
      <c r="M248" s="13">
        <f>IF(C248="aFRR+",(MIN(DAMAS_Daily!C248*market_share_A*acceptance_rate*stack_activation,power_mw*hours_per_day,capacity_mwh))*DAMAS_Daily!E248*activation_mult_A,(MIN(DAMAS_Daily!D248*market_share_A*acceptance_rate*stack_activation,power_mw*hours_per_day,capacity_mwh))*DAMAS_Daily!F248*activation_mult_A)</f>
        <v/>
      </c>
      <c r="N248" s="14">
        <f>F248+M248</f>
        <v/>
      </c>
    </row>
    <row r="249">
      <c r="A249" s="41">
        <f>DAMAS_Daily!A249</f>
        <v/>
      </c>
      <c r="B249" s="42">
        <f>DAMAS_Daily!B249</f>
        <v/>
      </c>
      <c r="C249" s="42">
        <f>IF((power_mw*hours_per_day*damas_afrr_up*capacity_mult_A*stack_capacity*acceptance_rate+(MIN(DAMAS_Daily!C249*market_share_A*acceptance_rate*stack_activation,power_mw*hours_per_day,capacity_mwh))*DAMAS_Daily!E249*activation_mult_A)&gt;=(power_mw*hours_per_day*damas_afrr_down*capacity_mult_A*stack_capacity*acceptance_rate+(MIN(DAMAS_Daily!D249*market_share_A*acceptance_rate*stack_activation,power_mw*hours_per_day,capacity_mwh))*DAMAS_Daily!F249*activation_mult_A),"aFRR+","aFRR-")</f>
        <v/>
      </c>
      <c r="D249" s="43">
        <f>IF(C249="aFRR+",damas_afrr_up*capacity_mult_A,damas_afrr_down*capacity_mult_A)</f>
        <v/>
      </c>
      <c r="E249" s="44">
        <f>acceptance_rate</f>
        <v/>
      </c>
      <c r="F249" s="13">
        <f>IF(C249="aFRR+",power_mw*hours_per_day*damas_afrr_up*capacity_mult_A*stack_capacity*acceptance_rate,power_mw*hours_per_day*damas_afrr_down*capacity_mult_A*stack_capacity*acceptance_rate)</f>
        <v/>
      </c>
      <c r="G249" s="42">
        <f>IF(C249="aFRR+",DAMAS_Daily!I249,DAMAS_Daily!J249)</f>
        <v/>
      </c>
      <c r="H249" s="43">
        <f>IF(C249="aFRR+",DAMAS_Daily!E249,DAMAS_Daily!F249)</f>
        <v/>
      </c>
      <c r="I249" s="43">
        <f>IF(C249="aFRR+",DAMAS_Daily!G249,DAMAS_Daily!H249)</f>
        <v/>
      </c>
      <c r="J249" s="45">
        <f>IF(C249="aFRR+",DAMAS_Daily!C249,DAMAS_Daily!D249)</f>
        <v/>
      </c>
      <c r="K249" s="45">
        <f>IF(C249="aFRR+",MIN(DAMAS_Daily!C249*market_share_A*acceptance_rate*stack_activation,power_mw*hours_per_day,capacity_mwh),MIN(DAMAS_Daily!D249*market_share_A*acceptance_rate*stack_activation,power_mw*hours_per_day,capacity_mwh))</f>
        <v/>
      </c>
      <c r="L249" s="42">
        <f>IF(K249&gt;=capacity_mwh-0.01,"yes","no")</f>
        <v/>
      </c>
      <c r="M249" s="13">
        <f>IF(C249="aFRR+",(MIN(DAMAS_Daily!C249*market_share_A*acceptance_rate*stack_activation,power_mw*hours_per_day,capacity_mwh))*DAMAS_Daily!E249*activation_mult_A,(MIN(DAMAS_Daily!D249*market_share_A*acceptance_rate*stack_activation,power_mw*hours_per_day,capacity_mwh))*DAMAS_Daily!F249*activation_mult_A)</f>
        <v/>
      </c>
      <c r="N249" s="14">
        <f>F249+M249</f>
        <v/>
      </c>
    </row>
    <row r="250">
      <c r="A250" s="41">
        <f>DAMAS_Daily!A250</f>
        <v/>
      </c>
      <c r="B250" s="42">
        <f>DAMAS_Daily!B250</f>
        <v/>
      </c>
      <c r="C250" s="42">
        <f>IF((power_mw*hours_per_day*damas_afrr_up*capacity_mult_A*stack_capacity*acceptance_rate+(MIN(DAMAS_Daily!C250*market_share_A*acceptance_rate*stack_activation,power_mw*hours_per_day,capacity_mwh))*DAMAS_Daily!E250*activation_mult_A)&gt;=(power_mw*hours_per_day*damas_afrr_down*capacity_mult_A*stack_capacity*acceptance_rate+(MIN(DAMAS_Daily!D250*market_share_A*acceptance_rate*stack_activation,power_mw*hours_per_day,capacity_mwh))*DAMAS_Daily!F250*activation_mult_A),"aFRR+","aFRR-")</f>
        <v/>
      </c>
      <c r="D250" s="43">
        <f>IF(C250="aFRR+",damas_afrr_up*capacity_mult_A,damas_afrr_down*capacity_mult_A)</f>
        <v/>
      </c>
      <c r="E250" s="44">
        <f>acceptance_rate</f>
        <v/>
      </c>
      <c r="F250" s="13">
        <f>IF(C250="aFRR+",power_mw*hours_per_day*damas_afrr_up*capacity_mult_A*stack_capacity*acceptance_rate,power_mw*hours_per_day*damas_afrr_down*capacity_mult_A*stack_capacity*acceptance_rate)</f>
        <v/>
      </c>
      <c r="G250" s="42">
        <f>IF(C250="aFRR+",DAMAS_Daily!I250,DAMAS_Daily!J250)</f>
        <v/>
      </c>
      <c r="H250" s="43">
        <f>IF(C250="aFRR+",DAMAS_Daily!E250,DAMAS_Daily!F250)</f>
        <v/>
      </c>
      <c r="I250" s="43">
        <f>IF(C250="aFRR+",DAMAS_Daily!G250,DAMAS_Daily!H250)</f>
        <v/>
      </c>
      <c r="J250" s="45">
        <f>IF(C250="aFRR+",DAMAS_Daily!C250,DAMAS_Daily!D250)</f>
        <v/>
      </c>
      <c r="K250" s="45">
        <f>IF(C250="aFRR+",MIN(DAMAS_Daily!C250*market_share_A*acceptance_rate*stack_activation,power_mw*hours_per_day,capacity_mwh),MIN(DAMAS_Daily!D250*market_share_A*acceptance_rate*stack_activation,power_mw*hours_per_day,capacity_mwh))</f>
        <v/>
      </c>
      <c r="L250" s="42">
        <f>IF(K250&gt;=capacity_mwh-0.01,"yes","no")</f>
        <v/>
      </c>
      <c r="M250" s="13">
        <f>IF(C250="aFRR+",(MIN(DAMAS_Daily!C250*market_share_A*acceptance_rate*stack_activation,power_mw*hours_per_day,capacity_mwh))*DAMAS_Daily!E250*activation_mult_A,(MIN(DAMAS_Daily!D250*market_share_A*acceptance_rate*stack_activation,power_mw*hours_per_day,capacity_mwh))*DAMAS_Daily!F250*activation_mult_A)</f>
        <v/>
      </c>
      <c r="N250" s="14">
        <f>F250+M250</f>
        <v/>
      </c>
    </row>
    <row r="251">
      <c r="A251" s="41">
        <f>DAMAS_Daily!A251</f>
        <v/>
      </c>
      <c r="B251" s="42">
        <f>DAMAS_Daily!B251</f>
        <v/>
      </c>
      <c r="C251" s="42">
        <f>IF((power_mw*hours_per_day*damas_afrr_up*capacity_mult_A*stack_capacity*acceptance_rate+(MIN(DAMAS_Daily!C251*market_share_A*acceptance_rate*stack_activation,power_mw*hours_per_day,capacity_mwh))*DAMAS_Daily!E251*activation_mult_A)&gt;=(power_mw*hours_per_day*damas_afrr_down*capacity_mult_A*stack_capacity*acceptance_rate+(MIN(DAMAS_Daily!D251*market_share_A*acceptance_rate*stack_activation,power_mw*hours_per_day,capacity_mwh))*DAMAS_Daily!F251*activation_mult_A),"aFRR+","aFRR-")</f>
        <v/>
      </c>
      <c r="D251" s="43">
        <f>IF(C251="aFRR+",damas_afrr_up*capacity_mult_A,damas_afrr_down*capacity_mult_A)</f>
        <v/>
      </c>
      <c r="E251" s="44">
        <f>acceptance_rate</f>
        <v/>
      </c>
      <c r="F251" s="13">
        <f>IF(C251="aFRR+",power_mw*hours_per_day*damas_afrr_up*capacity_mult_A*stack_capacity*acceptance_rate,power_mw*hours_per_day*damas_afrr_down*capacity_mult_A*stack_capacity*acceptance_rate)</f>
        <v/>
      </c>
      <c r="G251" s="42">
        <f>IF(C251="aFRR+",DAMAS_Daily!I251,DAMAS_Daily!J251)</f>
        <v/>
      </c>
      <c r="H251" s="43">
        <f>IF(C251="aFRR+",DAMAS_Daily!E251,DAMAS_Daily!F251)</f>
        <v/>
      </c>
      <c r="I251" s="43">
        <f>IF(C251="aFRR+",DAMAS_Daily!G251,DAMAS_Daily!H251)</f>
        <v/>
      </c>
      <c r="J251" s="45">
        <f>IF(C251="aFRR+",DAMAS_Daily!C251,DAMAS_Daily!D251)</f>
        <v/>
      </c>
      <c r="K251" s="45">
        <f>IF(C251="aFRR+",MIN(DAMAS_Daily!C251*market_share_A*acceptance_rate*stack_activation,power_mw*hours_per_day,capacity_mwh),MIN(DAMAS_Daily!D251*market_share_A*acceptance_rate*stack_activation,power_mw*hours_per_day,capacity_mwh))</f>
        <v/>
      </c>
      <c r="L251" s="42">
        <f>IF(K251&gt;=capacity_mwh-0.01,"yes","no")</f>
        <v/>
      </c>
      <c r="M251" s="13">
        <f>IF(C251="aFRR+",(MIN(DAMAS_Daily!C251*market_share_A*acceptance_rate*stack_activation,power_mw*hours_per_day,capacity_mwh))*DAMAS_Daily!E251*activation_mult_A,(MIN(DAMAS_Daily!D251*market_share_A*acceptance_rate*stack_activation,power_mw*hours_per_day,capacity_mwh))*DAMAS_Daily!F251*activation_mult_A)</f>
        <v/>
      </c>
      <c r="N251" s="14">
        <f>F251+M251</f>
        <v/>
      </c>
    </row>
    <row r="252">
      <c r="A252" s="41">
        <f>DAMAS_Daily!A252</f>
        <v/>
      </c>
      <c r="B252" s="42">
        <f>DAMAS_Daily!B252</f>
        <v/>
      </c>
      <c r="C252" s="42">
        <f>IF((power_mw*hours_per_day*damas_afrr_up*capacity_mult_A*stack_capacity*acceptance_rate+(MIN(DAMAS_Daily!C252*market_share_A*acceptance_rate*stack_activation,power_mw*hours_per_day,capacity_mwh))*DAMAS_Daily!E252*activation_mult_A)&gt;=(power_mw*hours_per_day*damas_afrr_down*capacity_mult_A*stack_capacity*acceptance_rate+(MIN(DAMAS_Daily!D252*market_share_A*acceptance_rate*stack_activation,power_mw*hours_per_day,capacity_mwh))*DAMAS_Daily!F252*activation_mult_A),"aFRR+","aFRR-")</f>
        <v/>
      </c>
      <c r="D252" s="43">
        <f>IF(C252="aFRR+",damas_afrr_up*capacity_mult_A,damas_afrr_down*capacity_mult_A)</f>
        <v/>
      </c>
      <c r="E252" s="44">
        <f>acceptance_rate</f>
        <v/>
      </c>
      <c r="F252" s="13">
        <f>IF(C252="aFRR+",power_mw*hours_per_day*damas_afrr_up*capacity_mult_A*stack_capacity*acceptance_rate,power_mw*hours_per_day*damas_afrr_down*capacity_mult_A*stack_capacity*acceptance_rate)</f>
        <v/>
      </c>
      <c r="G252" s="42">
        <f>IF(C252="aFRR+",DAMAS_Daily!I252,DAMAS_Daily!J252)</f>
        <v/>
      </c>
      <c r="H252" s="43">
        <f>IF(C252="aFRR+",DAMAS_Daily!E252,DAMAS_Daily!F252)</f>
        <v/>
      </c>
      <c r="I252" s="43">
        <f>IF(C252="aFRR+",DAMAS_Daily!G252,DAMAS_Daily!H252)</f>
        <v/>
      </c>
      <c r="J252" s="45">
        <f>IF(C252="aFRR+",DAMAS_Daily!C252,DAMAS_Daily!D252)</f>
        <v/>
      </c>
      <c r="K252" s="45">
        <f>IF(C252="aFRR+",MIN(DAMAS_Daily!C252*market_share_A*acceptance_rate*stack_activation,power_mw*hours_per_day,capacity_mwh),MIN(DAMAS_Daily!D252*market_share_A*acceptance_rate*stack_activation,power_mw*hours_per_day,capacity_mwh))</f>
        <v/>
      </c>
      <c r="L252" s="42">
        <f>IF(K252&gt;=capacity_mwh-0.01,"yes","no")</f>
        <v/>
      </c>
      <c r="M252" s="13">
        <f>IF(C252="aFRR+",(MIN(DAMAS_Daily!C252*market_share_A*acceptance_rate*stack_activation,power_mw*hours_per_day,capacity_mwh))*DAMAS_Daily!E252*activation_mult_A,(MIN(DAMAS_Daily!D252*market_share_A*acceptance_rate*stack_activation,power_mw*hours_per_day,capacity_mwh))*DAMAS_Daily!F252*activation_mult_A)</f>
        <v/>
      </c>
      <c r="N252" s="14">
        <f>F252+M252</f>
        <v/>
      </c>
    </row>
    <row r="253">
      <c r="A253" s="41">
        <f>DAMAS_Daily!A253</f>
        <v/>
      </c>
      <c r="B253" s="42">
        <f>DAMAS_Daily!B253</f>
        <v/>
      </c>
      <c r="C253" s="42">
        <f>IF((power_mw*hours_per_day*damas_afrr_up*capacity_mult_A*stack_capacity*acceptance_rate+(MIN(DAMAS_Daily!C253*market_share_A*acceptance_rate*stack_activation,power_mw*hours_per_day,capacity_mwh))*DAMAS_Daily!E253*activation_mult_A)&gt;=(power_mw*hours_per_day*damas_afrr_down*capacity_mult_A*stack_capacity*acceptance_rate+(MIN(DAMAS_Daily!D253*market_share_A*acceptance_rate*stack_activation,power_mw*hours_per_day,capacity_mwh))*DAMAS_Daily!F253*activation_mult_A),"aFRR+","aFRR-")</f>
        <v/>
      </c>
      <c r="D253" s="43">
        <f>IF(C253="aFRR+",damas_afrr_up*capacity_mult_A,damas_afrr_down*capacity_mult_A)</f>
        <v/>
      </c>
      <c r="E253" s="44">
        <f>acceptance_rate</f>
        <v/>
      </c>
      <c r="F253" s="13">
        <f>IF(C253="aFRR+",power_mw*hours_per_day*damas_afrr_up*capacity_mult_A*stack_capacity*acceptance_rate,power_mw*hours_per_day*damas_afrr_down*capacity_mult_A*stack_capacity*acceptance_rate)</f>
        <v/>
      </c>
      <c r="G253" s="42">
        <f>IF(C253="aFRR+",DAMAS_Daily!I253,DAMAS_Daily!J253)</f>
        <v/>
      </c>
      <c r="H253" s="43">
        <f>IF(C253="aFRR+",DAMAS_Daily!E253,DAMAS_Daily!F253)</f>
        <v/>
      </c>
      <c r="I253" s="43">
        <f>IF(C253="aFRR+",DAMAS_Daily!G253,DAMAS_Daily!H253)</f>
        <v/>
      </c>
      <c r="J253" s="45">
        <f>IF(C253="aFRR+",DAMAS_Daily!C253,DAMAS_Daily!D253)</f>
        <v/>
      </c>
      <c r="K253" s="45">
        <f>IF(C253="aFRR+",MIN(DAMAS_Daily!C253*market_share_A*acceptance_rate*stack_activation,power_mw*hours_per_day,capacity_mwh),MIN(DAMAS_Daily!D253*market_share_A*acceptance_rate*stack_activation,power_mw*hours_per_day,capacity_mwh))</f>
        <v/>
      </c>
      <c r="L253" s="42">
        <f>IF(K253&gt;=capacity_mwh-0.01,"yes","no")</f>
        <v/>
      </c>
      <c r="M253" s="13">
        <f>IF(C253="aFRR+",(MIN(DAMAS_Daily!C253*market_share_A*acceptance_rate*stack_activation,power_mw*hours_per_day,capacity_mwh))*DAMAS_Daily!E253*activation_mult_A,(MIN(DAMAS_Daily!D253*market_share_A*acceptance_rate*stack_activation,power_mw*hours_per_day,capacity_mwh))*DAMAS_Daily!F253*activation_mult_A)</f>
        <v/>
      </c>
      <c r="N253" s="14">
        <f>F253+M253</f>
        <v/>
      </c>
    </row>
    <row r="254">
      <c r="A254" s="41">
        <f>DAMAS_Daily!A254</f>
        <v/>
      </c>
      <c r="B254" s="42">
        <f>DAMAS_Daily!B254</f>
        <v/>
      </c>
      <c r="C254" s="42">
        <f>IF((power_mw*hours_per_day*damas_afrr_up*capacity_mult_A*stack_capacity*acceptance_rate+(MIN(DAMAS_Daily!C254*market_share_A*acceptance_rate*stack_activation,power_mw*hours_per_day,capacity_mwh))*DAMAS_Daily!E254*activation_mult_A)&gt;=(power_mw*hours_per_day*damas_afrr_down*capacity_mult_A*stack_capacity*acceptance_rate+(MIN(DAMAS_Daily!D254*market_share_A*acceptance_rate*stack_activation,power_mw*hours_per_day,capacity_mwh))*DAMAS_Daily!F254*activation_mult_A),"aFRR+","aFRR-")</f>
        <v/>
      </c>
      <c r="D254" s="43">
        <f>IF(C254="aFRR+",damas_afrr_up*capacity_mult_A,damas_afrr_down*capacity_mult_A)</f>
        <v/>
      </c>
      <c r="E254" s="44">
        <f>acceptance_rate</f>
        <v/>
      </c>
      <c r="F254" s="13">
        <f>IF(C254="aFRR+",power_mw*hours_per_day*damas_afrr_up*capacity_mult_A*stack_capacity*acceptance_rate,power_mw*hours_per_day*damas_afrr_down*capacity_mult_A*stack_capacity*acceptance_rate)</f>
        <v/>
      </c>
      <c r="G254" s="42">
        <f>IF(C254="aFRR+",DAMAS_Daily!I254,DAMAS_Daily!J254)</f>
        <v/>
      </c>
      <c r="H254" s="43">
        <f>IF(C254="aFRR+",DAMAS_Daily!E254,DAMAS_Daily!F254)</f>
        <v/>
      </c>
      <c r="I254" s="43">
        <f>IF(C254="aFRR+",DAMAS_Daily!G254,DAMAS_Daily!H254)</f>
        <v/>
      </c>
      <c r="J254" s="45">
        <f>IF(C254="aFRR+",DAMAS_Daily!C254,DAMAS_Daily!D254)</f>
        <v/>
      </c>
      <c r="K254" s="45">
        <f>IF(C254="aFRR+",MIN(DAMAS_Daily!C254*market_share_A*acceptance_rate*stack_activation,power_mw*hours_per_day,capacity_mwh),MIN(DAMAS_Daily!D254*market_share_A*acceptance_rate*stack_activation,power_mw*hours_per_day,capacity_mwh))</f>
        <v/>
      </c>
      <c r="L254" s="42">
        <f>IF(K254&gt;=capacity_mwh-0.01,"yes","no")</f>
        <v/>
      </c>
      <c r="M254" s="13">
        <f>IF(C254="aFRR+",(MIN(DAMAS_Daily!C254*market_share_A*acceptance_rate*stack_activation,power_mw*hours_per_day,capacity_mwh))*DAMAS_Daily!E254*activation_mult_A,(MIN(DAMAS_Daily!D254*market_share_A*acceptance_rate*stack_activation,power_mw*hours_per_day,capacity_mwh))*DAMAS_Daily!F254*activation_mult_A)</f>
        <v/>
      </c>
      <c r="N254" s="14">
        <f>F254+M254</f>
        <v/>
      </c>
    </row>
    <row r="255">
      <c r="A255" s="41">
        <f>DAMAS_Daily!A255</f>
        <v/>
      </c>
      <c r="B255" s="42">
        <f>DAMAS_Daily!B255</f>
        <v/>
      </c>
      <c r="C255" s="42">
        <f>IF((power_mw*hours_per_day*damas_afrr_up*capacity_mult_A*stack_capacity*acceptance_rate+(MIN(DAMAS_Daily!C255*market_share_A*acceptance_rate*stack_activation,power_mw*hours_per_day,capacity_mwh))*DAMAS_Daily!E255*activation_mult_A)&gt;=(power_mw*hours_per_day*damas_afrr_down*capacity_mult_A*stack_capacity*acceptance_rate+(MIN(DAMAS_Daily!D255*market_share_A*acceptance_rate*stack_activation,power_mw*hours_per_day,capacity_mwh))*DAMAS_Daily!F255*activation_mult_A),"aFRR+","aFRR-")</f>
        <v/>
      </c>
      <c r="D255" s="43">
        <f>IF(C255="aFRR+",damas_afrr_up*capacity_mult_A,damas_afrr_down*capacity_mult_A)</f>
        <v/>
      </c>
      <c r="E255" s="44">
        <f>acceptance_rate</f>
        <v/>
      </c>
      <c r="F255" s="13">
        <f>IF(C255="aFRR+",power_mw*hours_per_day*damas_afrr_up*capacity_mult_A*stack_capacity*acceptance_rate,power_mw*hours_per_day*damas_afrr_down*capacity_mult_A*stack_capacity*acceptance_rate)</f>
        <v/>
      </c>
      <c r="G255" s="42">
        <f>IF(C255="aFRR+",DAMAS_Daily!I255,DAMAS_Daily!J255)</f>
        <v/>
      </c>
      <c r="H255" s="43">
        <f>IF(C255="aFRR+",DAMAS_Daily!E255,DAMAS_Daily!F255)</f>
        <v/>
      </c>
      <c r="I255" s="43">
        <f>IF(C255="aFRR+",DAMAS_Daily!G255,DAMAS_Daily!H255)</f>
        <v/>
      </c>
      <c r="J255" s="45">
        <f>IF(C255="aFRR+",DAMAS_Daily!C255,DAMAS_Daily!D255)</f>
        <v/>
      </c>
      <c r="K255" s="45">
        <f>IF(C255="aFRR+",MIN(DAMAS_Daily!C255*market_share_A*acceptance_rate*stack_activation,power_mw*hours_per_day,capacity_mwh),MIN(DAMAS_Daily!D255*market_share_A*acceptance_rate*stack_activation,power_mw*hours_per_day,capacity_mwh))</f>
        <v/>
      </c>
      <c r="L255" s="42">
        <f>IF(K255&gt;=capacity_mwh-0.01,"yes","no")</f>
        <v/>
      </c>
      <c r="M255" s="13">
        <f>IF(C255="aFRR+",(MIN(DAMAS_Daily!C255*market_share_A*acceptance_rate*stack_activation,power_mw*hours_per_day,capacity_mwh))*DAMAS_Daily!E255*activation_mult_A,(MIN(DAMAS_Daily!D255*market_share_A*acceptance_rate*stack_activation,power_mw*hours_per_day,capacity_mwh))*DAMAS_Daily!F255*activation_mult_A)</f>
        <v/>
      </c>
      <c r="N255" s="14">
        <f>F255+M255</f>
        <v/>
      </c>
    </row>
    <row r="256">
      <c r="A256" s="41">
        <f>DAMAS_Daily!A256</f>
        <v/>
      </c>
      <c r="B256" s="42">
        <f>DAMAS_Daily!B256</f>
        <v/>
      </c>
      <c r="C256" s="42">
        <f>IF((power_mw*hours_per_day*damas_afrr_up*capacity_mult_A*stack_capacity*acceptance_rate+(MIN(DAMAS_Daily!C256*market_share_A*acceptance_rate*stack_activation,power_mw*hours_per_day,capacity_mwh))*DAMAS_Daily!E256*activation_mult_A)&gt;=(power_mw*hours_per_day*damas_afrr_down*capacity_mult_A*stack_capacity*acceptance_rate+(MIN(DAMAS_Daily!D256*market_share_A*acceptance_rate*stack_activation,power_mw*hours_per_day,capacity_mwh))*DAMAS_Daily!F256*activation_mult_A),"aFRR+","aFRR-")</f>
        <v/>
      </c>
      <c r="D256" s="43">
        <f>IF(C256="aFRR+",damas_afrr_up*capacity_mult_A,damas_afrr_down*capacity_mult_A)</f>
        <v/>
      </c>
      <c r="E256" s="44">
        <f>acceptance_rate</f>
        <v/>
      </c>
      <c r="F256" s="13">
        <f>IF(C256="aFRR+",power_mw*hours_per_day*damas_afrr_up*capacity_mult_A*stack_capacity*acceptance_rate,power_mw*hours_per_day*damas_afrr_down*capacity_mult_A*stack_capacity*acceptance_rate)</f>
        <v/>
      </c>
      <c r="G256" s="42">
        <f>IF(C256="aFRR+",DAMAS_Daily!I256,DAMAS_Daily!J256)</f>
        <v/>
      </c>
      <c r="H256" s="43">
        <f>IF(C256="aFRR+",DAMAS_Daily!E256,DAMAS_Daily!F256)</f>
        <v/>
      </c>
      <c r="I256" s="43">
        <f>IF(C256="aFRR+",DAMAS_Daily!G256,DAMAS_Daily!H256)</f>
        <v/>
      </c>
      <c r="J256" s="45">
        <f>IF(C256="aFRR+",DAMAS_Daily!C256,DAMAS_Daily!D256)</f>
        <v/>
      </c>
      <c r="K256" s="45">
        <f>IF(C256="aFRR+",MIN(DAMAS_Daily!C256*market_share_A*acceptance_rate*stack_activation,power_mw*hours_per_day,capacity_mwh),MIN(DAMAS_Daily!D256*market_share_A*acceptance_rate*stack_activation,power_mw*hours_per_day,capacity_mwh))</f>
        <v/>
      </c>
      <c r="L256" s="42">
        <f>IF(K256&gt;=capacity_mwh-0.01,"yes","no")</f>
        <v/>
      </c>
      <c r="M256" s="13">
        <f>IF(C256="aFRR+",(MIN(DAMAS_Daily!C256*market_share_A*acceptance_rate*stack_activation,power_mw*hours_per_day,capacity_mwh))*DAMAS_Daily!E256*activation_mult_A,(MIN(DAMAS_Daily!D256*market_share_A*acceptance_rate*stack_activation,power_mw*hours_per_day,capacity_mwh))*DAMAS_Daily!F256*activation_mult_A)</f>
        <v/>
      </c>
      <c r="N256" s="14">
        <f>F256+M256</f>
        <v/>
      </c>
    </row>
    <row r="257">
      <c r="A257" s="41">
        <f>DAMAS_Daily!A257</f>
        <v/>
      </c>
      <c r="B257" s="42">
        <f>DAMAS_Daily!B257</f>
        <v/>
      </c>
      <c r="C257" s="42">
        <f>IF((power_mw*hours_per_day*damas_afrr_up*capacity_mult_A*stack_capacity*acceptance_rate+(MIN(DAMAS_Daily!C257*market_share_A*acceptance_rate*stack_activation,power_mw*hours_per_day,capacity_mwh))*DAMAS_Daily!E257*activation_mult_A)&gt;=(power_mw*hours_per_day*damas_afrr_down*capacity_mult_A*stack_capacity*acceptance_rate+(MIN(DAMAS_Daily!D257*market_share_A*acceptance_rate*stack_activation,power_mw*hours_per_day,capacity_mwh))*DAMAS_Daily!F257*activation_mult_A),"aFRR+","aFRR-")</f>
        <v/>
      </c>
      <c r="D257" s="43">
        <f>IF(C257="aFRR+",damas_afrr_up*capacity_mult_A,damas_afrr_down*capacity_mult_A)</f>
        <v/>
      </c>
      <c r="E257" s="44">
        <f>acceptance_rate</f>
        <v/>
      </c>
      <c r="F257" s="13">
        <f>IF(C257="aFRR+",power_mw*hours_per_day*damas_afrr_up*capacity_mult_A*stack_capacity*acceptance_rate,power_mw*hours_per_day*damas_afrr_down*capacity_mult_A*stack_capacity*acceptance_rate)</f>
        <v/>
      </c>
      <c r="G257" s="42">
        <f>IF(C257="aFRR+",DAMAS_Daily!I257,DAMAS_Daily!J257)</f>
        <v/>
      </c>
      <c r="H257" s="43">
        <f>IF(C257="aFRR+",DAMAS_Daily!E257,DAMAS_Daily!F257)</f>
        <v/>
      </c>
      <c r="I257" s="43">
        <f>IF(C257="aFRR+",DAMAS_Daily!G257,DAMAS_Daily!H257)</f>
        <v/>
      </c>
      <c r="J257" s="45">
        <f>IF(C257="aFRR+",DAMAS_Daily!C257,DAMAS_Daily!D257)</f>
        <v/>
      </c>
      <c r="K257" s="45">
        <f>IF(C257="aFRR+",MIN(DAMAS_Daily!C257*market_share_A*acceptance_rate*stack_activation,power_mw*hours_per_day,capacity_mwh),MIN(DAMAS_Daily!D257*market_share_A*acceptance_rate*stack_activation,power_mw*hours_per_day,capacity_mwh))</f>
        <v/>
      </c>
      <c r="L257" s="42">
        <f>IF(K257&gt;=capacity_mwh-0.01,"yes","no")</f>
        <v/>
      </c>
      <c r="M257" s="13">
        <f>IF(C257="aFRR+",(MIN(DAMAS_Daily!C257*market_share_A*acceptance_rate*stack_activation,power_mw*hours_per_day,capacity_mwh))*DAMAS_Daily!E257*activation_mult_A,(MIN(DAMAS_Daily!D257*market_share_A*acceptance_rate*stack_activation,power_mw*hours_per_day,capacity_mwh))*DAMAS_Daily!F257*activation_mult_A)</f>
        <v/>
      </c>
      <c r="N257" s="14">
        <f>F257+M257</f>
        <v/>
      </c>
    </row>
    <row r="258">
      <c r="A258" s="41">
        <f>DAMAS_Daily!A258</f>
        <v/>
      </c>
      <c r="B258" s="42">
        <f>DAMAS_Daily!B258</f>
        <v/>
      </c>
      <c r="C258" s="42">
        <f>IF((power_mw*hours_per_day*damas_afrr_up*capacity_mult_A*stack_capacity*acceptance_rate+(MIN(DAMAS_Daily!C258*market_share_A*acceptance_rate*stack_activation,power_mw*hours_per_day,capacity_mwh))*DAMAS_Daily!E258*activation_mult_A)&gt;=(power_mw*hours_per_day*damas_afrr_down*capacity_mult_A*stack_capacity*acceptance_rate+(MIN(DAMAS_Daily!D258*market_share_A*acceptance_rate*stack_activation,power_mw*hours_per_day,capacity_mwh))*DAMAS_Daily!F258*activation_mult_A),"aFRR+","aFRR-")</f>
        <v/>
      </c>
      <c r="D258" s="43">
        <f>IF(C258="aFRR+",damas_afrr_up*capacity_mult_A,damas_afrr_down*capacity_mult_A)</f>
        <v/>
      </c>
      <c r="E258" s="44">
        <f>acceptance_rate</f>
        <v/>
      </c>
      <c r="F258" s="13">
        <f>IF(C258="aFRR+",power_mw*hours_per_day*damas_afrr_up*capacity_mult_A*stack_capacity*acceptance_rate,power_mw*hours_per_day*damas_afrr_down*capacity_mult_A*stack_capacity*acceptance_rate)</f>
        <v/>
      </c>
      <c r="G258" s="42">
        <f>IF(C258="aFRR+",DAMAS_Daily!I258,DAMAS_Daily!J258)</f>
        <v/>
      </c>
      <c r="H258" s="43">
        <f>IF(C258="aFRR+",DAMAS_Daily!E258,DAMAS_Daily!F258)</f>
        <v/>
      </c>
      <c r="I258" s="43">
        <f>IF(C258="aFRR+",DAMAS_Daily!G258,DAMAS_Daily!H258)</f>
        <v/>
      </c>
      <c r="J258" s="45">
        <f>IF(C258="aFRR+",DAMAS_Daily!C258,DAMAS_Daily!D258)</f>
        <v/>
      </c>
      <c r="K258" s="45">
        <f>IF(C258="aFRR+",MIN(DAMAS_Daily!C258*market_share_A*acceptance_rate*stack_activation,power_mw*hours_per_day,capacity_mwh),MIN(DAMAS_Daily!D258*market_share_A*acceptance_rate*stack_activation,power_mw*hours_per_day,capacity_mwh))</f>
        <v/>
      </c>
      <c r="L258" s="42">
        <f>IF(K258&gt;=capacity_mwh-0.01,"yes","no")</f>
        <v/>
      </c>
      <c r="M258" s="13">
        <f>IF(C258="aFRR+",(MIN(DAMAS_Daily!C258*market_share_A*acceptance_rate*stack_activation,power_mw*hours_per_day,capacity_mwh))*DAMAS_Daily!E258*activation_mult_A,(MIN(DAMAS_Daily!D258*market_share_A*acceptance_rate*stack_activation,power_mw*hours_per_day,capacity_mwh))*DAMAS_Daily!F258*activation_mult_A)</f>
        <v/>
      </c>
      <c r="N258" s="14">
        <f>F258+M258</f>
        <v/>
      </c>
    </row>
    <row r="259">
      <c r="A259" s="41">
        <f>DAMAS_Daily!A259</f>
        <v/>
      </c>
      <c r="B259" s="42">
        <f>DAMAS_Daily!B259</f>
        <v/>
      </c>
      <c r="C259" s="42">
        <f>IF((power_mw*hours_per_day*damas_afrr_up*capacity_mult_A*stack_capacity*acceptance_rate+(MIN(DAMAS_Daily!C259*market_share_A*acceptance_rate*stack_activation,power_mw*hours_per_day,capacity_mwh))*DAMAS_Daily!E259*activation_mult_A)&gt;=(power_mw*hours_per_day*damas_afrr_down*capacity_mult_A*stack_capacity*acceptance_rate+(MIN(DAMAS_Daily!D259*market_share_A*acceptance_rate*stack_activation,power_mw*hours_per_day,capacity_mwh))*DAMAS_Daily!F259*activation_mult_A),"aFRR+","aFRR-")</f>
        <v/>
      </c>
      <c r="D259" s="43">
        <f>IF(C259="aFRR+",damas_afrr_up*capacity_mult_A,damas_afrr_down*capacity_mult_A)</f>
        <v/>
      </c>
      <c r="E259" s="44">
        <f>acceptance_rate</f>
        <v/>
      </c>
      <c r="F259" s="13">
        <f>IF(C259="aFRR+",power_mw*hours_per_day*damas_afrr_up*capacity_mult_A*stack_capacity*acceptance_rate,power_mw*hours_per_day*damas_afrr_down*capacity_mult_A*stack_capacity*acceptance_rate)</f>
        <v/>
      </c>
      <c r="G259" s="42">
        <f>IF(C259="aFRR+",DAMAS_Daily!I259,DAMAS_Daily!J259)</f>
        <v/>
      </c>
      <c r="H259" s="43">
        <f>IF(C259="aFRR+",DAMAS_Daily!E259,DAMAS_Daily!F259)</f>
        <v/>
      </c>
      <c r="I259" s="43">
        <f>IF(C259="aFRR+",DAMAS_Daily!G259,DAMAS_Daily!H259)</f>
        <v/>
      </c>
      <c r="J259" s="45">
        <f>IF(C259="aFRR+",DAMAS_Daily!C259,DAMAS_Daily!D259)</f>
        <v/>
      </c>
      <c r="K259" s="45">
        <f>IF(C259="aFRR+",MIN(DAMAS_Daily!C259*market_share_A*acceptance_rate*stack_activation,power_mw*hours_per_day,capacity_mwh),MIN(DAMAS_Daily!D259*market_share_A*acceptance_rate*stack_activation,power_mw*hours_per_day,capacity_mwh))</f>
        <v/>
      </c>
      <c r="L259" s="42">
        <f>IF(K259&gt;=capacity_mwh-0.01,"yes","no")</f>
        <v/>
      </c>
      <c r="M259" s="13">
        <f>IF(C259="aFRR+",(MIN(DAMAS_Daily!C259*market_share_A*acceptance_rate*stack_activation,power_mw*hours_per_day,capacity_mwh))*DAMAS_Daily!E259*activation_mult_A,(MIN(DAMAS_Daily!D259*market_share_A*acceptance_rate*stack_activation,power_mw*hours_per_day,capacity_mwh))*DAMAS_Daily!F259*activation_mult_A)</f>
        <v/>
      </c>
      <c r="N259" s="14">
        <f>F259+M259</f>
        <v/>
      </c>
    </row>
    <row r="260">
      <c r="A260" s="41">
        <f>DAMAS_Daily!A260</f>
        <v/>
      </c>
      <c r="B260" s="42">
        <f>DAMAS_Daily!B260</f>
        <v/>
      </c>
      <c r="C260" s="42">
        <f>IF((power_mw*hours_per_day*damas_afrr_up*capacity_mult_A*stack_capacity*acceptance_rate+(MIN(DAMAS_Daily!C260*market_share_A*acceptance_rate*stack_activation,power_mw*hours_per_day,capacity_mwh))*DAMAS_Daily!E260*activation_mult_A)&gt;=(power_mw*hours_per_day*damas_afrr_down*capacity_mult_A*stack_capacity*acceptance_rate+(MIN(DAMAS_Daily!D260*market_share_A*acceptance_rate*stack_activation,power_mw*hours_per_day,capacity_mwh))*DAMAS_Daily!F260*activation_mult_A),"aFRR+","aFRR-")</f>
        <v/>
      </c>
      <c r="D260" s="43">
        <f>IF(C260="aFRR+",damas_afrr_up*capacity_mult_A,damas_afrr_down*capacity_mult_A)</f>
        <v/>
      </c>
      <c r="E260" s="44">
        <f>acceptance_rate</f>
        <v/>
      </c>
      <c r="F260" s="13">
        <f>IF(C260="aFRR+",power_mw*hours_per_day*damas_afrr_up*capacity_mult_A*stack_capacity*acceptance_rate,power_mw*hours_per_day*damas_afrr_down*capacity_mult_A*stack_capacity*acceptance_rate)</f>
        <v/>
      </c>
      <c r="G260" s="42">
        <f>IF(C260="aFRR+",DAMAS_Daily!I260,DAMAS_Daily!J260)</f>
        <v/>
      </c>
      <c r="H260" s="43">
        <f>IF(C260="aFRR+",DAMAS_Daily!E260,DAMAS_Daily!F260)</f>
        <v/>
      </c>
      <c r="I260" s="43">
        <f>IF(C260="aFRR+",DAMAS_Daily!G260,DAMAS_Daily!H260)</f>
        <v/>
      </c>
      <c r="J260" s="45">
        <f>IF(C260="aFRR+",DAMAS_Daily!C260,DAMAS_Daily!D260)</f>
        <v/>
      </c>
      <c r="K260" s="45">
        <f>IF(C260="aFRR+",MIN(DAMAS_Daily!C260*market_share_A*acceptance_rate*stack_activation,power_mw*hours_per_day,capacity_mwh),MIN(DAMAS_Daily!D260*market_share_A*acceptance_rate*stack_activation,power_mw*hours_per_day,capacity_mwh))</f>
        <v/>
      </c>
      <c r="L260" s="42">
        <f>IF(K260&gt;=capacity_mwh-0.01,"yes","no")</f>
        <v/>
      </c>
      <c r="M260" s="13">
        <f>IF(C260="aFRR+",(MIN(DAMAS_Daily!C260*market_share_A*acceptance_rate*stack_activation,power_mw*hours_per_day,capacity_mwh))*DAMAS_Daily!E260*activation_mult_A,(MIN(DAMAS_Daily!D260*market_share_A*acceptance_rate*stack_activation,power_mw*hours_per_day,capacity_mwh))*DAMAS_Daily!F260*activation_mult_A)</f>
        <v/>
      </c>
      <c r="N260" s="14">
        <f>F260+M260</f>
        <v/>
      </c>
    </row>
    <row r="261">
      <c r="A261" s="41">
        <f>DAMAS_Daily!A261</f>
        <v/>
      </c>
      <c r="B261" s="42">
        <f>DAMAS_Daily!B261</f>
        <v/>
      </c>
      <c r="C261" s="42">
        <f>IF((power_mw*hours_per_day*damas_afrr_up*capacity_mult_A*stack_capacity*acceptance_rate+(MIN(DAMAS_Daily!C261*market_share_A*acceptance_rate*stack_activation,power_mw*hours_per_day,capacity_mwh))*DAMAS_Daily!E261*activation_mult_A)&gt;=(power_mw*hours_per_day*damas_afrr_down*capacity_mult_A*stack_capacity*acceptance_rate+(MIN(DAMAS_Daily!D261*market_share_A*acceptance_rate*stack_activation,power_mw*hours_per_day,capacity_mwh))*DAMAS_Daily!F261*activation_mult_A),"aFRR+","aFRR-")</f>
        <v/>
      </c>
      <c r="D261" s="43">
        <f>IF(C261="aFRR+",damas_afrr_up*capacity_mult_A,damas_afrr_down*capacity_mult_A)</f>
        <v/>
      </c>
      <c r="E261" s="44">
        <f>acceptance_rate</f>
        <v/>
      </c>
      <c r="F261" s="13">
        <f>IF(C261="aFRR+",power_mw*hours_per_day*damas_afrr_up*capacity_mult_A*stack_capacity*acceptance_rate,power_mw*hours_per_day*damas_afrr_down*capacity_mult_A*stack_capacity*acceptance_rate)</f>
        <v/>
      </c>
      <c r="G261" s="42">
        <f>IF(C261="aFRR+",DAMAS_Daily!I261,DAMAS_Daily!J261)</f>
        <v/>
      </c>
      <c r="H261" s="43">
        <f>IF(C261="aFRR+",DAMAS_Daily!E261,DAMAS_Daily!F261)</f>
        <v/>
      </c>
      <c r="I261" s="43">
        <f>IF(C261="aFRR+",DAMAS_Daily!G261,DAMAS_Daily!H261)</f>
        <v/>
      </c>
      <c r="J261" s="45">
        <f>IF(C261="aFRR+",DAMAS_Daily!C261,DAMAS_Daily!D261)</f>
        <v/>
      </c>
      <c r="K261" s="45">
        <f>IF(C261="aFRR+",MIN(DAMAS_Daily!C261*market_share_A*acceptance_rate*stack_activation,power_mw*hours_per_day,capacity_mwh),MIN(DAMAS_Daily!D261*market_share_A*acceptance_rate*stack_activation,power_mw*hours_per_day,capacity_mwh))</f>
        <v/>
      </c>
      <c r="L261" s="42">
        <f>IF(K261&gt;=capacity_mwh-0.01,"yes","no")</f>
        <v/>
      </c>
      <c r="M261" s="13">
        <f>IF(C261="aFRR+",(MIN(DAMAS_Daily!C261*market_share_A*acceptance_rate*stack_activation,power_mw*hours_per_day,capacity_mwh))*DAMAS_Daily!E261*activation_mult_A,(MIN(DAMAS_Daily!D261*market_share_A*acceptance_rate*stack_activation,power_mw*hours_per_day,capacity_mwh))*DAMAS_Daily!F261*activation_mult_A)</f>
        <v/>
      </c>
      <c r="N261" s="14">
        <f>F261+M261</f>
        <v/>
      </c>
    </row>
    <row r="262">
      <c r="A262" s="41">
        <f>DAMAS_Daily!A262</f>
        <v/>
      </c>
      <c r="B262" s="42">
        <f>DAMAS_Daily!B262</f>
        <v/>
      </c>
      <c r="C262" s="42">
        <f>IF((power_mw*hours_per_day*damas_afrr_up*capacity_mult_A*stack_capacity*acceptance_rate+(MIN(DAMAS_Daily!C262*market_share_A*acceptance_rate*stack_activation,power_mw*hours_per_day,capacity_mwh))*DAMAS_Daily!E262*activation_mult_A)&gt;=(power_mw*hours_per_day*damas_afrr_down*capacity_mult_A*stack_capacity*acceptance_rate+(MIN(DAMAS_Daily!D262*market_share_A*acceptance_rate*stack_activation,power_mw*hours_per_day,capacity_mwh))*DAMAS_Daily!F262*activation_mult_A),"aFRR+","aFRR-")</f>
        <v/>
      </c>
      <c r="D262" s="43">
        <f>IF(C262="aFRR+",damas_afrr_up*capacity_mult_A,damas_afrr_down*capacity_mult_A)</f>
        <v/>
      </c>
      <c r="E262" s="44">
        <f>acceptance_rate</f>
        <v/>
      </c>
      <c r="F262" s="13">
        <f>IF(C262="aFRR+",power_mw*hours_per_day*damas_afrr_up*capacity_mult_A*stack_capacity*acceptance_rate,power_mw*hours_per_day*damas_afrr_down*capacity_mult_A*stack_capacity*acceptance_rate)</f>
        <v/>
      </c>
      <c r="G262" s="42">
        <f>IF(C262="aFRR+",DAMAS_Daily!I262,DAMAS_Daily!J262)</f>
        <v/>
      </c>
      <c r="H262" s="43">
        <f>IF(C262="aFRR+",DAMAS_Daily!E262,DAMAS_Daily!F262)</f>
        <v/>
      </c>
      <c r="I262" s="43">
        <f>IF(C262="aFRR+",DAMAS_Daily!G262,DAMAS_Daily!H262)</f>
        <v/>
      </c>
      <c r="J262" s="45">
        <f>IF(C262="aFRR+",DAMAS_Daily!C262,DAMAS_Daily!D262)</f>
        <v/>
      </c>
      <c r="K262" s="45">
        <f>IF(C262="aFRR+",MIN(DAMAS_Daily!C262*market_share_A*acceptance_rate*stack_activation,power_mw*hours_per_day,capacity_mwh),MIN(DAMAS_Daily!D262*market_share_A*acceptance_rate*stack_activation,power_mw*hours_per_day,capacity_mwh))</f>
        <v/>
      </c>
      <c r="L262" s="42">
        <f>IF(K262&gt;=capacity_mwh-0.01,"yes","no")</f>
        <v/>
      </c>
      <c r="M262" s="13">
        <f>IF(C262="aFRR+",(MIN(DAMAS_Daily!C262*market_share_A*acceptance_rate*stack_activation,power_mw*hours_per_day,capacity_mwh))*DAMAS_Daily!E262*activation_mult_A,(MIN(DAMAS_Daily!D262*market_share_A*acceptance_rate*stack_activation,power_mw*hours_per_day,capacity_mwh))*DAMAS_Daily!F262*activation_mult_A)</f>
        <v/>
      </c>
      <c r="N262" s="14">
        <f>F262+M262</f>
        <v/>
      </c>
    </row>
    <row r="263">
      <c r="A263" s="41">
        <f>DAMAS_Daily!A263</f>
        <v/>
      </c>
      <c r="B263" s="42">
        <f>DAMAS_Daily!B263</f>
        <v/>
      </c>
      <c r="C263" s="42">
        <f>IF((power_mw*hours_per_day*damas_afrr_up*capacity_mult_A*stack_capacity*acceptance_rate+(MIN(DAMAS_Daily!C263*market_share_A*acceptance_rate*stack_activation,power_mw*hours_per_day,capacity_mwh))*DAMAS_Daily!E263*activation_mult_A)&gt;=(power_mw*hours_per_day*damas_afrr_down*capacity_mult_A*stack_capacity*acceptance_rate+(MIN(DAMAS_Daily!D263*market_share_A*acceptance_rate*stack_activation,power_mw*hours_per_day,capacity_mwh))*DAMAS_Daily!F263*activation_mult_A),"aFRR+","aFRR-")</f>
        <v/>
      </c>
      <c r="D263" s="43">
        <f>IF(C263="aFRR+",damas_afrr_up*capacity_mult_A,damas_afrr_down*capacity_mult_A)</f>
        <v/>
      </c>
      <c r="E263" s="44">
        <f>acceptance_rate</f>
        <v/>
      </c>
      <c r="F263" s="13">
        <f>IF(C263="aFRR+",power_mw*hours_per_day*damas_afrr_up*capacity_mult_A*stack_capacity*acceptance_rate,power_mw*hours_per_day*damas_afrr_down*capacity_mult_A*stack_capacity*acceptance_rate)</f>
        <v/>
      </c>
      <c r="G263" s="42">
        <f>IF(C263="aFRR+",DAMAS_Daily!I263,DAMAS_Daily!J263)</f>
        <v/>
      </c>
      <c r="H263" s="43">
        <f>IF(C263="aFRR+",DAMAS_Daily!E263,DAMAS_Daily!F263)</f>
        <v/>
      </c>
      <c r="I263" s="43">
        <f>IF(C263="aFRR+",DAMAS_Daily!G263,DAMAS_Daily!H263)</f>
        <v/>
      </c>
      <c r="J263" s="45">
        <f>IF(C263="aFRR+",DAMAS_Daily!C263,DAMAS_Daily!D263)</f>
        <v/>
      </c>
      <c r="K263" s="45">
        <f>IF(C263="aFRR+",MIN(DAMAS_Daily!C263*market_share_A*acceptance_rate*stack_activation,power_mw*hours_per_day,capacity_mwh),MIN(DAMAS_Daily!D263*market_share_A*acceptance_rate*stack_activation,power_mw*hours_per_day,capacity_mwh))</f>
        <v/>
      </c>
      <c r="L263" s="42">
        <f>IF(K263&gt;=capacity_mwh-0.01,"yes","no")</f>
        <v/>
      </c>
      <c r="M263" s="13">
        <f>IF(C263="aFRR+",(MIN(DAMAS_Daily!C263*market_share_A*acceptance_rate*stack_activation,power_mw*hours_per_day,capacity_mwh))*DAMAS_Daily!E263*activation_mult_A,(MIN(DAMAS_Daily!D263*market_share_A*acceptance_rate*stack_activation,power_mw*hours_per_day,capacity_mwh))*DAMAS_Daily!F263*activation_mult_A)</f>
        <v/>
      </c>
      <c r="N263" s="14">
        <f>F263+M263</f>
        <v/>
      </c>
    </row>
    <row r="264">
      <c r="A264" s="41">
        <f>DAMAS_Daily!A264</f>
        <v/>
      </c>
      <c r="B264" s="42">
        <f>DAMAS_Daily!B264</f>
        <v/>
      </c>
      <c r="C264" s="42">
        <f>IF((power_mw*hours_per_day*damas_afrr_up*capacity_mult_A*stack_capacity*acceptance_rate+(MIN(DAMAS_Daily!C264*market_share_A*acceptance_rate*stack_activation,power_mw*hours_per_day,capacity_mwh))*DAMAS_Daily!E264*activation_mult_A)&gt;=(power_mw*hours_per_day*damas_afrr_down*capacity_mult_A*stack_capacity*acceptance_rate+(MIN(DAMAS_Daily!D264*market_share_A*acceptance_rate*stack_activation,power_mw*hours_per_day,capacity_mwh))*DAMAS_Daily!F264*activation_mult_A),"aFRR+","aFRR-")</f>
        <v/>
      </c>
      <c r="D264" s="43">
        <f>IF(C264="aFRR+",damas_afrr_up*capacity_mult_A,damas_afrr_down*capacity_mult_A)</f>
        <v/>
      </c>
      <c r="E264" s="44">
        <f>acceptance_rate</f>
        <v/>
      </c>
      <c r="F264" s="13">
        <f>IF(C264="aFRR+",power_mw*hours_per_day*damas_afrr_up*capacity_mult_A*stack_capacity*acceptance_rate,power_mw*hours_per_day*damas_afrr_down*capacity_mult_A*stack_capacity*acceptance_rate)</f>
        <v/>
      </c>
      <c r="G264" s="42">
        <f>IF(C264="aFRR+",DAMAS_Daily!I264,DAMAS_Daily!J264)</f>
        <v/>
      </c>
      <c r="H264" s="43">
        <f>IF(C264="aFRR+",DAMAS_Daily!E264,DAMAS_Daily!F264)</f>
        <v/>
      </c>
      <c r="I264" s="43">
        <f>IF(C264="aFRR+",DAMAS_Daily!G264,DAMAS_Daily!H264)</f>
        <v/>
      </c>
      <c r="J264" s="45">
        <f>IF(C264="aFRR+",DAMAS_Daily!C264,DAMAS_Daily!D264)</f>
        <v/>
      </c>
      <c r="K264" s="45">
        <f>IF(C264="aFRR+",MIN(DAMAS_Daily!C264*market_share_A*acceptance_rate*stack_activation,power_mw*hours_per_day,capacity_mwh),MIN(DAMAS_Daily!D264*market_share_A*acceptance_rate*stack_activation,power_mw*hours_per_day,capacity_mwh))</f>
        <v/>
      </c>
      <c r="L264" s="42">
        <f>IF(K264&gt;=capacity_mwh-0.01,"yes","no")</f>
        <v/>
      </c>
      <c r="M264" s="13">
        <f>IF(C264="aFRR+",(MIN(DAMAS_Daily!C264*market_share_A*acceptance_rate*stack_activation,power_mw*hours_per_day,capacity_mwh))*DAMAS_Daily!E264*activation_mult_A,(MIN(DAMAS_Daily!D264*market_share_A*acceptance_rate*stack_activation,power_mw*hours_per_day,capacity_mwh))*DAMAS_Daily!F264*activation_mult_A)</f>
        <v/>
      </c>
      <c r="N264" s="14">
        <f>F264+M264</f>
        <v/>
      </c>
    </row>
    <row r="265">
      <c r="A265" s="41">
        <f>DAMAS_Daily!A265</f>
        <v/>
      </c>
      <c r="B265" s="42">
        <f>DAMAS_Daily!B265</f>
        <v/>
      </c>
      <c r="C265" s="42">
        <f>IF((power_mw*hours_per_day*damas_afrr_up*capacity_mult_A*stack_capacity*acceptance_rate+(MIN(DAMAS_Daily!C265*market_share_A*acceptance_rate*stack_activation,power_mw*hours_per_day,capacity_mwh))*DAMAS_Daily!E265*activation_mult_A)&gt;=(power_mw*hours_per_day*damas_afrr_down*capacity_mult_A*stack_capacity*acceptance_rate+(MIN(DAMAS_Daily!D265*market_share_A*acceptance_rate*stack_activation,power_mw*hours_per_day,capacity_mwh))*DAMAS_Daily!F265*activation_mult_A),"aFRR+","aFRR-")</f>
        <v/>
      </c>
      <c r="D265" s="43">
        <f>IF(C265="aFRR+",damas_afrr_up*capacity_mult_A,damas_afrr_down*capacity_mult_A)</f>
        <v/>
      </c>
      <c r="E265" s="44">
        <f>acceptance_rate</f>
        <v/>
      </c>
      <c r="F265" s="13">
        <f>IF(C265="aFRR+",power_mw*hours_per_day*damas_afrr_up*capacity_mult_A*stack_capacity*acceptance_rate,power_mw*hours_per_day*damas_afrr_down*capacity_mult_A*stack_capacity*acceptance_rate)</f>
        <v/>
      </c>
      <c r="G265" s="42">
        <f>IF(C265="aFRR+",DAMAS_Daily!I265,DAMAS_Daily!J265)</f>
        <v/>
      </c>
      <c r="H265" s="43">
        <f>IF(C265="aFRR+",DAMAS_Daily!E265,DAMAS_Daily!F265)</f>
        <v/>
      </c>
      <c r="I265" s="43">
        <f>IF(C265="aFRR+",DAMAS_Daily!G265,DAMAS_Daily!H265)</f>
        <v/>
      </c>
      <c r="J265" s="45">
        <f>IF(C265="aFRR+",DAMAS_Daily!C265,DAMAS_Daily!D265)</f>
        <v/>
      </c>
      <c r="K265" s="45">
        <f>IF(C265="aFRR+",MIN(DAMAS_Daily!C265*market_share_A*acceptance_rate*stack_activation,power_mw*hours_per_day,capacity_mwh),MIN(DAMAS_Daily!D265*market_share_A*acceptance_rate*stack_activation,power_mw*hours_per_day,capacity_mwh))</f>
        <v/>
      </c>
      <c r="L265" s="42">
        <f>IF(K265&gt;=capacity_mwh-0.01,"yes","no")</f>
        <v/>
      </c>
      <c r="M265" s="13">
        <f>IF(C265="aFRR+",(MIN(DAMAS_Daily!C265*market_share_A*acceptance_rate*stack_activation,power_mw*hours_per_day,capacity_mwh))*DAMAS_Daily!E265*activation_mult_A,(MIN(DAMAS_Daily!D265*market_share_A*acceptance_rate*stack_activation,power_mw*hours_per_day,capacity_mwh))*DAMAS_Daily!F265*activation_mult_A)</f>
        <v/>
      </c>
      <c r="N265" s="14">
        <f>F265+M265</f>
        <v/>
      </c>
    </row>
    <row r="266">
      <c r="A266" s="41">
        <f>DAMAS_Daily!A266</f>
        <v/>
      </c>
      <c r="B266" s="42">
        <f>DAMAS_Daily!B266</f>
        <v/>
      </c>
      <c r="C266" s="42">
        <f>IF((power_mw*hours_per_day*damas_afrr_up*capacity_mult_A*stack_capacity*acceptance_rate+(MIN(DAMAS_Daily!C266*market_share_A*acceptance_rate*stack_activation,power_mw*hours_per_day,capacity_mwh))*DAMAS_Daily!E266*activation_mult_A)&gt;=(power_mw*hours_per_day*damas_afrr_down*capacity_mult_A*stack_capacity*acceptance_rate+(MIN(DAMAS_Daily!D266*market_share_A*acceptance_rate*stack_activation,power_mw*hours_per_day,capacity_mwh))*DAMAS_Daily!F266*activation_mult_A),"aFRR+","aFRR-")</f>
        <v/>
      </c>
      <c r="D266" s="43">
        <f>IF(C266="aFRR+",damas_afrr_up*capacity_mult_A,damas_afrr_down*capacity_mult_A)</f>
        <v/>
      </c>
      <c r="E266" s="44">
        <f>acceptance_rate</f>
        <v/>
      </c>
      <c r="F266" s="13">
        <f>IF(C266="aFRR+",power_mw*hours_per_day*damas_afrr_up*capacity_mult_A*stack_capacity*acceptance_rate,power_mw*hours_per_day*damas_afrr_down*capacity_mult_A*stack_capacity*acceptance_rate)</f>
        <v/>
      </c>
      <c r="G266" s="42">
        <f>IF(C266="aFRR+",DAMAS_Daily!I266,DAMAS_Daily!J266)</f>
        <v/>
      </c>
      <c r="H266" s="43">
        <f>IF(C266="aFRR+",DAMAS_Daily!E266,DAMAS_Daily!F266)</f>
        <v/>
      </c>
      <c r="I266" s="43">
        <f>IF(C266="aFRR+",DAMAS_Daily!G266,DAMAS_Daily!H266)</f>
        <v/>
      </c>
      <c r="J266" s="45">
        <f>IF(C266="aFRR+",DAMAS_Daily!C266,DAMAS_Daily!D266)</f>
        <v/>
      </c>
      <c r="K266" s="45">
        <f>IF(C266="aFRR+",MIN(DAMAS_Daily!C266*market_share_A*acceptance_rate*stack_activation,power_mw*hours_per_day,capacity_mwh),MIN(DAMAS_Daily!D266*market_share_A*acceptance_rate*stack_activation,power_mw*hours_per_day,capacity_mwh))</f>
        <v/>
      </c>
      <c r="L266" s="42">
        <f>IF(K266&gt;=capacity_mwh-0.01,"yes","no")</f>
        <v/>
      </c>
      <c r="M266" s="13">
        <f>IF(C266="aFRR+",(MIN(DAMAS_Daily!C266*market_share_A*acceptance_rate*stack_activation,power_mw*hours_per_day,capacity_mwh))*DAMAS_Daily!E266*activation_mult_A,(MIN(DAMAS_Daily!D266*market_share_A*acceptance_rate*stack_activation,power_mw*hours_per_day,capacity_mwh))*DAMAS_Daily!F266*activation_mult_A)</f>
        <v/>
      </c>
      <c r="N266" s="14">
        <f>F266+M266</f>
        <v/>
      </c>
    </row>
    <row r="267">
      <c r="A267" s="41">
        <f>DAMAS_Daily!A267</f>
        <v/>
      </c>
      <c r="B267" s="42">
        <f>DAMAS_Daily!B267</f>
        <v/>
      </c>
      <c r="C267" s="42">
        <f>IF((power_mw*hours_per_day*damas_afrr_up*capacity_mult_A*stack_capacity*acceptance_rate+(MIN(DAMAS_Daily!C267*market_share_A*acceptance_rate*stack_activation,power_mw*hours_per_day,capacity_mwh))*DAMAS_Daily!E267*activation_mult_A)&gt;=(power_mw*hours_per_day*damas_afrr_down*capacity_mult_A*stack_capacity*acceptance_rate+(MIN(DAMAS_Daily!D267*market_share_A*acceptance_rate*stack_activation,power_mw*hours_per_day,capacity_mwh))*DAMAS_Daily!F267*activation_mult_A),"aFRR+","aFRR-")</f>
        <v/>
      </c>
      <c r="D267" s="43">
        <f>IF(C267="aFRR+",damas_afrr_up*capacity_mult_A,damas_afrr_down*capacity_mult_A)</f>
        <v/>
      </c>
      <c r="E267" s="44">
        <f>acceptance_rate</f>
        <v/>
      </c>
      <c r="F267" s="13">
        <f>IF(C267="aFRR+",power_mw*hours_per_day*damas_afrr_up*capacity_mult_A*stack_capacity*acceptance_rate,power_mw*hours_per_day*damas_afrr_down*capacity_mult_A*stack_capacity*acceptance_rate)</f>
        <v/>
      </c>
      <c r="G267" s="42">
        <f>IF(C267="aFRR+",DAMAS_Daily!I267,DAMAS_Daily!J267)</f>
        <v/>
      </c>
      <c r="H267" s="43">
        <f>IF(C267="aFRR+",DAMAS_Daily!E267,DAMAS_Daily!F267)</f>
        <v/>
      </c>
      <c r="I267" s="43">
        <f>IF(C267="aFRR+",DAMAS_Daily!G267,DAMAS_Daily!H267)</f>
        <v/>
      </c>
      <c r="J267" s="45">
        <f>IF(C267="aFRR+",DAMAS_Daily!C267,DAMAS_Daily!D267)</f>
        <v/>
      </c>
      <c r="K267" s="45">
        <f>IF(C267="aFRR+",MIN(DAMAS_Daily!C267*market_share_A*acceptance_rate*stack_activation,power_mw*hours_per_day,capacity_mwh),MIN(DAMAS_Daily!D267*market_share_A*acceptance_rate*stack_activation,power_mw*hours_per_day,capacity_mwh))</f>
        <v/>
      </c>
      <c r="L267" s="42">
        <f>IF(K267&gt;=capacity_mwh-0.01,"yes","no")</f>
        <v/>
      </c>
      <c r="M267" s="13">
        <f>IF(C267="aFRR+",(MIN(DAMAS_Daily!C267*market_share_A*acceptance_rate*stack_activation,power_mw*hours_per_day,capacity_mwh))*DAMAS_Daily!E267*activation_mult_A,(MIN(DAMAS_Daily!D267*market_share_A*acceptance_rate*stack_activation,power_mw*hours_per_day,capacity_mwh))*DAMAS_Daily!F267*activation_mult_A)</f>
        <v/>
      </c>
      <c r="N267" s="14">
        <f>F267+M267</f>
        <v/>
      </c>
    </row>
    <row r="268">
      <c r="A268" s="41">
        <f>DAMAS_Daily!A268</f>
        <v/>
      </c>
      <c r="B268" s="42">
        <f>DAMAS_Daily!B268</f>
        <v/>
      </c>
      <c r="C268" s="42">
        <f>IF((power_mw*hours_per_day*damas_afrr_up*capacity_mult_A*stack_capacity*acceptance_rate+(MIN(DAMAS_Daily!C268*market_share_A*acceptance_rate*stack_activation,power_mw*hours_per_day,capacity_mwh))*DAMAS_Daily!E268*activation_mult_A)&gt;=(power_mw*hours_per_day*damas_afrr_down*capacity_mult_A*stack_capacity*acceptance_rate+(MIN(DAMAS_Daily!D268*market_share_A*acceptance_rate*stack_activation,power_mw*hours_per_day,capacity_mwh))*DAMAS_Daily!F268*activation_mult_A),"aFRR+","aFRR-")</f>
        <v/>
      </c>
      <c r="D268" s="43">
        <f>IF(C268="aFRR+",damas_afrr_up*capacity_mult_A,damas_afrr_down*capacity_mult_A)</f>
        <v/>
      </c>
      <c r="E268" s="44">
        <f>acceptance_rate</f>
        <v/>
      </c>
      <c r="F268" s="13">
        <f>IF(C268="aFRR+",power_mw*hours_per_day*damas_afrr_up*capacity_mult_A*stack_capacity*acceptance_rate,power_mw*hours_per_day*damas_afrr_down*capacity_mult_A*stack_capacity*acceptance_rate)</f>
        <v/>
      </c>
      <c r="G268" s="42">
        <f>IF(C268="aFRR+",DAMAS_Daily!I268,DAMAS_Daily!J268)</f>
        <v/>
      </c>
      <c r="H268" s="43">
        <f>IF(C268="aFRR+",DAMAS_Daily!E268,DAMAS_Daily!F268)</f>
        <v/>
      </c>
      <c r="I268" s="43">
        <f>IF(C268="aFRR+",DAMAS_Daily!G268,DAMAS_Daily!H268)</f>
        <v/>
      </c>
      <c r="J268" s="45">
        <f>IF(C268="aFRR+",DAMAS_Daily!C268,DAMAS_Daily!D268)</f>
        <v/>
      </c>
      <c r="K268" s="45">
        <f>IF(C268="aFRR+",MIN(DAMAS_Daily!C268*market_share_A*acceptance_rate*stack_activation,power_mw*hours_per_day,capacity_mwh),MIN(DAMAS_Daily!D268*market_share_A*acceptance_rate*stack_activation,power_mw*hours_per_day,capacity_mwh))</f>
        <v/>
      </c>
      <c r="L268" s="42">
        <f>IF(K268&gt;=capacity_mwh-0.01,"yes","no")</f>
        <v/>
      </c>
      <c r="M268" s="13">
        <f>IF(C268="aFRR+",(MIN(DAMAS_Daily!C268*market_share_A*acceptance_rate*stack_activation,power_mw*hours_per_day,capacity_mwh))*DAMAS_Daily!E268*activation_mult_A,(MIN(DAMAS_Daily!D268*market_share_A*acceptance_rate*stack_activation,power_mw*hours_per_day,capacity_mwh))*DAMAS_Daily!F268*activation_mult_A)</f>
        <v/>
      </c>
      <c r="N268" s="14">
        <f>F268+M268</f>
        <v/>
      </c>
    </row>
    <row r="269">
      <c r="A269" s="41">
        <f>DAMAS_Daily!A269</f>
        <v/>
      </c>
      <c r="B269" s="42">
        <f>DAMAS_Daily!B269</f>
        <v/>
      </c>
      <c r="C269" s="42">
        <f>IF((power_mw*hours_per_day*damas_afrr_up*capacity_mult_A*stack_capacity*acceptance_rate+(MIN(DAMAS_Daily!C269*market_share_A*acceptance_rate*stack_activation,power_mw*hours_per_day,capacity_mwh))*DAMAS_Daily!E269*activation_mult_A)&gt;=(power_mw*hours_per_day*damas_afrr_down*capacity_mult_A*stack_capacity*acceptance_rate+(MIN(DAMAS_Daily!D269*market_share_A*acceptance_rate*stack_activation,power_mw*hours_per_day,capacity_mwh))*DAMAS_Daily!F269*activation_mult_A),"aFRR+","aFRR-")</f>
        <v/>
      </c>
      <c r="D269" s="43">
        <f>IF(C269="aFRR+",damas_afrr_up*capacity_mult_A,damas_afrr_down*capacity_mult_A)</f>
        <v/>
      </c>
      <c r="E269" s="44">
        <f>acceptance_rate</f>
        <v/>
      </c>
      <c r="F269" s="13">
        <f>IF(C269="aFRR+",power_mw*hours_per_day*damas_afrr_up*capacity_mult_A*stack_capacity*acceptance_rate,power_mw*hours_per_day*damas_afrr_down*capacity_mult_A*stack_capacity*acceptance_rate)</f>
        <v/>
      </c>
      <c r="G269" s="42">
        <f>IF(C269="aFRR+",DAMAS_Daily!I269,DAMAS_Daily!J269)</f>
        <v/>
      </c>
      <c r="H269" s="43">
        <f>IF(C269="aFRR+",DAMAS_Daily!E269,DAMAS_Daily!F269)</f>
        <v/>
      </c>
      <c r="I269" s="43">
        <f>IF(C269="aFRR+",DAMAS_Daily!G269,DAMAS_Daily!H269)</f>
        <v/>
      </c>
      <c r="J269" s="45">
        <f>IF(C269="aFRR+",DAMAS_Daily!C269,DAMAS_Daily!D269)</f>
        <v/>
      </c>
      <c r="K269" s="45">
        <f>IF(C269="aFRR+",MIN(DAMAS_Daily!C269*market_share_A*acceptance_rate*stack_activation,power_mw*hours_per_day,capacity_mwh),MIN(DAMAS_Daily!D269*market_share_A*acceptance_rate*stack_activation,power_mw*hours_per_day,capacity_mwh))</f>
        <v/>
      </c>
      <c r="L269" s="42">
        <f>IF(K269&gt;=capacity_mwh-0.01,"yes","no")</f>
        <v/>
      </c>
      <c r="M269" s="13">
        <f>IF(C269="aFRR+",(MIN(DAMAS_Daily!C269*market_share_A*acceptance_rate*stack_activation,power_mw*hours_per_day,capacity_mwh))*DAMAS_Daily!E269*activation_mult_A,(MIN(DAMAS_Daily!D269*market_share_A*acceptance_rate*stack_activation,power_mw*hours_per_day,capacity_mwh))*DAMAS_Daily!F269*activation_mult_A)</f>
        <v/>
      </c>
      <c r="N269" s="14">
        <f>F269+M269</f>
        <v/>
      </c>
    </row>
    <row r="270">
      <c r="A270" s="41">
        <f>DAMAS_Daily!A270</f>
        <v/>
      </c>
      <c r="B270" s="42">
        <f>DAMAS_Daily!B270</f>
        <v/>
      </c>
      <c r="C270" s="42">
        <f>IF((power_mw*hours_per_day*damas_afrr_up*capacity_mult_A*stack_capacity*acceptance_rate+(MIN(DAMAS_Daily!C270*market_share_A*acceptance_rate*stack_activation,power_mw*hours_per_day,capacity_mwh))*DAMAS_Daily!E270*activation_mult_A)&gt;=(power_mw*hours_per_day*damas_afrr_down*capacity_mult_A*stack_capacity*acceptance_rate+(MIN(DAMAS_Daily!D270*market_share_A*acceptance_rate*stack_activation,power_mw*hours_per_day,capacity_mwh))*DAMAS_Daily!F270*activation_mult_A),"aFRR+","aFRR-")</f>
        <v/>
      </c>
      <c r="D270" s="43">
        <f>IF(C270="aFRR+",damas_afrr_up*capacity_mult_A,damas_afrr_down*capacity_mult_A)</f>
        <v/>
      </c>
      <c r="E270" s="44">
        <f>acceptance_rate</f>
        <v/>
      </c>
      <c r="F270" s="13">
        <f>IF(C270="aFRR+",power_mw*hours_per_day*damas_afrr_up*capacity_mult_A*stack_capacity*acceptance_rate,power_mw*hours_per_day*damas_afrr_down*capacity_mult_A*stack_capacity*acceptance_rate)</f>
        <v/>
      </c>
      <c r="G270" s="42">
        <f>IF(C270="aFRR+",DAMAS_Daily!I270,DAMAS_Daily!J270)</f>
        <v/>
      </c>
      <c r="H270" s="43">
        <f>IF(C270="aFRR+",DAMAS_Daily!E270,DAMAS_Daily!F270)</f>
        <v/>
      </c>
      <c r="I270" s="43">
        <f>IF(C270="aFRR+",DAMAS_Daily!G270,DAMAS_Daily!H270)</f>
        <v/>
      </c>
      <c r="J270" s="45">
        <f>IF(C270="aFRR+",DAMAS_Daily!C270,DAMAS_Daily!D270)</f>
        <v/>
      </c>
      <c r="K270" s="45">
        <f>IF(C270="aFRR+",MIN(DAMAS_Daily!C270*market_share_A*acceptance_rate*stack_activation,power_mw*hours_per_day,capacity_mwh),MIN(DAMAS_Daily!D270*market_share_A*acceptance_rate*stack_activation,power_mw*hours_per_day,capacity_mwh))</f>
        <v/>
      </c>
      <c r="L270" s="42">
        <f>IF(K270&gt;=capacity_mwh-0.01,"yes","no")</f>
        <v/>
      </c>
      <c r="M270" s="13">
        <f>IF(C270="aFRR+",(MIN(DAMAS_Daily!C270*market_share_A*acceptance_rate*stack_activation,power_mw*hours_per_day,capacity_mwh))*DAMAS_Daily!E270*activation_mult_A,(MIN(DAMAS_Daily!D270*market_share_A*acceptance_rate*stack_activation,power_mw*hours_per_day,capacity_mwh))*DAMAS_Daily!F270*activation_mult_A)</f>
        <v/>
      </c>
      <c r="N270" s="14">
        <f>F270+M270</f>
        <v/>
      </c>
    </row>
    <row r="271">
      <c r="A271" s="41">
        <f>DAMAS_Daily!A271</f>
        <v/>
      </c>
      <c r="B271" s="42">
        <f>DAMAS_Daily!B271</f>
        <v/>
      </c>
      <c r="C271" s="42">
        <f>IF((power_mw*hours_per_day*damas_afrr_up*capacity_mult_A*stack_capacity*acceptance_rate+(MIN(DAMAS_Daily!C271*market_share_A*acceptance_rate*stack_activation,power_mw*hours_per_day,capacity_mwh))*DAMAS_Daily!E271*activation_mult_A)&gt;=(power_mw*hours_per_day*damas_afrr_down*capacity_mult_A*stack_capacity*acceptance_rate+(MIN(DAMAS_Daily!D271*market_share_A*acceptance_rate*stack_activation,power_mw*hours_per_day,capacity_mwh))*DAMAS_Daily!F271*activation_mult_A),"aFRR+","aFRR-")</f>
        <v/>
      </c>
      <c r="D271" s="43">
        <f>IF(C271="aFRR+",damas_afrr_up*capacity_mult_A,damas_afrr_down*capacity_mult_A)</f>
        <v/>
      </c>
      <c r="E271" s="44">
        <f>acceptance_rate</f>
        <v/>
      </c>
      <c r="F271" s="13">
        <f>IF(C271="aFRR+",power_mw*hours_per_day*damas_afrr_up*capacity_mult_A*stack_capacity*acceptance_rate,power_mw*hours_per_day*damas_afrr_down*capacity_mult_A*stack_capacity*acceptance_rate)</f>
        <v/>
      </c>
      <c r="G271" s="42">
        <f>IF(C271="aFRR+",DAMAS_Daily!I271,DAMAS_Daily!J271)</f>
        <v/>
      </c>
      <c r="H271" s="43">
        <f>IF(C271="aFRR+",DAMAS_Daily!E271,DAMAS_Daily!F271)</f>
        <v/>
      </c>
      <c r="I271" s="43">
        <f>IF(C271="aFRR+",DAMAS_Daily!G271,DAMAS_Daily!H271)</f>
        <v/>
      </c>
      <c r="J271" s="45">
        <f>IF(C271="aFRR+",DAMAS_Daily!C271,DAMAS_Daily!D271)</f>
        <v/>
      </c>
      <c r="K271" s="45">
        <f>IF(C271="aFRR+",MIN(DAMAS_Daily!C271*market_share_A*acceptance_rate*stack_activation,power_mw*hours_per_day,capacity_mwh),MIN(DAMAS_Daily!D271*market_share_A*acceptance_rate*stack_activation,power_mw*hours_per_day,capacity_mwh))</f>
        <v/>
      </c>
      <c r="L271" s="42">
        <f>IF(K271&gt;=capacity_mwh-0.01,"yes","no")</f>
        <v/>
      </c>
      <c r="M271" s="13">
        <f>IF(C271="aFRR+",(MIN(DAMAS_Daily!C271*market_share_A*acceptance_rate*stack_activation,power_mw*hours_per_day,capacity_mwh))*DAMAS_Daily!E271*activation_mult_A,(MIN(DAMAS_Daily!D271*market_share_A*acceptance_rate*stack_activation,power_mw*hours_per_day,capacity_mwh))*DAMAS_Daily!F271*activation_mult_A)</f>
        <v/>
      </c>
      <c r="N271" s="14">
        <f>F271+M271</f>
        <v/>
      </c>
    </row>
    <row r="272">
      <c r="A272" s="41">
        <f>DAMAS_Daily!A272</f>
        <v/>
      </c>
      <c r="B272" s="42">
        <f>DAMAS_Daily!B272</f>
        <v/>
      </c>
      <c r="C272" s="42">
        <f>IF((power_mw*hours_per_day*damas_afrr_up*capacity_mult_A*stack_capacity*acceptance_rate+(MIN(DAMAS_Daily!C272*market_share_A*acceptance_rate*stack_activation,power_mw*hours_per_day,capacity_mwh))*DAMAS_Daily!E272*activation_mult_A)&gt;=(power_mw*hours_per_day*damas_afrr_down*capacity_mult_A*stack_capacity*acceptance_rate+(MIN(DAMAS_Daily!D272*market_share_A*acceptance_rate*stack_activation,power_mw*hours_per_day,capacity_mwh))*DAMAS_Daily!F272*activation_mult_A),"aFRR+","aFRR-")</f>
        <v/>
      </c>
      <c r="D272" s="43">
        <f>IF(C272="aFRR+",damas_afrr_up*capacity_mult_A,damas_afrr_down*capacity_mult_A)</f>
        <v/>
      </c>
      <c r="E272" s="44">
        <f>acceptance_rate</f>
        <v/>
      </c>
      <c r="F272" s="13">
        <f>IF(C272="aFRR+",power_mw*hours_per_day*damas_afrr_up*capacity_mult_A*stack_capacity*acceptance_rate,power_mw*hours_per_day*damas_afrr_down*capacity_mult_A*stack_capacity*acceptance_rate)</f>
        <v/>
      </c>
      <c r="G272" s="42">
        <f>IF(C272="aFRR+",DAMAS_Daily!I272,DAMAS_Daily!J272)</f>
        <v/>
      </c>
      <c r="H272" s="43">
        <f>IF(C272="aFRR+",DAMAS_Daily!E272,DAMAS_Daily!F272)</f>
        <v/>
      </c>
      <c r="I272" s="43">
        <f>IF(C272="aFRR+",DAMAS_Daily!G272,DAMAS_Daily!H272)</f>
        <v/>
      </c>
      <c r="J272" s="45">
        <f>IF(C272="aFRR+",DAMAS_Daily!C272,DAMAS_Daily!D272)</f>
        <v/>
      </c>
      <c r="K272" s="45">
        <f>IF(C272="aFRR+",MIN(DAMAS_Daily!C272*market_share_A*acceptance_rate*stack_activation,power_mw*hours_per_day,capacity_mwh),MIN(DAMAS_Daily!D272*market_share_A*acceptance_rate*stack_activation,power_mw*hours_per_day,capacity_mwh))</f>
        <v/>
      </c>
      <c r="L272" s="42">
        <f>IF(K272&gt;=capacity_mwh-0.01,"yes","no")</f>
        <v/>
      </c>
      <c r="M272" s="13">
        <f>IF(C272="aFRR+",(MIN(DAMAS_Daily!C272*market_share_A*acceptance_rate*stack_activation,power_mw*hours_per_day,capacity_mwh))*DAMAS_Daily!E272*activation_mult_A,(MIN(DAMAS_Daily!D272*market_share_A*acceptance_rate*stack_activation,power_mw*hours_per_day,capacity_mwh))*DAMAS_Daily!F272*activation_mult_A)</f>
        <v/>
      </c>
      <c r="N272" s="14">
        <f>F272+M272</f>
        <v/>
      </c>
    </row>
    <row r="273">
      <c r="A273" s="41">
        <f>DAMAS_Daily!A273</f>
        <v/>
      </c>
      <c r="B273" s="42">
        <f>DAMAS_Daily!B273</f>
        <v/>
      </c>
      <c r="C273" s="42">
        <f>IF((power_mw*hours_per_day*damas_afrr_up*capacity_mult_A*stack_capacity*acceptance_rate+(MIN(DAMAS_Daily!C273*market_share_A*acceptance_rate*stack_activation,power_mw*hours_per_day,capacity_mwh))*DAMAS_Daily!E273*activation_mult_A)&gt;=(power_mw*hours_per_day*damas_afrr_down*capacity_mult_A*stack_capacity*acceptance_rate+(MIN(DAMAS_Daily!D273*market_share_A*acceptance_rate*stack_activation,power_mw*hours_per_day,capacity_mwh))*DAMAS_Daily!F273*activation_mult_A),"aFRR+","aFRR-")</f>
        <v/>
      </c>
      <c r="D273" s="43">
        <f>IF(C273="aFRR+",damas_afrr_up*capacity_mult_A,damas_afrr_down*capacity_mult_A)</f>
        <v/>
      </c>
      <c r="E273" s="44">
        <f>acceptance_rate</f>
        <v/>
      </c>
      <c r="F273" s="13">
        <f>IF(C273="aFRR+",power_mw*hours_per_day*damas_afrr_up*capacity_mult_A*stack_capacity*acceptance_rate,power_mw*hours_per_day*damas_afrr_down*capacity_mult_A*stack_capacity*acceptance_rate)</f>
        <v/>
      </c>
      <c r="G273" s="42">
        <f>IF(C273="aFRR+",DAMAS_Daily!I273,DAMAS_Daily!J273)</f>
        <v/>
      </c>
      <c r="H273" s="43">
        <f>IF(C273="aFRR+",DAMAS_Daily!E273,DAMAS_Daily!F273)</f>
        <v/>
      </c>
      <c r="I273" s="43">
        <f>IF(C273="aFRR+",DAMAS_Daily!G273,DAMAS_Daily!H273)</f>
        <v/>
      </c>
      <c r="J273" s="45">
        <f>IF(C273="aFRR+",DAMAS_Daily!C273,DAMAS_Daily!D273)</f>
        <v/>
      </c>
      <c r="K273" s="45">
        <f>IF(C273="aFRR+",MIN(DAMAS_Daily!C273*market_share_A*acceptance_rate*stack_activation,power_mw*hours_per_day,capacity_mwh),MIN(DAMAS_Daily!D273*market_share_A*acceptance_rate*stack_activation,power_mw*hours_per_day,capacity_mwh))</f>
        <v/>
      </c>
      <c r="L273" s="42">
        <f>IF(K273&gt;=capacity_mwh-0.01,"yes","no")</f>
        <v/>
      </c>
      <c r="M273" s="13">
        <f>IF(C273="aFRR+",(MIN(DAMAS_Daily!C273*market_share_A*acceptance_rate*stack_activation,power_mw*hours_per_day,capacity_mwh))*DAMAS_Daily!E273*activation_mult_A,(MIN(DAMAS_Daily!D273*market_share_A*acceptance_rate*stack_activation,power_mw*hours_per_day,capacity_mwh))*DAMAS_Daily!F273*activation_mult_A)</f>
        <v/>
      </c>
      <c r="N273" s="14">
        <f>F273+M273</f>
        <v/>
      </c>
    </row>
    <row r="274">
      <c r="A274" s="41">
        <f>DAMAS_Daily!A274</f>
        <v/>
      </c>
      <c r="B274" s="42">
        <f>DAMAS_Daily!B274</f>
        <v/>
      </c>
      <c r="C274" s="42">
        <f>IF((power_mw*hours_per_day*damas_afrr_up*capacity_mult_A*stack_capacity*acceptance_rate+(MIN(DAMAS_Daily!C274*market_share_A*acceptance_rate*stack_activation,power_mw*hours_per_day,capacity_mwh))*DAMAS_Daily!E274*activation_mult_A)&gt;=(power_mw*hours_per_day*damas_afrr_down*capacity_mult_A*stack_capacity*acceptance_rate+(MIN(DAMAS_Daily!D274*market_share_A*acceptance_rate*stack_activation,power_mw*hours_per_day,capacity_mwh))*DAMAS_Daily!F274*activation_mult_A),"aFRR+","aFRR-")</f>
        <v/>
      </c>
      <c r="D274" s="43">
        <f>IF(C274="aFRR+",damas_afrr_up*capacity_mult_A,damas_afrr_down*capacity_mult_A)</f>
        <v/>
      </c>
      <c r="E274" s="44">
        <f>acceptance_rate</f>
        <v/>
      </c>
      <c r="F274" s="13">
        <f>IF(C274="aFRR+",power_mw*hours_per_day*damas_afrr_up*capacity_mult_A*stack_capacity*acceptance_rate,power_mw*hours_per_day*damas_afrr_down*capacity_mult_A*stack_capacity*acceptance_rate)</f>
        <v/>
      </c>
      <c r="G274" s="42">
        <f>IF(C274="aFRR+",DAMAS_Daily!I274,DAMAS_Daily!J274)</f>
        <v/>
      </c>
      <c r="H274" s="43">
        <f>IF(C274="aFRR+",DAMAS_Daily!E274,DAMAS_Daily!F274)</f>
        <v/>
      </c>
      <c r="I274" s="43">
        <f>IF(C274="aFRR+",DAMAS_Daily!G274,DAMAS_Daily!H274)</f>
        <v/>
      </c>
      <c r="J274" s="45">
        <f>IF(C274="aFRR+",DAMAS_Daily!C274,DAMAS_Daily!D274)</f>
        <v/>
      </c>
      <c r="K274" s="45">
        <f>IF(C274="aFRR+",MIN(DAMAS_Daily!C274*market_share_A*acceptance_rate*stack_activation,power_mw*hours_per_day,capacity_mwh),MIN(DAMAS_Daily!D274*market_share_A*acceptance_rate*stack_activation,power_mw*hours_per_day,capacity_mwh))</f>
        <v/>
      </c>
      <c r="L274" s="42">
        <f>IF(K274&gt;=capacity_mwh-0.01,"yes","no")</f>
        <v/>
      </c>
      <c r="M274" s="13">
        <f>IF(C274="aFRR+",(MIN(DAMAS_Daily!C274*market_share_A*acceptance_rate*stack_activation,power_mw*hours_per_day,capacity_mwh))*DAMAS_Daily!E274*activation_mult_A,(MIN(DAMAS_Daily!D274*market_share_A*acceptance_rate*stack_activation,power_mw*hours_per_day,capacity_mwh))*DAMAS_Daily!F274*activation_mult_A)</f>
        <v/>
      </c>
      <c r="N274" s="14">
        <f>F274+M274</f>
        <v/>
      </c>
    </row>
    <row r="275">
      <c r="A275" s="41">
        <f>DAMAS_Daily!A275</f>
        <v/>
      </c>
      <c r="B275" s="42">
        <f>DAMAS_Daily!B275</f>
        <v/>
      </c>
      <c r="C275" s="42">
        <f>IF((power_mw*hours_per_day*damas_afrr_up*capacity_mult_A*stack_capacity*acceptance_rate+(MIN(DAMAS_Daily!C275*market_share_A*acceptance_rate*stack_activation,power_mw*hours_per_day,capacity_mwh))*DAMAS_Daily!E275*activation_mult_A)&gt;=(power_mw*hours_per_day*damas_afrr_down*capacity_mult_A*stack_capacity*acceptance_rate+(MIN(DAMAS_Daily!D275*market_share_A*acceptance_rate*stack_activation,power_mw*hours_per_day,capacity_mwh))*DAMAS_Daily!F275*activation_mult_A),"aFRR+","aFRR-")</f>
        <v/>
      </c>
      <c r="D275" s="43">
        <f>IF(C275="aFRR+",damas_afrr_up*capacity_mult_A,damas_afrr_down*capacity_mult_A)</f>
        <v/>
      </c>
      <c r="E275" s="44">
        <f>acceptance_rate</f>
        <v/>
      </c>
      <c r="F275" s="13">
        <f>IF(C275="aFRR+",power_mw*hours_per_day*damas_afrr_up*capacity_mult_A*stack_capacity*acceptance_rate,power_mw*hours_per_day*damas_afrr_down*capacity_mult_A*stack_capacity*acceptance_rate)</f>
        <v/>
      </c>
      <c r="G275" s="42">
        <f>IF(C275="aFRR+",DAMAS_Daily!I275,DAMAS_Daily!J275)</f>
        <v/>
      </c>
      <c r="H275" s="43">
        <f>IF(C275="aFRR+",DAMAS_Daily!E275,DAMAS_Daily!F275)</f>
        <v/>
      </c>
      <c r="I275" s="43">
        <f>IF(C275="aFRR+",DAMAS_Daily!G275,DAMAS_Daily!H275)</f>
        <v/>
      </c>
      <c r="J275" s="45">
        <f>IF(C275="aFRR+",DAMAS_Daily!C275,DAMAS_Daily!D275)</f>
        <v/>
      </c>
      <c r="K275" s="45">
        <f>IF(C275="aFRR+",MIN(DAMAS_Daily!C275*market_share_A*acceptance_rate*stack_activation,power_mw*hours_per_day,capacity_mwh),MIN(DAMAS_Daily!D275*market_share_A*acceptance_rate*stack_activation,power_mw*hours_per_day,capacity_mwh))</f>
        <v/>
      </c>
      <c r="L275" s="42">
        <f>IF(K275&gt;=capacity_mwh-0.01,"yes","no")</f>
        <v/>
      </c>
      <c r="M275" s="13">
        <f>IF(C275="aFRR+",(MIN(DAMAS_Daily!C275*market_share_A*acceptance_rate*stack_activation,power_mw*hours_per_day,capacity_mwh))*DAMAS_Daily!E275*activation_mult_A,(MIN(DAMAS_Daily!D275*market_share_A*acceptance_rate*stack_activation,power_mw*hours_per_day,capacity_mwh))*DAMAS_Daily!F275*activation_mult_A)</f>
        <v/>
      </c>
      <c r="N275" s="14">
        <f>F275+M275</f>
        <v/>
      </c>
    </row>
    <row r="276">
      <c r="A276" s="41">
        <f>DAMAS_Daily!A276</f>
        <v/>
      </c>
      <c r="B276" s="42">
        <f>DAMAS_Daily!B276</f>
        <v/>
      </c>
      <c r="C276" s="42">
        <f>IF((power_mw*hours_per_day*damas_afrr_up*capacity_mult_A*stack_capacity*acceptance_rate+(MIN(DAMAS_Daily!C276*market_share_A*acceptance_rate*stack_activation,power_mw*hours_per_day,capacity_mwh))*DAMAS_Daily!E276*activation_mult_A)&gt;=(power_mw*hours_per_day*damas_afrr_down*capacity_mult_A*stack_capacity*acceptance_rate+(MIN(DAMAS_Daily!D276*market_share_A*acceptance_rate*stack_activation,power_mw*hours_per_day,capacity_mwh))*DAMAS_Daily!F276*activation_mult_A),"aFRR+","aFRR-")</f>
        <v/>
      </c>
      <c r="D276" s="43">
        <f>IF(C276="aFRR+",damas_afrr_up*capacity_mult_A,damas_afrr_down*capacity_mult_A)</f>
        <v/>
      </c>
      <c r="E276" s="44">
        <f>acceptance_rate</f>
        <v/>
      </c>
      <c r="F276" s="13">
        <f>IF(C276="aFRR+",power_mw*hours_per_day*damas_afrr_up*capacity_mult_A*stack_capacity*acceptance_rate,power_mw*hours_per_day*damas_afrr_down*capacity_mult_A*stack_capacity*acceptance_rate)</f>
        <v/>
      </c>
      <c r="G276" s="42">
        <f>IF(C276="aFRR+",DAMAS_Daily!I276,DAMAS_Daily!J276)</f>
        <v/>
      </c>
      <c r="H276" s="43">
        <f>IF(C276="aFRR+",DAMAS_Daily!E276,DAMAS_Daily!F276)</f>
        <v/>
      </c>
      <c r="I276" s="43">
        <f>IF(C276="aFRR+",DAMAS_Daily!G276,DAMAS_Daily!H276)</f>
        <v/>
      </c>
      <c r="J276" s="45">
        <f>IF(C276="aFRR+",DAMAS_Daily!C276,DAMAS_Daily!D276)</f>
        <v/>
      </c>
      <c r="K276" s="45">
        <f>IF(C276="aFRR+",MIN(DAMAS_Daily!C276*market_share_A*acceptance_rate*stack_activation,power_mw*hours_per_day,capacity_mwh),MIN(DAMAS_Daily!D276*market_share_A*acceptance_rate*stack_activation,power_mw*hours_per_day,capacity_mwh))</f>
        <v/>
      </c>
      <c r="L276" s="42">
        <f>IF(K276&gt;=capacity_mwh-0.01,"yes","no")</f>
        <v/>
      </c>
      <c r="M276" s="13">
        <f>IF(C276="aFRR+",(MIN(DAMAS_Daily!C276*market_share_A*acceptance_rate*stack_activation,power_mw*hours_per_day,capacity_mwh))*DAMAS_Daily!E276*activation_mult_A,(MIN(DAMAS_Daily!D276*market_share_A*acceptance_rate*stack_activation,power_mw*hours_per_day,capacity_mwh))*DAMAS_Daily!F276*activation_mult_A)</f>
        <v/>
      </c>
      <c r="N276" s="14">
        <f>F276+M276</f>
        <v/>
      </c>
    </row>
    <row r="277">
      <c r="A277" s="41">
        <f>DAMAS_Daily!A277</f>
        <v/>
      </c>
      <c r="B277" s="42">
        <f>DAMAS_Daily!B277</f>
        <v/>
      </c>
      <c r="C277" s="42">
        <f>IF((power_mw*hours_per_day*damas_afrr_up*capacity_mult_A*stack_capacity*acceptance_rate+(MIN(DAMAS_Daily!C277*market_share_A*acceptance_rate*stack_activation,power_mw*hours_per_day,capacity_mwh))*DAMAS_Daily!E277*activation_mult_A)&gt;=(power_mw*hours_per_day*damas_afrr_down*capacity_mult_A*stack_capacity*acceptance_rate+(MIN(DAMAS_Daily!D277*market_share_A*acceptance_rate*stack_activation,power_mw*hours_per_day,capacity_mwh))*DAMAS_Daily!F277*activation_mult_A),"aFRR+","aFRR-")</f>
        <v/>
      </c>
      <c r="D277" s="43">
        <f>IF(C277="aFRR+",damas_afrr_up*capacity_mult_A,damas_afrr_down*capacity_mult_A)</f>
        <v/>
      </c>
      <c r="E277" s="44">
        <f>acceptance_rate</f>
        <v/>
      </c>
      <c r="F277" s="13">
        <f>IF(C277="aFRR+",power_mw*hours_per_day*damas_afrr_up*capacity_mult_A*stack_capacity*acceptance_rate,power_mw*hours_per_day*damas_afrr_down*capacity_mult_A*stack_capacity*acceptance_rate)</f>
        <v/>
      </c>
      <c r="G277" s="42">
        <f>IF(C277="aFRR+",DAMAS_Daily!I277,DAMAS_Daily!J277)</f>
        <v/>
      </c>
      <c r="H277" s="43">
        <f>IF(C277="aFRR+",DAMAS_Daily!E277,DAMAS_Daily!F277)</f>
        <v/>
      </c>
      <c r="I277" s="43">
        <f>IF(C277="aFRR+",DAMAS_Daily!G277,DAMAS_Daily!H277)</f>
        <v/>
      </c>
      <c r="J277" s="45">
        <f>IF(C277="aFRR+",DAMAS_Daily!C277,DAMAS_Daily!D277)</f>
        <v/>
      </c>
      <c r="K277" s="45">
        <f>IF(C277="aFRR+",MIN(DAMAS_Daily!C277*market_share_A*acceptance_rate*stack_activation,power_mw*hours_per_day,capacity_mwh),MIN(DAMAS_Daily!D277*market_share_A*acceptance_rate*stack_activation,power_mw*hours_per_day,capacity_mwh))</f>
        <v/>
      </c>
      <c r="L277" s="42">
        <f>IF(K277&gt;=capacity_mwh-0.01,"yes","no")</f>
        <v/>
      </c>
      <c r="M277" s="13">
        <f>IF(C277="aFRR+",(MIN(DAMAS_Daily!C277*market_share_A*acceptance_rate*stack_activation,power_mw*hours_per_day,capacity_mwh))*DAMAS_Daily!E277*activation_mult_A,(MIN(DAMAS_Daily!D277*market_share_A*acceptance_rate*stack_activation,power_mw*hours_per_day,capacity_mwh))*DAMAS_Daily!F277*activation_mult_A)</f>
        <v/>
      </c>
      <c r="N277" s="14">
        <f>F277+M277</f>
        <v/>
      </c>
    </row>
    <row r="278">
      <c r="A278" s="41">
        <f>DAMAS_Daily!A278</f>
        <v/>
      </c>
      <c r="B278" s="42">
        <f>DAMAS_Daily!B278</f>
        <v/>
      </c>
      <c r="C278" s="42">
        <f>IF((power_mw*hours_per_day*damas_afrr_up*capacity_mult_A*stack_capacity*acceptance_rate+(MIN(DAMAS_Daily!C278*market_share_A*acceptance_rate*stack_activation,power_mw*hours_per_day,capacity_mwh))*DAMAS_Daily!E278*activation_mult_A)&gt;=(power_mw*hours_per_day*damas_afrr_down*capacity_mult_A*stack_capacity*acceptance_rate+(MIN(DAMAS_Daily!D278*market_share_A*acceptance_rate*stack_activation,power_mw*hours_per_day,capacity_mwh))*DAMAS_Daily!F278*activation_mult_A),"aFRR+","aFRR-")</f>
        <v/>
      </c>
      <c r="D278" s="43">
        <f>IF(C278="aFRR+",damas_afrr_up*capacity_mult_A,damas_afrr_down*capacity_mult_A)</f>
        <v/>
      </c>
      <c r="E278" s="44">
        <f>acceptance_rate</f>
        <v/>
      </c>
      <c r="F278" s="13">
        <f>IF(C278="aFRR+",power_mw*hours_per_day*damas_afrr_up*capacity_mult_A*stack_capacity*acceptance_rate,power_mw*hours_per_day*damas_afrr_down*capacity_mult_A*stack_capacity*acceptance_rate)</f>
        <v/>
      </c>
      <c r="G278" s="42">
        <f>IF(C278="aFRR+",DAMAS_Daily!I278,DAMAS_Daily!J278)</f>
        <v/>
      </c>
      <c r="H278" s="43">
        <f>IF(C278="aFRR+",DAMAS_Daily!E278,DAMAS_Daily!F278)</f>
        <v/>
      </c>
      <c r="I278" s="43">
        <f>IF(C278="aFRR+",DAMAS_Daily!G278,DAMAS_Daily!H278)</f>
        <v/>
      </c>
      <c r="J278" s="45">
        <f>IF(C278="aFRR+",DAMAS_Daily!C278,DAMAS_Daily!D278)</f>
        <v/>
      </c>
      <c r="K278" s="45">
        <f>IF(C278="aFRR+",MIN(DAMAS_Daily!C278*market_share_A*acceptance_rate*stack_activation,power_mw*hours_per_day,capacity_mwh),MIN(DAMAS_Daily!D278*market_share_A*acceptance_rate*stack_activation,power_mw*hours_per_day,capacity_mwh))</f>
        <v/>
      </c>
      <c r="L278" s="42">
        <f>IF(K278&gt;=capacity_mwh-0.01,"yes","no")</f>
        <v/>
      </c>
      <c r="M278" s="13">
        <f>IF(C278="aFRR+",(MIN(DAMAS_Daily!C278*market_share_A*acceptance_rate*stack_activation,power_mw*hours_per_day,capacity_mwh))*DAMAS_Daily!E278*activation_mult_A,(MIN(DAMAS_Daily!D278*market_share_A*acceptance_rate*stack_activation,power_mw*hours_per_day,capacity_mwh))*DAMAS_Daily!F278*activation_mult_A)</f>
        <v/>
      </c>
      <c r="N278" s="14">
        <f>F278+M278</f>
        <v/>
      </c>
    </row>
    <row r="279">
      <c r="A279" s="41">
        <f>DAMAS_Daily!A279</f>
        <v/>
      </c>
      <c r="B279" s="42">
        <f>DAMAS_Daily!B279</f>
        <v/>
      </c>
      <c r="C279" s="42">
        <f>IF((power_mw*hours_per_day*damas_afrr_up*capacity_mult_A*stack_capacity*acceptance_rate+(MIN(DAMAS_Daily!C279*market_share_A*acceptance_rate*stack_activation,power_mw*hours_per_day,capacity_mwh))*DAMAS_Daily!E279*activation_mult_A)&gt;=(power_mw*hours_per_day*damas_afrr_down*capacity_mult_A*stack_capacity*acceptance_rate+(MIN(DAMAS_Daily!D279*market_share_A*acceptance_rate*stack_activation,power_mw*hours_per_day,capacity_mwh))*DAMAS_Daily!F279*activation_mult_A),"aFRR+","aFRR-")</f>
        <v/>
      </c>
      <c r="D279" s="43">
        <f>IF(C279="aFRR+",damas_afrr_up*capacity_mult_A,damas_afrr_down*capacity_mult_A)</f>
        <v/>
      </c>
      <c r="E279" s="44">
        <f>acceptance_rate</f>
        <v/>
      </c>
      <c r="F279" s="13">
        <f>IF(C279="aFRR+",power_mw*hours_per_day*damas_afrr_up*capacity_mult_A*stack_capacity*acceptance_rate,power_mw*hours_per_day*damas_afrr_down*capacity_mult_A*stack_capacity*acceptance_rate)</f>
        <v/>
      </c>
      <c r="G279" s="42">
        <f>IF(C279="aFRR+",DAMAS_Daily!I279,DAMAS_Daily!J279)</f>
        <v/>
      </c>
      <c r="H279" s="43">
        <f>IF(C279="aFRR+",DAMAS_Daily!E279,DAMAS_Daily!F279)</f>
        <v/>
      </c>
      <c r="I279" s="43">
        <f>IF(C279="aFRR+",DAMAS_Daily!G279,DAMAS_Daily!H279)</f>
        <v/>
      </c>
      <c r="J279" s="45">
        <f>IF(C279="aFRR+",DAMAS_Daily!C279,DAMAS_Daily!D279)</f>
        <v/>
      </c>
      <c r="K279" s="45">
        <f>IF(C279="aFRR+",MIN(DAMAS_Daily!C279*market_share_A*acceptance_rate*stack_activation,power_mw*hours_per_day,capacity_mwh),MIN(DAMAS_Daily!D279*market_share_A*acceptance_rate*stack_activation,power_mw*hours_per_day,capacity_mwh))</f>
        <v/>
      </c>
      <c r="L279" s="42">
        <f>IF(K279&gt;=capacity_mwh-0.01,"yes","no")</f>
        <v/>
      </c>
      <c r="M279" s="13">
        <f>IF(C279="aFRR+",(MIN(DAMAS_Daily!C279*market_share_A*acceptance_rate*stack_activation,power_mw*hours_per_day,capacity_mwh))*DAMAS_Daily!E279*activation_mult_A,(MIN(DAMAS_Daily!D279*market_share_A*acceptance_rate*stack_activation,power_mw*hours_per_day,capacity_mwh))*DAMAS_Daily!F279*activation_mult_A)</f>
        <v/>
      </c>
      <c r="N279" s="14">
        <f>F279+M279</f>
        <v/>
      </c>
    </row>
    <row r="280">
      <c r="A280" s="41">
        <f>DAMAS_Daily!A280</f>
        <v/>
      </c>
      <c r="B280" s="42">
        <f>DAMAS_Daily!B280</f>
        <v/>
      </c>
      <c r="C280" s="42">
        <f>IF((power_mw*hours_per_day*damas_afrr_up*capacity_mult_A*stack_capacity*acceptance_rate+(MIN(DAMAS_Daily!C280*market_share_A*acceptance_rate*stack_activation,power_mw*hours_per_day,capacity_mwh))*DAMAS_Daily!E280*activation_mult_A)&gt;=(power_mw*hours_per_day*damas_afrr_down*capacity_mult_A*stack_capacity*acceptance_rate+(MIN(DAMAS_Daily!D280*market_share_A*acceptance_rate*stack_activation,power_mw*hours_per_day,capacity_mwh))*DAMAS_Daily!F280*activation_mult_A),"aFRR+","aFRR-")</f>
        <v/>
      </c>
      <c r="D280" s="43">
        <f>IF(C280="aFRR+",damas_afrr_up*capacity_mult_A,damas_afrr_down*capacity_mult_A)</f>
        <v/>
      </c>
      <c r="E280" s="44">
        <f>acceptance_rate</f>
        <v/>
      </c>
      <c r="F280" s="13">
        <f>IF(C280="aFRR+",power_mw*hours_per_day*damas_afrr_up*capacity_mult_A*stack_capacity*acceptance_rate,power_mw*hours_per_day*damas_afrr_down*capacity_mult_A*stack_capacity*acceptance_rate)</f>
        <v/>
      </c>
      <c r="G280" s="42">
        <f>IF(C280="aFRR+",DAMAS_Daily!I280,DAMAS_Daily!J280)</f>
        <v/>
      </c>
      <c r="H280" s="43">
        <f>IF(C280="aFRR+",DAMAS_Daily!E280,DAMAS_Daily!F280)</f>
        <v/>
      </c>
      <c r="I280" s="43">
        <f>IF(C280="aFRR+",DAMAS_Daily!G280,DAMAS_Daily!H280)</f>
        <v/>
      </c>
      <c r="J280" s="45">
        <f>IF(C280="aFRR+",DAMAS_Daily!C280,DAMAS_Daily!D280)</f>
        <v/>
      </c>
      <c r="K280" s="45">
        <f>IF(C280="aFRR+",MIN(DAMAS_Daily!C280*market_share_A*acceptance_rate*stack_activation,power_mw*hours_per_day,capacity_mwh),MIN(DAMAS_Daily!D280*market_share_A*acceptance_rate*stack_activation,power_mw*hours_per_day,capacity_mwh))</f>
        <v/>
      </c>
      <c r="L280" s="42">
        <f>IF(K280&gt;=capacity_mwh-0.01,"yes","no")</f>
        <v/>
      </c>
      <c r="M280" s="13">
        <f>IF(C280="aFRR+",(MIN(DAMAS_Daily!C280*market_share_A*acceptance_rate*stack_activation,power_mw*hours_per_day,capacity_mwh))*DAMAS_Daily!E280*activation_mult_A,(MIN(DAMAS_Daily!D280*market_share_A*acceptance_rate*stack_activation,power_mw*hours_per_day,capacity_mwh))*DAMAS_Daily!F280*activation_mult_A)</f>
        <v/>
      </c>
      <c r="N280" s="14">
        <f>F280+M280</f>
        <v/>
      </c>
    </row>
    <row r="281">
      <c r="A281" s="41">
        <f>DAMAS_Daily!A281</f>
        <v/>
      </c>
      <c r="B281" s="42">
        <f>DAMAS_Daily!B281</f>
        <v/>
      </c>
      <c r="C281" s="42">
        <f>IF((power_mw*hours_per_day*damas_afrr_up*capacity_mult_A*stack_capacity*acceptance_rate+(MIN(DAMAS_Daily!C281*market_share_A*acceptance_rate*stack_activation,power_mw*hours_per_day,capacity_mwh))*DAMAS_Daily!E281*activation_mult_A)&gt;=(power_mw*hours_per_day*damas_afrr_down*capacity_mult_A*stack_capacity*acceptance_rate+(MIN(DAMAS_Daily!D281*market_share_A*acceptance_rate*stack_activation,power_mw*hours_per_day,capacity_mwh))*DAMAS_Daily!F281*activation_mult_A),"aFRR+","aFRR-")</f>
        <v/>
      </c>
      <c r="D281" s="43">
        <f>IF(C281="aFRR+",damas_afrr_up*capacity_mult_A,damas_afrr_down*capacity_mult_A)</f>
        <v/>
      </c>
      <c r="E281" s="44">
        <f>acceptance_rate</f>
        <v/>
      </c>
      <c r="F281" s="13">
        <f>IF(C281="aFRR+",power_mw*hours_per_day*damas_afrr_up*capacity_mult_A*stack_capacity*acceptance_rate,power_mw*hours_per_day*damas_afrr_down*capacity_mult_A*stack_capacity*acceptance_rate)</f>
        <v/>
      </c>
      <c r="G281" s="42">
        <f>IF(C281="aFRR+",DAMAS_Daily!I281,DAMAS_Daily!J281)</f>
        <v/>
      </c>
      <c r="H281" s="43">
        <f>IF(C281="aFRR+",DAMAS_Daily!E281,DAMAS_Daily!F281)</f>
        <v/>
      </c>
      <c r="I281" s="43">
        <f>IF(C281="aFRR+",DAMAS_Daily!G281,DAMAS_Daily!H281)</f>
        <v/>
      </c>
      <c r="J281" s="45">
        <f>IF(C281="aFRR+",DAMAS_Daily!C281,DAMAS_Daily!D281)</f>
        <v/>
      </c>
      <c r="K281" s="45">
        <f>IF(C281="aFRR+",MIN(DAMAS_Daily!C281*market_share_A*acceptance_rate*stack_activation,power_mw*hours_per_day,capacity_mwh),MIN(DAMAS_Daily!D281*market_share_A*acceptance_rate*stack_activation,power_mw*hours_per_day,capacity_mwh))</f>
        <v/>
      </c>
      <c r="L281" s="42">
        <f>IF(K281&gt;=capacity_mwh-0.01,"yes","no")</f>
        <v/>
      </c>
      <c r="M281" s="13">
        <f>IF(C281="aFRR+",(MIN(DAMAS_Daily!C281*market_share_A*acceptance_rate*stack_activation,power_mw*hours_per_day,capacity_mwh))*DAMAS_Daily!E281*activation_mult_A,(MIN(DAMAS_Daily!D281*market_share_A*acceptance_rate*stack_activation,power_mw*hours_per_day,capacity_mwh))*DAMAS_Daily!F281*activation_mult_A)</f>
        <v/>
      </c>
      <c r="N281" s="14">
        <f>F281+M281</f>
        <v/>
      </c>
    </row>
    <row r="282">
      <c r="A282" s="41">
        <f>DAMAS_Daily!A282</f>
        <v/>
      </c>
      <c r="B282" s="42">
        <f>DAMAS_Daily!B282</f>
        <v/>
      </c>
      <c r="C282" s="42">
        <f>IF((power_mw*hours_per_day*damas_afrr_up*capacity_mult_A*stack_capacity*acceptance_rate+(MIN(DAMAS_Daily!C282*market_share_A*acceptance_rate*stack_activation,power_mw*hours_per_day,capacity_mwh))*DAMAS_Daily!E282*activation_mult_A)&gt;=(power_mw*hours_per_day*damas_afrr_down*capacity_mult_A*stack_capacity*acceptance_rate+(MIN(DAMAS_Daily!D282*market_share_A*acceptance_rate*stack_activation,power_mw*hours_per_day,capacity_mwh))*DAMAS_Daily!F282*activation_mult_A),"aFRR+","aFRR-")</f>
        <v/>
      </c>
      <c r="D282" s="43">
        <f>IF(C282="aFRR+",damas_afrr_up*capacity_mult_A,damas_afrr_down*capacity_mult_A)</f>
        <v/>
      </c>
      <c r="E282" s="44">
        <f>acceptance_rate</f>
        <v/>
      </c>
      <c r="F282" s="13">
        <f>IF(C282="aFRR+",power_mw*hours_per_day*damas_afrr_up*capacity_mult_A*stack_capacity*acceptance_rate,power_mw*hours_per_day*damas_afrr_down*capacity_mult_A*stack_capacity*acceptance_rate)</f>
        <v/>
      </c>
      <c r="G282" s="42">
        <f>IF(C282="aFRR+",DAMAS_Daily!I282,DAMAS_Daily!J282)</f>
        <v/>
      </c>
      <c r="H282" s="43">
        <f>IF(C282="aFRR+",DAMAS_Daily!E282,DAMAS_Daily!F282)</f>
        <v/>
      </c>
      <c r="I282" s="43">
        <f>IF(C282="aFRR+",DAMAS_Daily!G282,DAMAS_Daily!H282)</f>
        <v/>
      </c>
      <c r="J282" s="45">
        <f>IF(C282="aFRR+",DAMAS_Daily!C282,DAMAS_Daily!D282)</f>
        <v/>
      </c>
      <c r="K282" s="45">
        <f>IF(C282="aFRR+",MIN(DAMAS_Daily!C282*market_share_A*acceptance_rate*stack_activation,power_mw*hours_per_day,capacity_mwh),MIN(DAMAS_Daily!D282*market_share_A*acceptance_rate*stack_activation,power_mw*hours_per_day,capacity_mwh))</f>
        <v/>
      </c>
      <c r="L282" s="42">
        <f>IF(K282&gt;=capacity_mwh-0.01,"yes","no")</f>
        <v/>
      </c>
      <c r="M282" s="13">
        <f>IF(C282="aFRR+",(MIN(DAMAS_Daily!C282*market_share_A*acceptance_rate*stack_activation,power_mw*hours_per_day,capacity_mwh))*DAMAS_Daily!E282*activation_mult_A,(MIN(DAMAS_Daily!D282*market_share_A*acceptance_rate*stack_activation,power_mw*hours_per_day,capacity_mwh))*DAMAS_Daily!F282*activation_mult_A)</f>
        <v/>
      </c>
      <c r="N282" s="14">
        <f>F282+M282</f>
        <v/>
      </c>
    </row>
    <row r="283">
      <c r="A283" s="41">
        <f>DAMAS_Daily!A283</f>
        <v/>
      </c>
      <c r="B283" s="42">
        <f>DAMAS_Daily!B283</f>
        <v/>
      </c>
      <c r="C283" s="42">
        <f>IF((power_mw*hours_per_day*damas_afrr_up*capacity_mult_A*stack_capacity*acceptance_rate+(MIN(DAMAS_Daily!C283*market_share_A*acceptance_rate*stack_activation,power_mw*hours_per_day,capacity_mwh))*DAMAS_Daily!E283*activation_mult_A)&gt;=(power_mw*hours_per_day*damas_afrr_down*capacity_mult_A*stack_capacity*acceptance_rate+(MIN(DAMAS_Daily!D283*market_share_A*acceptance_rate*stack_activation,power_mw*hours_per_day,capacity_mwh))*DAMAS_Daily!F283*activation_mult_A),"aFRR+","aFRR-")</f>
        <v/>
      </c>
      <c r="D283" s="43">
        <f>IF(C283="aFRR+",damas_afrr_up*capacity_mult_A,damas_afrr_down*capacity_mult_A)</f>
        <v/>
      </c>
      <c r="E283" s="44">
        <f>acceptance_rate</f>
        <v/>
      </c>
      <c r="F283" s="13">
        <f>IF(C283="aFRR+",power_mw*hours_per_day*damas_afrr_up*capacity_mult_A*stack_capacity*acceptance_rate,power_mw*hours_per_day*damas_afrr_down*capacity_mult_A*stack_capacity*acceptance_rate)</f>
        <v/>
      </c>
      <c r="G283" s="42">
        <f>IF(C283="aFRR+",DAMAS_Daily!I283,DAMAS_Daily!J283)</f>
        <v/>
      </c>
      <c r="H283" s="43">
        <f>IF(C283="aFRR+",DAMAS_Daily!E283,DAMAS_Daily!F283)</f>
        <v/>
      </c>
      <c r="I283" s="43">
        <f>IF(C283="aFRR+",DAMAS_Daily!G283,DAMAS_Daily!H283)</f>
        <v/>
      </c>
      <c r="J283" s="45">
        <f>IF(C283="aFRR+",DAMAS_Daily!C283,DAMAS_Daily!D283)</f>
        <v/>
      </c>
      <c r="K283" s="45">
        <f>IF(C283="aFRR+",MIN(DAMAS_Daily!C283*market_share_A*acceptance_rate*stack_activation,power_mw*hours_per_day,capacity_mwh),MIN(DAMAS_Daily!D283*market_share_A*acceptance_rate*stack_activation,power_mw*hours_per_day,capacity_mwh))</f>
        <v/>
      </c>
      <c r="L283" s="42">
        <f>IF(K283&gt;=capacity_mwh-0.01,"yes","no")</f>
        <v/>
      </c>
      <c r="M283" s="13">
        <f>IF(C283="aFRR+",(MIN(DAMAS_Daily!C283*market_share_A*acceptance_rate*stack_activation,power_mw*hours_per_day,capacity_mwh))*DAMAS_Daily!E283*activation_mult_A,(MIN(DAMAS_Daily!D283*market_share_A*acceptance_rate*stack_activation,power_mw*hours_per_day,capacity_mwh))*DAMAS_Daily!F283*activation_mult_A)</f>
        <v/>
      </c>
      <c r="N283" s="14">
        <f>F283+M283</f>
        <v/>
      </c>
    </row>
    <row r="284">
      <c r="A284" s="41">
        <f>DAMAS_Daily!A284</f>
        <v/>
      </c>
      <c r="B284" s="42">
        <f>DAMAS_Daily!B284</f>
        <v/>
      </c>
      <c r="C284" s="42">
        <f>IF((power_mw*hours_per_day*damas_afrr_up*capacity_mult_A*stack_capacity*acceptance_rate+(MIN(DAMAS_Daily!C284*market_share_A*acceptance_rate*stack_activation,power_mw*hours_per_day,capacity_mwh))*DAMAS_Daily!E284*activation_mult_A)&gt;=(power_mw*hours_per_day*damas_afrr_down*capacity_mult_A*stack_capacity*acceptance_rate+(MIN(DAMAS_Daily!D284*market_share_A*acceptance_rate*stack_activation,power_mw*hours_per_day,capacity_mwh))*DAMAS_Daily!F284*activation_mult_A),"aFRR+","aFRR-")</f>
        <v/>
      </c>
      <c r="D284" s="43">
        <f>IF(C284="aFRR+",damas_afrr_up*capacity_mult_A,damas_afrr_down*capacity_mult_A)</f>
        <v/>
      </c>
      <c r="E284" s="44">
        <f>acceptance_rate</f>
        <v/>
      </c>
      <c r="F284" s="13">
        <f>IF(C284="aFRR+",power_mw*hours_per_day*damas_afrr_up*capacity_mult_A*stack_capacity*acceptance_rate,power_mw*hours_per_day*damas_afrr_down*capacity_mult_A*stack_capacity*acceptance_rate)</f>
        <v/>
      </c>
      <c r="G284" s="42">
        <f>IF(C284="aFRR+",DAMAS_Daily!I284,DAMAS_Daily!J284)</f>
        <v/>
      </c>
      <c r="H284" s="43">
        <f>IF(C284="aFRR+",DAMAS_Daily!E284,DAMAS_Daily!F284)</f>
        <v/>
      </c>
      <c r="I284" s="43">
        <f>IF(C284="aFRR+",DAMAS_Daily!G284,DAMAS_Daily!H284)</f>
        <v/>
      </c>
      <c r="J284" s="45">
        <f>IF(C284="aFRR+",DAMAS_Daily!C284,DAMAS_Daily!D284)</f>
        <v/>
      </c>
      <c r="K284" s="45">
        <f>IF(C284="aFRR+",MIN(DAMAS_Daily!C284*market_share_A*acceptance_rate*stack_activation,power_mw*hours_per_day,capacity_mwh),MIN(DAMAS_Daily!D284*market_share_A*acceptance_rate*stack_activation,power_mw*hours_per_day,capacity_mwh))</f>
        <v/>
      </c>
      <c r="L284" s="42">
        <f>IF(K284&gt;=capacity_mwh-0.01,"yes","no")</f>
        <v/>
      </c>
      <c r="M284" s="13">
        <f>IF(C284="aFRR+",(MIN(DAMAS_Daily!C284*market_share_A*acceptance_rate*stack_activation,power_mw*hours_per_day,capacity_mwh))*DAMAS_Daily!E284*activation_mult_A,(MIN(DAMAS_Daily!D284*market_share_A*acceptance_rate*stack_activation,power_mw*hours_per_day,capacity_mwh))*DAMAS_Daily!F284*activation_mult_A)</f>
        <v/>
      </c>
      <c r="N284" s="14">
        <f>F284+M284</f>
        <v/>
      </c>
    </row>
    <row r="285">
      <c r="A285" s="41">
        <f>DAMAS_Daily!A285</f>
        <v/>
      </c>
      <c r="B285" s="42">
        <f>DAMAS_Daily!B285</f>
        <v/>
      </c>
      <c r="C285" s="42">
        <f>IF((power_mw*hours_per_day*damas_afrr_up*capacity_mult_A*stack_capacity*acceptance_rate+(MIN(DAMAS_Daily!C285*market_share_A*acceptance_rate*stack_activation,power_mw*hours_per_day,capacity_mwh))*DAMAS_Daily!E285*activation_mult_A)&gt;=(power_mw*hours_per_day*damas_afrr_down*capacity_mult_A*stack_capacity*acceptance_rate+(MIN(DAMAS_Daily!D285*market_share_A*acceptance_rate*stack_activation,power_mw*hours_per_day,capacity_mwh))*DAMAS_Daily!F285*activation_mult_A),"aFRR+","aFRR-")</f>
        <v/>
      </c>
      <c r="D285" s="43">
        <f>IF(C285="aFRR+",damas_afrr_up*capacity_mult_A,damas_afrr_down*capacity_mult_A)</f>
        <v/>
      </c>
      <c r="E285" s="44">
        <f>acceptance_rate</f>
        <v/>
      </c>
      <c r="F285" s="13">
        <f>IF(C285="aFRR+",power_mw*hours_per_day*damas_afrr_up*capacity_mult_A*stack_capacity*acceptance_rate,power_mw*hours_per_day*damas_afrr_down*capacity_mult_A*stack_capacity*acceptance_rate)</f>
        <v/>
      </c>
      <c r="G285" s="42">
        <f>IF(C285="aFRR+",DAMAS_Daily!I285,DAMAS_Daily!J285)</f>
        <v/>
      </c>
      <c r="H285" s="43">
        <f>IF(C285="aFRR+",DAMAS_Daily!E285,DAMAS_Daily!F285)</f>
        <v/>
      </c>
      <c r="I285" s="43">
        <f>IF(C285="aFRR+",DAMAS_Daily!G285,DAMAS_Daily!H285)</f>
        <v/>
      </c>
      <c r="J285" s="45">
        <f>IF(C285="aFRR+",DAMAS_Daily!C285,DAMAS_Daily!D285)</f>
        <v/>
      </c>
      <c r="K285" s="45">
        <f>IF(C285="aFRR+",MIN(DAMAS_Daily!C285*market_share_A*acceptance_rate*stack_activation,power_mw*hours_per_day,capacity_mwh),MIN(DAMAS_Daily!D285*market_share_A*acceptance_rate*stack_activation,power_mw*hours_per_day,capacity_mwh))</f>
        <v/>
      </c>
      <c r="L285" s="42">
        <f>IF(K285&gt;=capacity_mwh-0.01,"yes","no")</f>
        <v/>
      </c>
      <c r="M285" s="13">
        <f>IF(C285="aFRR+",(MIN(DAMAS_Daily!C285*market_share_A*acceptance_rate*stack_activation,power_mw*hours_per_day,capacity_mwh))*DAMAS_Daily!E285*activation_mult_A,(MIN(DAMAS_Daily!D285*market_share_A*acceptance_rate*stack_activation,power_mw*hours_per_day,capacity_mwh))*DAMAS_Daily!F285*activation_mult_A)</f>
        <v/>
      </c>
      <c r="N285" s="14">
        <f>F285+M285</f>
        <v/>
      </c>
    </row>
    <row r="286">
      <c r="A286" s="41">
        <f>DAMAS_Daily!A286</f>
        <v/>
      </c>
      <c r="B286" s="42">
        <f>DAMAS_Daily!B286</f>
        <v/>
      </c>
      <c r="C286" s="42">
        <f>IF((power_mw*hours_per_day*damas_afrr_up*capacity_mult_A*stack_capacity*acceptance_rate+(MIN(DAMAS_Daily!C286*market_share_A*acceptance_rate*stack_activation,power_mw*hours_per_day,capacity_mwh))*DAMAS_Daily!E286*activation_mult_A)&gt;=(power_mw*hours_per_day*damas_afrr_down*capacity_mult_A*stack_capacity*acceptance_rate+(MIN(DAMAS_Daily!D286*market_share_A*acceptance_rate*stack_activation,power_mw*hours_per_day,capacity_mwh))*DAMAS_Daily!F286*activation_mult_A),"aFRR+","aFRR-")</f>
        <v/>
      </c>
      <c r="D286" s="43">
        <f>IF(C286="aFRR+",damas_afrr_up*capacity_mult_A,damas_afrr_down*capacity_mult_A)</f>
        <v/>
      </c>
      <c r="E286" s="44">
        <f>acceptance_rate</f>
        <v/>
      </c>
      <c r="F286" s="13">
        <f>IF(C286="aFRR+",power_mw*hours_per_day*damas_afrr_up*capacity_mult_A*stack_capacity*acceptance_rate,power_mw*hours_per_day*damas_afrr_down*capacity_mult_A*stack_capacity*acceptance_rate)</f>
        <v/>
      </c>
      <c r="G286" s="42">
        <f>IF(C286="aFRR+",DAMAS_Daily!I286,DAMAS_Daily!J286)</f>
        <v/>
      </c>
      <c r="H286" s="43">
        <f>IF(C286="aFRR+",DAMAS_Daily!E286,DAMAS_Daily!F286)</f>
        <v/>
      </c>
      <c r="I286" s="43">
        <f>IF(C286="aFRR+",DAMAS_Daily!G286,DAMAS_Daily!H286)</f>
        <v/>
      </c>
      <c r="J286" s="45">
        <f>IF(C286="aFRR+",DAMAS_Daily!C286,DAMAS_Daily!D286)</f>
        <v/>
      </c>
      <c r="K286" s="45">
        <f>IF(C286="aFRR+",MIN(DAMAS_Daily!C286*market_share_A*acceptance_rate*stack_activation,power_mw*hours_per_day,capacity_mwh),MIN(DAMAS_Daily!D286*market_share_A*acceptance_rate*stack_activation,power_mw*hours_per_day,capacity_mwh))</f>
        <v/>
      </c>
      <c r="L286" s="42">
        <f>IF(K286&gt;=capacity_mwh-0.01,"yes","no")</f>
        <v/>
      </c>
      <c r="M286" s="13">
        <f>IF(C286="aFRR+",(MIN(DAMAS_Daily!C286*market_share_A*acceptance_rate*stack_activation,power_mw*hours_per_day,capacity_mwh))*DAMAS_Daily!E286*activation_mult_A,(MIN(DAMAS_Daily!D286*market_share_A*acceptance_rate*stack_activation,power_mw*hours_per_day,capacity_mwh))*DAMAS_Daily!F286*activation_mult_A)</f>
        <v/>
      </c>
      <c r="N286" s="14">
        <f>F286+M286</f>
        <v/>
      </c>
    </row>
    <row r="287">
      <c r="A287" s="41">
        <f>DAMAS_Daily!A287</f>
        <v/>
      </c>
      <c r="B287" s="42">
        <f>DAMAS_Daily!B287</f>
        <v/>
      </c>
      <c r="C287" s="42">
        <f>IF((power_mw*hours_per_day*damas_afrr_up*capacity_mult_A*stack_capacity*acceptance_rate+(MIN(DAMAS_Daily!C287*market_share_A*acceptance_rate*stack_activation,power_mw*hours_per_day,capacity_mwh))*DAMAS_Daily!E287*activation_mult_A)&gt;=(power_mw*hours_per_day*damas_afrr_down*capacity_mult_A*stack_capacity*acceptance_rate+(MIN(DAMAS_Daily!D287*market_share_A*acceptance_rate*stack_activation,power_mw*hours_per_day,capacity_mwh))*DAMAS_Daily!F287*activation_mult_A),"aFRR+","aFRR-")</f>
        <v/>
      </c>
      <c r="D287" s="43">
        <f>IF(C287="aFRR+",damas_afrr_up*capacity_mult_A,damas_afrr_down*capacity_mult_A)</f>
        <v/>
      </c>
      <c r="E287" s="44">
        <f>acceptance_rate</f>
        <v/>
      </c>
      <c r="F287" s="13">
        <f>IF(C287="aFRR+",power_mw*hours_per_day*damas_afrr_up*capacity_mult_A*stack_capacity*acceptance_rate,power_mw*hours_per_day*damas_afrr_down*capacity_mult_A*stack_capacity*acceptance_rate)</f>
        <v/>
      </c>
      <c r="G287" s="42">
        <f>IF(C287="aFRR+",DAMAS_Daily!I287,DAMAS_Daily!J287)</f>
        <v/>
      </c>
      <c r="H287" s="43">
        <f>IF(C287="aFRR+",DAMAS_Daily!E287,DAMAS_Daily!F287)</f>
        <v/>
      </c>
      <c r="I287" s="43">
        <f>IF(C287="aFRR+",DAMAS_Daily!G287,DAMAS_Daily!H287)</f>
        <v/>
      </c>
      <c r="J287" s="45">
        <f>IF(C287="aFRR+",DAMAS_Daily!C287,DAMAS_Daily!D287)</f>
        <v/>
      </c>
      <c r="K287" s="45">
        <f>IF(C287="aFRR+",MIN(DAMAS_Daily!C287*market_share_A*acceptance_rate*stack_activation,power_mw*hours_per_day,capacity_mwh),MIN(DAMAS_Daily!D287*market_share_A*acceptance_rate*stack_activation,power_mw*hours_per_day,capacity_mwh))</f>
        <v/>
      </c>
      <c r="L287" s="42">
        <f>IF(K287&gt;=capacity_mwh-0.01,"yes","no")</f>
        <v/>
      </c>
      <c r="M287" s="13">
        <f>IF(C287="aFRR+",(MIN(DAMAS_Daily!C287*market_share_A*acceptance_rate*stack_activation,power_mw*hours_per_day,capacity_mwh))*DAMAS_Daily!E287*activation_mult_A,(MIN(DAMAS_Daily!D287*market_share_A*acceptance_rate*stack_activation,power_mw*hours_per_day,capacity_mwh))*DAMAS_Daily!F287*activation_mult_A)</f>
        <v/>
      </c>
      <c r="N287" s="14">
        <f>F287+M287</f>
        <v/>
      </c>
    </row>
    <row r="288">
      <c r="A288" s="41">
        <f>DAMAS_Daily!A288</f>
        <v/>
      </c>
      <c r="B288" s="42">
        <f>DAMAS_Daily!B288</f>
        <v/>
      </c>
      <c r="C288" s="42">
        <f>IF((power_mw*hours_per_day*damas_afrr_up*capacity_mult_A*stack_capacity*acceptance_rate+(MIN(DAMAS_Daily!C288*market_share_A*acceptance_rate*stack_activation,power_mw*hours_per_day,capacity_mwh))*DAMAS_Daily!E288*activation_mult_A)&gt;=(power_mw*hours_per_day*damas_afrr_down*capacity_mult_A*stack_capacity*acceptance_rate+(MIN(DAMAS_Daily!D288*market_share_A*acceptance_rate*stack_activation,power_mw*hours_per_day,capacity_mwh))*DAMAS_Daily!F288*activation_mult_A),"aFRR+","aFRR-")</f>
        <v/>
      </c>
      <c r="D288" s="43">
        <f>IF(C288="aFRR+",damas_afrr_up*capacity_mult_A,damas_afrr_down*capacity_mult_A)</f>
        <v/>
      </c>
      <c r="E288" s="44">
        <f>acceptance_rate</f>
        <v/>
      </c>
      <c r="F288" s="13">
        <f>IF(C288="aFRR+",power_mw*hours_per_day*damas_afrr_up*capacity_mult_A*stack_capacity*acceptance_rate,power_mw*hours_per_day*damas_afrr_down*capacity_mult_A*stack_capacity*acceptance_rate)</f>
        <v/>
      </c>
      <c r="G288" s="42">
        <f>IF(C288="aFRR+",DAMAS_Daily!I288,DAMAS_Daily!J288)</f>
        <v/>
      </c>
      <c r="H288" s="43">
        <f>IF(C288="aFRR+",DAMAS_Daily!E288,DAMAS_Daily!F288)</f>
        <v/>
      </c>
      <c r="I288" s="43">
        <f>IF(C288="aFRR+",DAMAS_Daily!G288,DAMAS_Daily!H288)</f>
        <v/>
      </c>
      <c r="J288" s="45">
        <f>IF(C288="aFRR+",DAMAS_Daily!C288,DAMAS_Daily!D288)</f>
        <v/>
      </c>
      <c r="K288" s="45">
        <f>IF(C288="aFRR+",MIN(DAMAS_Daily!C288*market_share_A*acceptance_rate*stack_activation,power_mw*hours_per_day,capacity_mwh),MIN(DAMAS_Daily!D288*market_share_A*acceptance_rate*stack_activation,power_mw*hours_per_day,capacity_mwh))</f>
        <v/>
      </c>
      <c r="L288" s="42">
        <f>IF(K288&gt;=capacity_mwh-0.01,"yes","no")</f>
        <v/>
      </c>
      <c r="M288" s="13">
        <f>IF(C288="aFRR+",(MIN(DAMAS_Daily!C288*market_share_A*acceptance_rate*stack_activation,power_mw*hours_per_day,capacity_mwh))*DAMAS_Daily!E288*activation_mult_A,(MIN(DAMAS_Daily!D288*market_share_A*acceptance_rate*stack_activation,power_mw*hours_per_day,capacity_mwh))*DAMAS_Daily!F288*activation_mult_A)</f>
        <v/>
      </c>
      <c r="N288" s="14">
        <f>F288+M288</f>
        <v/>
      </c>
    </row>
    <row r="289">
      <c r="A289" s="41">
        <f>DAMAS_Daily!A289</f>
        <v/>
      </c>
      <c r="B289" s="42">
        <f>DAMAS_Daily!B289</f>
        <v/>
      </c>
      <c r="C289" s="42">
        <f>IF((power_mw*hours_per_day*damas_afrr_up*capacity_mult_A*stack_capacity*acceptance_rate+(MIN(DAMAS_Daily!C289*market_share_A*acceptance_rate*stack_activation,power_mw*hours_per_day,capacity_mwh))*DAMAS_Daily!E289*activation_mult_A)&gt;=(power_mw*hours_per_day*damas_afrr_down*capacity_mult_A*stack_capacity*acceptance_rate+(MIN(DAMAS_Daily!D289*market_share_A*acceptance_rate*stack_activation,power_mw*hours_per_day,capacity_mwh))*DAMAS_Daily!F289*activation_mult_A),"aFRR+","aFRR-")</f>
        <v/>
      </c>
      <c r="D289" s="43">
        <f>IF(C289="aFRR+",damas_afrr_up*capacity_mult_A,damas_afrr_down*capacity_mult_A)</f>
        <v/>
      </c>
      <c r="E289" s="44">
        <f>acceptance_rate</f>
        <v/>
      </c>
      <c r="F289" s="13">
        <f>IF(C289="aFRR+",power_mw*hours_per_day*damas_afrr_up*capacity_mult_A*stack_capacity*acceptance_rate,power_mw*hours_per_day*damas_afrr_down*capacity_mult_A*stack_capacity*acceptance_rate)</f>
        <v/>
      </c>
      <c r="G289" s="42">
        <f>IF(C289="aFRR+",DAMAS_Daily!I289,DAMAS_Daily!J289)</f>
        <v/>
      </c>
      <c r="H289" s="43">
        <f>IF(C289="aFRR+",DAMAS_Daily!E289,DAMAS_Daily!F289)</f>
        <v/>
      </c>
      <c r="I289" s="43">
        <f>IF(C289="aFRR+",DAMAS_Daily!G289,DAMAS_Daily!H289)</f>
        <v/>
      </c>
      <c r="J289" s="45">
        <f>IF(C289="aFRR+",DAMAS_Daily!C289,DAMAS_Daily!D289)</f>
        <v/>
      </c>
      <c r="K289" s="45">
        <f>IF(C289="aFRR+",MIN(DAMAS_Daily!C289*market_share_A*acceptance_rate*stack_activation,power_mw*hours_per_day,capacity_mwh),MIN(DAMAS_Daily!D289*market_share_A*acceptance_rate*stack_activation,power_mw*hours_per_day,capacity_mwh))</f>
        <v/>
      </c>
      <c r="L289" s="42">
        <f>IF(K289&gt;=capacity_mwh-0.01,"yes","no")</f>
        <v/>
      </c>
      <c r="M289" s="13">
        <f>IF(C289="aFRR+",(MIN(DAMAS_Daily!C289*market_share_A*acceptance_rate*stack_activation,power_mw*hours_per_day,capacity_mwh))*DAMAS_Daily!E289*activation_mult_A,(MIN(DAMAS_Daily!D289*market_share_A*acceptance_rate*stack_activation,power_mw*hours_per_day,capacity_mwh))*DAMAS_Daily!F289*activation_mult_A)</f>
        <v/>
      </c>
      <c r="N289" s="14">
        <f>F289+M289</f>
        <v/>
      </c>
    </row>
    <row r="290">
      <c r="A290" s="41">
        <f>DAMAS_Daily!A290</f>
        <v/>
      </c>
      <c r="B290" s="42">
        <f>DAMAS_Daily!B290</f>
        <v/>
      </c>
      <c r="C290" s="42">
        <f>IF((power_mw*hours_per_day*damas_afrr_up*capacity_mult_A*stack_capacity*acceptance_rate+(MIN(DAMAS_Daily!C290*market_share_A*acceptance_rate*stack_activation,power_mw*hours_per_day,capacity_mwh))*DAMAS_Daily!E290*activation_mult_A)&gt;=(power_mw*hours_per_day*damas_afrr_down*capacity_mult_A*stack_capacity*acceptance_rate+(MIN(DAMAS_Daily!D290*market_share_A*acceptance_rate*stack_activation,power_mw*hours_per_day,capacity_mwh))*DAMAS_Daily!F290*activation_mult_A),"aFRR+","aFRR-")</f>
        <v/>
      </c>
      <c r="D290" s="43">
        <f>IF(C290="aFRR+",damas_afrr_up*capacity_mult_A,damas_afrr_down*capacity_mult_A)</f>
        <v/>
      </c>
      <c r="E290" s="44">
        <f>acceptance_rate</f>
        <v/>
      </c>
      <c r="F290" s="13">
        <f>IF(C290="aFRR+",power_mw*hours_per_day*damas_afrr_up*capacity_mult_A*stack_capacity*acceptance_rate,power_mw*hours_per_day*damas_afrr_down*capacity_mult_A*stack_capacity*acceptance_rate)</f>
        <v/>
      </c>
      <c r="G290" s="42">
        <f>IF(C290="aFRR+",DAMAS_Daily!I290,DAMAS_Daily!J290)</f>
        <v/>
      </c>
      <c r="H290" s="43">
        <f>IF(C290="aFRR+",DAMAS_Daily!E290,DAMAS_Daily!F290)</f>
        <v/>
      </c>
      <c r="I290" s="43">
        <f>IF(C290="aFRR+",DAMAS_Daily!G290,DAMAS_Daily!H290)</f>
        <v/>
      </c>
      <c r="J290" s="45">
        <f>IF(C290="aFRR+",DAMAS_Daily!C290,DAMAS_Daily!D290)</f>
        <v/>
      </c>
      <c r="K290" s="45">
        <f>IF(C290="aFRR+",MIN(DAMAS_Daily!C290*market_share_A*acceptance_rate*stack_activation,power_mw*hours_per_day,capacity_mwh),MIN(DAMAS_Daily!D290*market_share_A*acceptance_rate*stack_activation,power_mw*hours_per_day,capacity_mwh))</f>
        <v/>
      </c>
      <c r="L290" s="42">
        <f>IF(K290&gt;=capacity_mwh-0.01,"yes","no")</f>
        <v/>
      </c>
      <c r="M290" s="13">
        <f>IF(C290="aFRR+",(MIN(DAMAS_Daily!C290*market_share_A*acceptance_rate*stack_activation,power_mw*hours_per_day,capacity_mwh))*DAMAS_Daily!E290*activation_mult_A,(MIN(DAMAS_Daily!D290*market_share_A*acceptance_rate*stack_activation,power_mw*hours_per_day,capacity_mwh))*DAMAS_Daily!F290*activation_mult_A)</f>
        <v/>
      </c>
      <c r="N290" s="14">
        <f>F290+M290</f>
        <v/>
      </c>
    </row>
    <row r="291">
      <c r="A291" s="41">
        <f>DAMAS_Daily!A291</f>
        <v/>
      </c>
      <c r="B291" s="42">
        <f>DAMAS_Daily!B291</f>
        <v/>
      </c>
      <c r="C291" s="42">
        <f>IF((power_mw*hours_per_day*damas_afrr_up*capacity_mult_A*stack_capacity*acceptance_rate+(MIN(DAMAS_Daily!C291*market_share_A*acceptance_rate*stack_activation,power_mw*hours_per_day,capacity_mwh))*DAMAS_Daily!E291*activation_mult_A)&gt;=(power_mw*hours_per_day*damas_afrr_down*capacity_mult_A*stack_capacity*acceptance_rate+(MIN(DAMAS_Daily!D291*market_share_A*acceptance_rate*stack_activation,power_mw*hours_per_day,capacity_mwh))*DAMAS_Daily!F291*activation_mult_A),"aFRR+","aFRR-")</f>
        <v/>
      </c>
      <c r="D291" s="43">
        <f>IF(C291="aFRR+",damas_afrr_up*capacity_mult_A,damas_afrr_down*capacity_mult_A)</f>
        <v/>
      </c>
      <c r="E291" s="44">
        <f>acceptance_rate</f>
        <v/>
      </c>
      <c r="F291" s="13">
        <f>IF(C291="aFRR+",power_mw*hours_per_day*damas_afrr_up*capacity_mult_A*stack_capacity*acceptance_rate,power_mw*hours_per_day*damas_afrr_down*capacity_mult_A*stack_capacity*acceptance_rate)</f>
        <v/>
      </c>
      <c r="G291" s="42">
        <f>IF(C291="aFRR+",DAMAS_Daily!I291,DAMAS_Daily!J291)</f>
        <v/>
      </c>
      <c r="H291" s="43">
        <f>IF(C291="aFRR+",DAMAS_Daily!E291,DAMAS_Daily!F291)</f>
        <v/>
      </c>
      <c r="I291" s="43">
        <f>IF(C291="aFRR+",DAMAS_Daily!G291,DAMAS_Daily!H291)</f>
        <v/>
      </c>
      <c r="J291" s="45">
        <f>IF(C291="aFRR+",DAMAS_Daily!C291,DAMAS_Daily!D291)</f>
        <v/>
      </c>
      <c r="K291" s="45">
        <f>IF(C291="aFRR+",MIN(DAMAS_Daily!C291*market_share_A*acceptance_rate*stack_activation,power_mw*hours_per_day,capacity_mwh),MIN(DAMAS_Daily!D291*market_share_A*acceptance_rate*stack_activation,power_mw*hours_per_day,capacity_mwh))</f>
        <v/>
      </c>
      <c r="L291" s="42">
        <f>IF(K291&gt;=capacity_mwh-0.01,"yes","no")</f>
        <v/>
      </c>
      <c r="M291" s="13">
        <f>IF(C291="aFRR+",(MIN(DAMAS_Daily!C291*market_share_A*acceptance_rate*stack_activation,power_mw*hours_per_day,capacity_mwh))*DAMAS_Daily!E291*activation_mult_A,(MIN(DAMAS_Daily!D291*market_share_A*acceptance_rate*stack_activation,power_mw*hours_per_day,capacity_mwh))*DAMAS_Daily!F291*activation_mult_A)</f>
        <v/>
      </c>
      <c r="N291" s="14">
        <f>F291+M291</f>
        <v/>
      </c>
    </row>
    <row r="292">
      <c r="A292" s="41">
        <f>DAMAS_Daily!A292</f>
        <v/>
      </c>
      <c r="B292" s="42">
        <f>DAMAS_Daily!B292</f>
        <v/>
      </c>
      <c r="C292" s="42">
        <f>IF((power_mw*hours_per_day*damas_afrr_up*capacity_mult_A*stack_capacity*acceptance_rate+(MIN(DAMAS_Daily!C292*market_share_A*acceptance_rate*stack_activation,power_mw*hours_per_day,capacity_mwh))*DAMAS_Daily!E292*activation_mult_A)&gt;=(power_mw*hours_per_day*damas_afrr_down*capacity_mult_A*stack_capacity*acceptance_rate+(MIN(DAMAS_Daily!D292*market_share_A*acceptance_rate*stack_activation,power_mw*hours_per_day,capacity_mwh))*DAMAS_Daily!F292*activation_mult_A),"aFRR+","aFRR-")</f>
        <v/>
      </c>
      <c r="D292" s="43">
        <f>IF(C292="aFRR+",damas_afrr_up*capacity_mult_A,damas_afrr_down*capacity_mult_A)</f>
        <v/>
      </c>
      <c r="E292" s="44">
        <f>acceptance_rate</f>
        <v/>
      </c>
      <c r="F292" s="13">
        <f>IF(C292="aFRR+",power_mw*hours_per_day*damas_afrr_up*capacity_mult_A*stack_capacity*acceptance_rate,power_mw*hours_per_day*damas_afrr_down*capacity_mult_A*stack_capacity*acceptance_rate)</f>
        <v/>
      </c>
      <c r="G292" s="42">
        <f>IF(C292="aFRR+",DAMAS_Daily!I292,DAMAS_Daily!J292)</f>
        <v/>
      </c>
      <c r="H292" s="43">
        <f>IF(C292="aFRR+",DAMAS_Daily!E292,DAMAS_Daily!F292)</f>
        <v/>
      </c>
      <c r="I292" s="43">
        <f>IF(C292="aFRR+",DAMAS_Daily!G292,DAMAS_Daily!H292)</f>
        <v/>
      </c>
      <c r="J292" s="45">
        <f>IF(C292="aFRR+",DAMAS_Daily!C292,DAMAS_Daily!D292)</f>
        <v/>
      </c>
      <c r="K292" s="45">
        <f>IF(C292="aFRR+",MIN(DAMAS_Daily!C292*market_share_A*acceptance_rate*stack_activation,power_mw*hours_per_day,capacity_mwh),MIN(DAMAS_Daily!D292*market_share_A*acceptance_rate*stack_activation,power_mw*hours_per_day,capacity_mwh))</f>
        <v/>
      </c>
      <c r="L292" s="42">
        <f>IF(K292&gt;=capacity_mwh-0.01,"yes","no")</f>
        <v/>
      </c>
      <c r="M292" s="13">
        <f>IF(C292="aFRR+",(MIN(DAMAS_Daily!C292*market_share_A*acceptance_rate*stack_activation,power_mw*hours_per_day,capacity_mwh))*DAMAS_Daily!E292*activation_mult_A,(MIN(DAMAS_Daily!D292*market_share_A*acceptance_rate*stack_activation,power_mw*hours_per_day,capacity_mwh))*DAMAS_Daily!F292*activation_mult_A)</f>
        <v/>
      </c>
      <c r="N292" s="14">
        <f>F292+M292</f>
        <v/>
      </c>
    </row>
    <row r="293">
      <c r="A293" s="41">
        <f>DAMAS_Daily!A293</f>
        <v/>
      </c>
      <c r="B293" s="42">
        <f>DAMAS_Daily!B293</f>
        <v/>
      </c>
      <c r="C293" s="42">
        <f>IF((power_mw*hours_per_day*damas_afrr_up*capacity_mult_A*stack_capacity*acceptance_rate+(MIN(DAMAS_Daily!C293*market_share_A*acceptance_rate*stack_activation,power_mw*hours_per_day,capacity_mwh))*DAMAS_Daily!E293*activation_mult_A)&gt;=(power_mw*hours_per_day*damas_afrr_down*capacity_mult_A*stack_capacity*acceptance_rate+(MIN(DAMAS_Daily!D293*market_share_A*acceptance_rate*stack_activation,power_mw*hours_per_day,capacity_mwh))*DAMAS_Daily!F293*activation_mult_A),"aFRR+","aFRR-")</f>
        <v/>
      </c>
      <c r="D293" s="43">
        <f>IF(C293="aFRR+",damas_afrr_up*capacity_mult_A,damas_afrr_down*capacity_mult_A)</f>
        <v/>
      </c>
      <c r="E293" s="44">
        <f>acceptance_rate</f>
        <v/>
      </c>
      <c r="F293" s="13">
        <f>IF(C293="aFRR+",power_mw*hours_per_day*damas_afrr_up*capacity_mult_A*stack_capacity*acceptance_rate,power_mw*hours_per_day*damas_afrr_down*capacity_mult_A*stack_capacity*acceptance_rate)</f>
        <v/>
      </c>
      <c r="G293" s="42">
        <f>IF(C293="aFRR+",DAMAS_Daily!I293,DAMAS_Daily!J293)</f>
        <v/>
      </c>
      <c r="H293" s="43">
        <f>IF(C293="aFRR+",DAMAS_Daily!E293,DAMAS_Daily!F293)</f>
        <v/>
      </c>
      <c r="I293" s="43">
        <f>IF(C293="aFRR+",DAMAS_Daily!G293,DAMAS_Daily!H293)</f>
        <v/>
      </c>
      <c r="J293" s="45">
        <f>IF(C293="aFRR+",DAMAS_Daily!C293,DAMAS_Daily!D293)</f>
        <v/>
      </c>
      <c r="K293" s="45">
        <f>IF(C293="aFRR+",MIN(DAMAS_Daily!C293*market_share_A*acceptance_rate*stack_activation,power_mw*hours_per_day,capacity_mwh),MIN(DAMAS_Daily!D293*market_share_A*acceptance_rate*stack_activation,power_mw*hours_per_day,capacity_mwh))</f>
        <v/>
      </c>
      <c r="L293" s="42">
        <f>IF(K293&gt;=capacity_mwh-0.01,"yes","no")</f>
        <v/>
      </c>
      <c r="M293" s="13">
        <f>IF(C293="aFRR+",(MIN(DAMAS_Daily!C293*market_share_A*acceptance_rate*stack_activation,power_mw*hours_per_day,capacity_mwh))*DAMAS_Daily!E293*activation_mult_A,(MIN(DAMAS_Daily!D293*market_share_A*acceptance_rate*stack_activation,power_mw*hours_per_day,capacity_mwh))*DAMAS_Daily!F293*activation_mult_A)</f>
        <v/>
      </c>
      <c r="N293" s="14">
        <f>F293+M293</f>
        <v/>
      </c>
    </row>
    <row r="294">
      <c r="A294" s="41">
        <f>DAMAS_Daily!A294</f>
        <v/>
      </c>
      <c r="B294" s="42">
        <f>DAMAS_Daily!B294</f>
        <v/>
      </c>
      <c r="C294" s="42">
        <f>IF((power_mw*hours_per_day*damas_afrr_up*capacity_mult_A*stack_capacity*acceptance_rate+(MIN(DAMAS_Daily!C294*market_share_A*acceptance_rate*stack_activation,power_mw*hours_per_day,capacity_mwh))*DAMAS_Daily!E294*activation_mult_A)&gt;=(power_mw*hours_per_day*damas_afrr_down*capacity_mult_A*stack_capacity*acceptance_rate+(MIN(DAMAS_Daily!D294*market_share_A*acceptance_rate*stack_activation,power_mw*hours_per_day,capacity_mwh))*DAMAS_Daily!F294*activation_mult_A),"aFRR+","aFRR-")</f>
        <v/>
      </c>
      <c r="D294" s="43">
        <f>IF(C294="aFRR+",damas_afrr_up*capacity_mult_A,damas_afrr_down*capacity_mult_A)</f>
        <v/>
      </c>
      <c r="E294" s="44">
        <f>acceptance_rate</f>
        <v/>
      </c>
      <c r="F294" s="13">
        <f>IF(C294="aFRR+",power_mw*hours_per_day*damas_afrr_up*capacity_mult_A*stack_capacity*acceptance_rate,power_mw*hours_per_day*damas_afrr_down*capacity_mult_A*stack_capacity*acceptance_rate)</f>
        <v/>
      </c>
      <c r="G294" s="42">
        <f>IF(C294="aFRR+",DAMAS_Daily!I294,DAMAS_Daily!J294)</f>
        <v/>
      </c>
      <c r="H294" s="43">
        <f>IF(C294="aFRR+",DAMAS_Daily!E294,DAMAS_Daily!F294)</f>
        <v/>
      </c>
      <c r="I294" s="43">
        <f>IF(C294="aFRR+",DAMAS_Daily!G294,DAMAS_Daily!H294)</f>
        <v/>
      </c>
      <c r="J294" s="45">
        <f>IF(C294="aFRR+",DAMAS_Daily!C294,DAMAS_Daily!D294)</f>
        <v/>
      </c>
      <c r="K294" s="45">
        <f>IF(C294="aFRR+",MIN(DAMAS_Daily!C294*market_share_A*acceptance_rate*stack_activation,power_mw*hours_per_day,capacity_mwh),MIN(DAMAS_Daily!D294*market_share_A*acceptance_rate*stack_activation,power_mw*hours_per_day,capacity_mwh))</f>
        <v/>
      </c>
      <c r="L294" s="42">
        <f>IF(K294&gt;=capacity_mwh-0.01,"yes","no")</f>
        <v/>
      </c>
      <c r="M294" s="13">
        <f>IF(C294="aFRR+",(MIN(DAMAS_Daily!C294*market_share_A*acceptance_rate*stack_activation,power_mw*hours_per_day,capacity_mwh))*DAMAS_Daily!E294*activation_mult_A,(MIN(DAMAS_Daily!D294*market_share_A*acceptance_rate*stack_activation,power_mw*hours_per_day,capacity_mwh))*DAMAS_Daily!F294*activation_mult_A)</f>
        <v/>
      </c>
      <c r="N294" s="14">
        <f>F294+M294</f>
        <v/>
      </c>
    </row>
    <row r="295">
      <c r="A295" s="41">
        <f>DAMAS_Daily!A295</f>
        <v/>
      </c>
      <c r="B295" s="42">
        <f>DAMAS_Daily!B295</f>
        <v/>
      </c>
      <c r="C295" s="42">
        <f>IF((power_mw*hours_per_day*damas_afrr_up*capacity_mult_A*stack_capacity*acceptance_rate+(MIN(DAMAS_Daily!C295*market_share_A*acceptance_rate*stack_activation,power_mw*hours_per_day,capacity_mwh))*DAMAS_Daily!E295*activation_mult_A)&gt;=(power_mw*hours_per_day*damas_afrr_down*capacity_mult_A*stack_capacity*acceptance_rate+(MIN(DAMAS_Daily!D295*market_share_A*acceptance_rate*stack_activation,power_mw*hours_per_day,capacity_mwh))*DAMAS_Daily!F295*activation_mult_A),"aFRR+","aFRR-")</f>
        <v/>
      </c>
      <c r="D295" s="43">
        <f>IF(C295="aFRR+",damas_afrr_up*capacity_mult_A,damas_afrr_down*capacity_mult_A)</f>
        <v/>
      </c>
      <c r="E295" s="44">
        <f>acceptance_rate</f>
        <v/>
      </c>
      <c r="F295" s="13">
        <f>IF(C295="aFRR+",power_mw*hours_per_day*damas_afrr_up*capacity_mult_A*stack_capacity*acceptance_rate,power_mw*hours_per_day*damas_afrr_down*capacity_mult_A*stack_capacity*acceptance_rate)</f>
        <v/>
      </c>
      <c r="G295" s="42">
        <f>IF(C295="aFRR+",DAMAS_Daily!I295,DAMAS_Daily!J295)</f>
        <v/>
      </c>
      <c r="H295" s="43">
        <f>IF(C295="aFRR+",DAMAS_Daily!E295,DAMAS_Daily!F295)</f>
        <v/>
      </c>
      <c r="I295" s="43">
        <f>IF(C295="aFRR+",DAMAS_Daily!G295,DAMAS_Daily!H295)</f>
        <v/>
      </c>
      <c r="J295" s="45">
        <f>IF(C295="aFRR+",DAMAS_Daily!C295,DAMAS_Daily!D295)</f>
        <v/>
      </c>
      <c r="K295" s="45">
        <f>IF(C295="aFRR+",MIN(DAMAS_Daily!C295*market_share_A*acceptance_rate*stack_activation,power_mw*hours_per_day,capacity_mwh),MIN(DAMAS_Daily!D295*market_share_A*acceptance_rate*stack_activation,power_mw*hours_per_day,capacity_mwh))</f>
        <v/>
      </c>
      <c r="L295" s="42">
        <f>IF(K295&gt;=capacity_mwh-0.01,"yes","no")</f>
        <v/>
      </c>
      <c r="M295" s="13">
        <f>IF(C295="aFRR+",(MIN(DAMAS_Daily!C295*market_share_A*acceptance_rate*stack_activation,power_mw*hours_per_day,capacity_mwh))*DAMAS_Daily!E295*activation_mult_A,(MIN(DAMAS_Daily!D295*market_share_A*acceptance_rate*stack_activation,power_mw*hours_per_day,capacity_mwh))*DAMAS_Daily!F295*activation_mult_A)</f>
        <v/>
      </c>
      <c r="N295" s="14">
        <f>F295+M295</f>
        <v/>
      </c>
    </row>
    <row r="296">
      <c r="A296" s="41">
        <f>DAMAS_Daily!A296</f>
        <v/>
      </c>
      <c r="B296" s="42">
        <f>DAMAS_Daily!B296</f>
        <v/>
      </c>
      <c r="C296" s="42">
        <f>IF((power_mw*hours_per_day*damas_afrr_up*capacity_mult_A*stack_capacity*acceptance_rate+(MIN(DAMAS_Daily!C296*market_share_A*acceptance_rate*stack_activation,power_mw*hours_per_day,capacity_mwh))*DAMAS_Daily!E296*activation_mult_A)&gt;=(power_mw*hours_per_day*damas_afrr_down*capacity_mult_A*stack_capacity*acceptance_rate+(MIN(DAMAS_Daily!D296*market_share_A*acceptance_rate*stack_activation,power_mw*hours_per_day,capacity_mwh))*DAMAS_Daily!F296*activation_mult_A),"aFRR+","aFRR-")</f>
        <v/>
      </c>
      <c r="D296" s="43">
        <f>IF(C296="aFRR+",damas_afrr_up*capacity_mult_A,damas_afrr_down*capacity_mult_A)</f>
        <v/>
      </c>
      <c r="E296" s="44">
        <f>acceptance_rate</f>
        <v/>
      </c>
      <c r="F296" s="13">
        <f>IF(C296="aFRR+",power_mw*hours_per_day*damas_afrr_up*capacity_mult_A*stack_capacity*acceptance_rate,power_mw*hours_per_day*damas_afrr_down*capacity_mult_A*stack_capacity*acceptance_rate)</f>
        <v/>
      </c>
      <c r="G296" s="42">
        <f>IF(C296="aFRR+",DAMAS_Daily!I296,DAMAS_Daily!J296)</f>
        <v/>
      </c>
      <c r="H296" s="43">
        <f>IF(C296="aFRR+",DAMAS_Daily!E296,DAMAS_Daily!F296)</f>
        <v/>
      </c>
      <c r="I296" s="43">
        <f>IF(C296="aFRR+",DAMAS_Daily!G296,DAMAS_Daily!H296)</f>
        <v/>
      </c>
      <c r="J296" s="45">
        <f>IF(C296="aFRR+",DAMAS_Daily!C296,DAMAS_Daily!D296)</f>
        <v/>
      </c>
      <c r="K296" s="45">
        <f>IF(C296="aFRR+",MIN(DAMAS_Daily!C296*market_share_A*acceptance_rate*stack_activation,power_mw*hours_per_day,capacity_mwh),MIN(DAMAS_Daily!D296*market_share_A*acceptance_rate*stack_activation,power_mw*hours_per_day,capacity_mwh))</f>
        <v/>
      </c>
      <c r="L296" s="42">
        <f>IF(K296&gt;=capacity_mwh-0.01,"yes","no")</f>
        <v/>
      </c>
      <c r="M296" s="13">
        <f>IF(C296="aFRR+",(MIN(DAMAS_Daily!C296*market_share_A*acceptance_rate*stack_activation,power_mw*hours_per_day,capacity_mwh))*DAMAS_Daily!E296*activation_mult_A,(MIN(DAMAS_Daily!D296*market_share_A*acceptance_rate*stack_activation,power_mw*hours_per_day,capacity_mwh))*DAMAS_Daily!F296*activation_mult_A)</f>
        <v/>
      </c>
      <c r="N296" s="14">
        <f>F296+M296</f>
        <v/>
      </c>
    </row>
    <row r="297">
      <c r="A297" s="41">
        <f>DAMAS_Daily!A297</f>
        <v/>
      </c>
      <c r="B297" s="42">
        <f>DAMAS_Daily!B297</f>
        <v/>
      </c>
      <c r="C297" s="42">
        <f>IF((power_mw*hours_per_day*damas_afrr_up*capacity_mult_A*stack_capacity*acceptance_rate+(MIN(DAMAS_Daily!C297*market_share_A*acceptance_rate*stack_activation,power_mw*hours_per_day,capacity_mwh))*DAMAS_Daily!E297*activation_mult_A)&gt;=(power_mw*hours_per_day*damas_afrr_down*capacity_mult_A*stack_capacity*acceptance_rate+(MIN(DAMAS_Daily!D297*market_share_A*acceptance_rate*stack_activation,power_mw*hours_per_day,capacity_mwh))*DAMAS_Daily!F297*activation_mult_A),"aFRR+","aFRR-")</f>
        <v/>
      </c>
      <c r="D297" s="43">
        <f>IF(C297="aFRR+",damas_afrr_up*capacity_mult_A,damas_afrr_down*capacity_mult_A)</f>
        <v/>
      </c>
      <c r="E297" s="44">
        <f>acceptance_rate</f>
        <v/>
      </c>
      <c r="F297" s="13">
        <f>IF(C297="aFRR+",power_mw*hours_per_day*damas_afrr_up*capacity_mult_A*stack_capacity*acceptance_rate,power_mw*hours_per_day*damas_afrr_down*capacity_mult_A*stack_capacity*acceptance_rate)</f>
        <v/>
      </c>
      <c r="G297" s="42">
        <f>IF(C297="aFRR+",DAMAS_Daily!I297,DAMAS_Daily!J297)</f>
        <v/>
      </c>
      <c r="H297" s="43">
        <f>IF(C297="aFRR+",DAMAS_Daily!E297,DAMAS_Daily!F297)</f>
        <v/>
      </c>
      <c r="I297" s="43">
        <f>IF(C297="aFRR+",DAMAS_Daily!G297,DAMAS_Daily!H297)</f>
        <v/>
      </c>
      <c r="J297" s="45">
        <f>IF(C297="aFRR+",DAMAS_Daily!C297,DAMAS_Daily!D297)</f>
        <v/>
      </c>
      <c r="K297" s="45">
        <f>IF(C297="aFRR+",MIN(DAMAS_Daily!C297*market_share_A*acceptance_rate*stack_activation,power_mw*hours_per_day,capacity_mwh),MIN(DAMAS_Daily!D297*market_share_A*acceptance_rate*stack_activation,power_mw*hours_per_day,capacity_mwh))</f>
        <v/>
      </c>
      <c r="L297" s="42">
        <f>IF(K297&gt;=capacity_mwh-0.01,"yes","no")</f>
        <v/>
      </c>
      <c r="M297" s="13">
        <f>IF(C297="aFRR+",(MIN(DAMAS_Daily!C297*market_share_A*acceptance_rate*stack_activation,power_mw*hours_per_day,capacity_mwh))*DAMAS_Daily!E297*activation_mult_A,(MIN(DAMAS_Daily!D297*market_share_A*acceptance_rate*stack_activation,power_mw*hours_per_day,capacity_mwh))*DAMAS_Daily!F297*activation_mult_A)</f>
        <v/>
      </c>
      <c r="N297" s="14">
        <f>F297+M297</f>
        <v/>
      </c>
    </row>
    <row r="298">
      <c r="A298" s="41">
        <f>DAMAS_Daily!A298</f>
        <v/>
      </c>
      <c r="B298" s="42">
        <f>DAMAS_Daily!B298</f>
        <v/>
      </c>
      <c r="C298" s="42">
        <f>IF((power_mw*hours_per_day*damas_afrr_up*capacity_mult_A*stack_capacity*acceptance_rate+(MIN(DAMAS_Daily!C298*market_share_A*acceptance_rate*stack_activation,power_mw*hours_per_day,capacity_mwh))*DAMAS_Daily!E298*activation_mult_A)&gt;=(power_mw*hours_per_day*damas_afrr_down*capacity_mult_A*stack_capacity*acceptance_rate+(MIN(DAMAS_Daily!D298*market_share_A*acceptance_rate*stack_activation,power_mw*hours_per_day,capacity_mwh))*DAMAS_Daily!F298*activation_mult_A),"aFRR+","aFRR-")</f>
        <v/>
      </c>
      <c r="D298" s="43">
        <f>IF(C298="aFRR+",damas_afrr_up*capacity_mult_A,damas_afrr_down*capacity_mult_A)</f>
        <v/>
      </c>
      <c r="E298" s="44">
        <f>acceptance_rate</f>
        <v/>
      </c>
      <c r="F298" s="13">
        <f>IF(C298="aFRR+",power_mw*hours_per_day*damas_afrr_up*capacity_mult_A*stack_capacity*acceptance_rate,power_mw*hours_per_day*damas_afrr_down*capacity_mult_A*stack_capacity*acceptance_rate)</f>
        <v/>
      </c>
      <c r="G298" s="42">
        <f>IF(C298="aFRR+",DAMAS_Daily!I298,DAMAS_Daily!J298)</f>
        <v/>
      </c>
      <c r="H298" s="43">
        <f>IF(C298="aFRR+",DAMAS_Daily!E298,DAMAS_Daily!F298)</f>
        <v/>
      </c>
      <c r="I298" s="43">
        <f>IF(C298="aFRR+",DAMAS_Daily!G298,DAMAS_Daily!H298)</f>
        <v/>
      </c>
      <c r="J298" s="45">
        <f>IF(C298="aFRR+",DAMAS_Daily!C298,DAMAS_Daily!D298)</f>
        <v/>
      </c>
      <c r="K298" s="45">
        <f>IF(C298="aFRR+",MIN(DAMAS_Daily!C298*market_share_A*acceptance_rate*stack_activation,power_mw*hours_per_day,capacity_mwh),MIN(DAMAS_Daily!D298*market_share_A*acceptance_rate*stack_activation,power_mw*hours_per_day,capacity_mwh))</f>
        <v/>
      </c>
      <c r="L298" s="42">
        <f>IF(K298&gt;=capacity_mwh-0.01,"yes","no")</f>
        <v/>
      </c>
      <c r="M298" s="13">
        <f>IF(C298="aFRR+",(MIN(DAMAS_Daily!C298*market_share_A*acceptance_rate*stack_activation,power_mw*hours_per_day,capacity_mwh))*DAMAS_Daily!E298*activation_mult_A,(MIN(DAMAS_Daily!D298*market_share_A*acceptance_rate*stack_activation,power_mw*hours_per_day,capacity_mwh))*DAMAS_Daily!F298*activation_mult_A)</f>
        <v/>
      </c>
      <c r="N298" s="14">
        <f>F298+M298</f>
        <v/>
      </c>
    </row>
    <row r="299">
      <c r="A299" s="41">
        <f>DAMAS_Daily!A299</f>
        <v/>
      </c>
      <c r="B299" s="42">
        <f>DAMAS_Daily!B299</f>
        <v/>
      </c>
      <c r="C299" s="42">
        <f>IF((power_mw*hours_per_day*damas_afrr_up*capacity_mult_A*stack_capacity*acceptance_rate+(MIN(DAMAS_Daily!C299*market_share_A*acceptance_rate*stack_activation,power_mw*hours_per_day,capacity_mwh))*DAMAS_Daily!E299*activation_mult_A)&gt;=(power_mw*hours_per_day*damas_afrr_down*capacity_mult_A*stack_capacity*acceptance_rate+(MIN(DAMAS_Daily!D299*market_share_A*acceptance_rate*stack_activation,power_mw*hours_per_day,capacity_mwh))*DAMAS_Daily!F299*activation_mult_A),"aFRR+","aFRR-")</f>
        <v/>
      </c>
      <c r="D299" s="43">
        <f>IF(C299="aFRR+",damas_afrr_up*capacity_mult_A,damas_afrr_down*capacity_mult_A)</f>
        <v/>
      </c>
      <c r="E299" s="44">
        <f>acceptance_rate</f>
        <v/>
      </c>
      <c r="F299" s="13">
        <f>IF(C299="aFRR+",power_mw*hours_per_day*damas_afrr_up*capacity_mult_A*stack_capacity*acceptance_rate,power_mw*hours_per_day*damas_afrr_down*capacity_mult_A*stack_capacity*acceptance_rate)</f>
        <v/>
      </c>
      <c r="G299" s="42">
        <f>IF(C299="aFRR+",DAMAS_Daily!I299,DAMAS_Daily!J299)</f>
        <v/>
      </c>
      <c r="H299" s="43">
        <f>IF(C299="aFRR+",DAMAS_Daily!E299,DAMAS_Daily!F299)</f>
        <v/>
      </c>
      <c r="I299" s="43">
        <f>IF(C299="aFRR+",DAMAS_Daily!G299,DAMAS_Daily!H299)</f>
        <v/>
      </c>
      <c r="J299" s="45">
        <f>IF(C299="aFRR+",DAMAS_Daily!C299,DAMAS_Daily!D299)</f>
        <v/>
      </c>
      <c r="K299" s="45">
        <f>IF(C299="aFRR+",MIN(DAMAS_Daily!C299*market_share_A*acceptance_rate*stack_activation,power_mw*hours_per_day,capacity_mwh),MIN(DAMAS_Daily!D299*market_share_A*acceptance_rate*stack_activation,power_mw*hours_per_day,capacity_mwh))</f>
        <v/>
      </c>
      <c r="L299" s="42">
        <f>IF(K299&gt;=capacity_mwh-0.01,"yes","no")</f>
        <v/>
      </c>
      <c r="M299" s="13">
        <f>IF(C299="aFRR+",(MIN(DAMAS_Daily!C299*market_share_A*acceptance_rate*stack_activation,power_mw*hours_per_day,capacity_mwh))*DAMAS_Daily!E299*activation_mult_A,(MIN(DAMAS_Daily!D299*market_share_A*acceptance_rate*stack_activation,power_mw*hours_per_day,capacity_mwh))*DAMAS_Daily!F299*activation_mult_A)</f>
        <v/>
      </c>
      <c r="N299" s="14">
        <f>F299+M299</f>
        <v/>
      </c>
    </row>
    <row r="300">
      <c r="A300" s="41">
        <f>DAMAS_Daily!A300</f>
        <v/>
      </c>
      <c r="B300" s="42">
        <f>DAMAS_Daily!B300</f>
        <v/>
      </c>
      <c r="C300" s="42">
        <f>IF((power_mw*hours_per_day*damas_afrr_up*capacity_mult_A*stack_capacity*acceptance_rate+(MIN(DAMAS_Daily!C300*market_share_A*acceptance_rate*stack_activation,power_mw*hours_per_day,capacity_mwh))*DAMAS_Daily!E300*activation_mult_A)&gt;=(power_mw*hours_per_day*damas_afrr_down*capacity_mult_A*stack_capacity*acceptance_rate+(MIN(DAMAS_Daily!D300*market_share_A*acceptance_rate*stack_activation,power_mw*hours_per_day,capacity_mwh))*DAMAS_Daily!F300*activation_mult_A),"aFRR+","aFRR-")</f>
        <v/>
      </c>
      <c r="D300" s="43">
        <f>IF(C300="aFRR+",damas_afrr_up*capacity_mult_A,damas_afrr_down*capacity_mult_A)</f>
        <v/>
      </c>
      <c r="E300" s="44">
        <f>acceptance_rate</f>
        <v/>
      </c>
      <c r="F300" s="13">
        <f>IF(C300="aFRR+",power_mw*hours_per_day*damas_afrr_up*capacity_mult_A*stack_capacity*acceptance_rate,power_mw*hours_per_day*damas_afrr_down*capacity_mult_A*stack_capacity*acceptance_rate)</f>
        <v/>
      </c>
      <c r="G300" s="42">
        <f>IF(C300="aFRR+",DAMAS_Daily!I300,DAMAS_Daily!J300)</f>
        <v/>
      </c>
      <c r="H300" s="43">
        <f>IF(C300="aFRR+",DAMAS_Daily!E300,DAMAS_Daily!F300)</f>
        <v/>
      </c>
      <c r="I300" s="43">
        <f>IF(C300="aFRR+",DAMAS_Daily!G300,DAMAS_Daily!H300)</f>
        <v/>
      </c>
      <c r="J300" s="45">
        <f>IF(C300="aFRR+",DAMAS_Daily!C300,DAMAS_Daily!D300)</f>
        <v/>
      </c>
      <c r="K300" s="45">
        <f>IF(C300="aFRR+",MIN(DAMAS_Daily!C300*market_share_A*acceptance_rate*stack_activation,power_mw*hours_per_day,capacity_mwh),MIN(DAMAS_Daily!D300*market_share_A*acceptance_rate*stack_activation,power_mw*hours_per_day,capacity_mwh))</f>
        <v/>
      </c>
      <c r="L300" s="42">
        <f>IF(K300&gt;=capacity_mwh-0.01,"yes","no")</f>
        <v/>
      </c>
      <c r="M300" s="13">
        <f>IF(C300="aFRR+",(MIN(DAMAS_Daily!C300*market_share_A*acceptance_rate*stack_activation,power_mw*hours_per_day,capacity_mwh))*DAMAS_Daily!E300*activation_mult_A,(MIN(DAMAS_Daily!D300*market_share_A*acceptance_rate*stack_activation,power_mw*hours_per_day,capacity_mwh))*DAMAS_Daily!F300*activation_mult_A)</f>
        <v/>
      </c>
      <c r="N300" s="14">
        <f>F300+M300</f>
        <v/>
      </c>
    </row>
    <row r="301">
      <c r="A301" s="41">
        <f>DAMAS_Daily!A301</f>
        <v/>
      </c>
      <c r="B301" s="42">
        <f>DAMAS_Daily!B301</f>
        <v/>
      </c>
      <c r="C301" s="42">
        <f>IF((power_mw*hours_per_day*damas_afrr_up*capacity_mult_A*stack_capacity*acceptance_rate+(MIN(DAMAS_Daily!C301*market_share_A*acceptance_rate*stack_activation,power_mw*hours_per_day,capacity_mwh))*DAMAS_Daily!E301*activation_mult_A)&gt;=(power_mw*hours_per_day*damas_afrr_down*capacity_mult_A*stack_capacity*acceptance_rate+(MIN(DAMAS_Daily!D301*market_share_A*acceptance_rate*stack_activation,power_mw*hours_per_day,capacity_mwh))*DAMAS_Daily!F301*activation_mult_A),"aFRR+","aFRR-")</f>
        <v/>
      </c>
      <c r="D301" s="43">
        <f>IF(C301="aFRR+",damas_afrr_up*capacity_mult_A,damas_afrr_down*capacity_mult_A)</f>
        <v/>
      </c>
      <c r="E301" s="44">
        <f>acceptance_rate</f>
        <v/>
      </c>
      <c r="F301" s="13">
        <f>IF(C301="aFRR+",power_mw*hours_per_day*damas_afrr_up*capacity_mult_A*stack_capacity*acceptance_rate,power_mw*hours_per_day*damas_afrr_down*capacity_mult_A*stack_capacity*acceptance_rate)</f>
        <v/>
      </c>
      <c r="G301" s="42">
        <f>IF(C301="aFRR+",DAMAS_Daily!I301,DAMAS_Daily!J301)</f>
        <v/>
      </c>
      <c r="H301" s="43">
        <f>IF(C301="aFRR+",DAMAS_Daily!E301,DAMAS_Daily!F301)</f>
        <v/>
      </c>
      <c r="I301" s="43">
        <f>IF(C301="aFRR+",DAMAS_Daily!G301,DAMAS_Daily!H301)</f>
        <v/>
      </c>
      <c r="J301" s="45">
        <f>IF(C301="aFRR+",DAMAS_Daily!C301,DAMAS_Daily!D301)</f>
        <v/>
      </c>
      <c r="K301" s="45">
        <f>IF(C301="aFRR+",MIN(DAMAS_Daily!C301*market_share_A*acceptance_rate*stack_activation,power_mw*hours_per_day,capacity_mwh),MIN(DAMAS_Daily!D301*market_share_A*acceptance_rate*stack_activation,power_mw*hours_per_day,capacity_mwh))</f>
        <v/>
      </c>
      <c r="L301" s="42">
        <f>IF(K301&gt;=capacity_mwh-0.01,"yes","no")</f>
        <v/>
      </c>
      <c r="M301" s="13">
        <f>IF(C301="aFRR+",(MIN(DAMAS_Daily!C301*market_share_A*acceptance_rate*stack_activation,power_mw*hours_per_day,capacity_mwh))*DAMAS_Daily!E301*activation_mult_A,(MIN(DAMAS_Daily!D301*market_share_A*acceptance_rate*stack_activation,power_mw*hours_per_day,capacity_mwh))*DAMAS_Daily!F301*activation_mult_A)</f>
        <v/>
      </c>
      <c r="N301" s="14">
        <f>F301+M301</f>
        <v/>
      </c>
    </row>
    <row r="302">
      <c r="A302" s="41">
        <f>DAMAS_Daily!A302</f>
        <v/>
      </c>
      <c r="B302" s="42">
        <f>DAMAS_Daily!B302</f>
        <v/>
      </c>
      <c r="C302" s="42">
        <f>IF((power_mw*hours_per_day*damas_afrr_up*capacity_mult_A*stack_capacity*acceptance_rate+(MIN(DAMAS_Daily!C302*market_share_A*acceptance_rate*stack_activation,power_mw*hours_per_day,capacity_mwh))*DAMAS_Daily!E302*activation_mult_A)&gt;=(power_mw*hours_per_day*damas_afrr_down*capacity_mult_A*stack_capacity*acceptance_rate+(MIN(DAMAS_Daily!D302*market_share_A*acceptance_rate*stack_activation,power_mw*hours_per_day,capacity_mwh))*DAMAS_Daily!F302*activation_mult_A),"aFRR+","aFRR-")</f>
        <v/>
      </c>
      <c r="D302" s="43">
        <f>IF(C302="aFRR+",damas_afrr_up*capacity_mult_A,damas_afrr_down*capacity_mult_A)</f>
        <v/>
      </c>
      <c r="E302" s="44">
        <f>acceptance_rate</f>
        <v/>
      </c>
      <c r="F302" s="13">
        <f>IF(C302="aFRR+",power_mw*hours_per_day*damas_afrr_up*capacity_mult_A*stack_capacity*acceptance_rate,power_mw*hours_per_day*damas_afrr_down*capacity_mult_A*stack_capacity*acceptance_rate)</f>
        <v/>
      </c>
      <c r="G302" s="42">
        <f>IF(C302="aFRR+",DAMAS_Daily!I302,DAMAS_Daily!J302)</f>
        <v/>
      </c>
      <c r="H302" s="43">
        <f>IF(C302="aFRR+",DAMAS_Daily!E302,DAMAS_Daily!F302)</f>
        <v/>
      </c>
      <c r="I302" s="43">
        <f>IF(C302="aFRR+",DAMAS_Daily!G302,DAMAS_Daily!H302)</f>
        <v/>
      </c>
      <c r="J302" s="45">
        <f>IF(C302="aFRR+",DAMAS_Daily!C302,DAMAS_Daily!D302)</f>
        <v/>
      </c>
      <c r="K302" s="45">
        <f>IF(C302="aFRR+",MIN(DAMAS_Daily!C302*market_share_A*acceptance_rate*stack_activation,power_mw*hours_per_day,capacity_mwh),MIN(DAMAS_Daily!D302*market_share_A*acceptance_rate*stack_activation,power_mw*hours_per_day,capacity_mwh))</f>
        <v/>
      </c>
      <c r="L302" s="42">
        <f>IF(K302&gt;=capacity_mwh-0.01,"yes","no")</f>
        <v/>
      </c>
      <c r="M302" s="13">
        <f>IF(C302="aFRR+",(MIN(DAMAS_Daily!C302*market_share_A*acceptance_rate*stack_activation,power_mw*hours_per_day,capacity_mwh))*DAMAS_Daily!E302*activation_mult_A,(MIN(DAMAS_Daily!D302*market_share_A*acceptance_rate*stack_activation,power_mw*hours_per_day,capacity_mwh))*DAMAS_Daily!F302*activation_mult_A)</f>
        <v/>
      </c>
      <c r="N302" s="14">
        <f>F302+M302</f>
        <v/>
      </c>
    </row>
    <row r="303">
      <c r="A303" s="41">
        <f>DAMAS_Daily!A303</f>
        <v/>
      </c>
      <c r="B303" s="42">
        <f>DAMAS_Daily!B303</f>
        <v/>
      </c>
      <c r="C303" s="42">
        <f>IF((power_mw*hours_per_day*damas_afrr_up*capacity_mult_A*stack_capacity*acceptance_rate+(MIN(DAMAS_Daily!C303*market_share_A*acceptance_rate*stack_activation,power_mw*hours_per_day,capacity_mwh))*DAMAS_Daily!E303*activation_mult_A)&gt;=(power_mw*hours_per_day*damas_afrr_down*capacity_mult_A*stack_capacity*acceptance_rate+(MIN(DAMAS_Daily!D303*market_share_A*acceptance_rate*stack_activation,power_mw*hours_per_day,capacity_mwh))*DAMAS_Daily!F303*activation_mult_A),"aFRR+","aFRR-")</f>
        <v/>
      </c>
      <c r="D303" s="43">
        <f>IF(C303="aFRR+",damas_afrr_up*capacity_mult_A,damas_afrr_down*capacity_mult_A)</f>
        <v/>
      </c>
      <c r="E303" s="44">
        <f>acceptance_rate</f>
        <v/>
      </c>
      <c r="F303" s="13">
        <f>IF(C303="aFRR+",power_mw*hours_per_day*damas_afrr_up*capacity_mult_A*stack_capacity*acceptance_rate,power_mw*hours_per_day*damas_afrr_down*capacity_mult_A*stack_capacity*acceptance_rate)</f>
        <v/>
      </c>
      <c r="G303" s="42">
        <f>IF(C303="aFRR+",DAMAS_Daily!I303,DAMAS_Daily!J303)</f>
        <v/>
      </c>
      <c r="H303" s="43">
        <f>IF(C303="aFRR+",DAMAS_Daily!E303,DAMAS_Daily!F303)</f>
        <v/>
      </c>
      <c r="I303" s="43">
        <f>IF(C303="aFRR+",DAMAS_Daily!G303,DAMAS_Daily!H303)</f>
        <v/>
      </c>
      <c r="J303" s="45">
        <f>IF(C303="aFRR+",DAMAS_Daily!C303,DAMAS_Daily!D303)</f>
        <v/>
      </c>
      <c r="K303" s="45">
        <f>IF(C303="aFRR+",MIN(DAMAS_Daily!C303*market_share_A*acceptance_rate*stack_activation,power_mw*hours_per_day,capacity_mwh),MIN(DAMAS_Daily!D303*market_share_A*acceptance_rate*stack_activation,power_mw*hours_per_day,capacity_mwh))</f>
        <v/>
      </c>
      <c r="L303" s="42">
        <f>IF(K303&gt;=capacity_mwh-0.01,"yes","no")</f>
        <v/>
      </c>
      <c r="M303" s="13">
        <f>IF(C303="aFRR+",(MIN(DAMAS_Daily!C303*market_share_A*acceptance_rate*stack_activation,power_mw*hours_per_day,capacity_mwh))*DAMAS_Daily!E303*activation_mult_A,(MIN(DAMAS_Daily!D303*market_share_A*acceptance_rate*stack_activation,power_mw*hours_per_day,capacity_mwh))*DAMAS_Daily!F303*activation_mult_A)</f>
        <v/>
      </c>
      <c r="N303" s="14">
        <f>F303+M303</f>
        <v/>
      </c>
    </row>
    <row r="304">
      <c r="A304" s="41">
        <f>DAMAS_Daily!A304</f>
        <v/>
      </c>
      <c r="B304" s="42">
        <f>DAMAS_Daily!B304</f>
        <v/>
      </c>
      <c r="C304" s="42">
        <f>IF((power_mw*hours_per_day*damas_afrr_up*capacity_mult_A*stack_capacity*acceptance_rate+(MIN(DAMAS_Daily!C304*market_share_A*acceptance_rate*stack_activation,power_mw*hours_per_day,capacity_mwh))*DAMAS_Daily!E304*activation_mult_A)&gt;=(power_mw*hours_per_day*damas_afrr_down*capacity_mult_A*stack_capacity*acceptance_rate+(MIN(DAMAS_Daily!D304*market_share_A*acceptance_rate*stack_activation,power_mw*hours_per_day,capacity_mwh))*DAMAS_Daily!F304*activation_mult_A),"aFRR+","aFRR-")</f>
        <v/>
      </c>
      <c r="D304" s="43">
        <f>IF(C304="aFRR+",damas_afrr_up*capacity_mult_A,damas_afrr_down*capacity_mult_A)</f>
        <v/>
      </c>
      <c r="E304" s="44">
        <f>acceptance_rate</f>
        <v/>
      </c>
      <c r="F304" s="13">
        <f>IF(C304="aFRR+",power_mw*hours_per_day*damas_afrr_up*capacity_mult_A*stack_capacity*acceptance_rate,power_mw*hours_per_day*damas_afrr_down*capacity_mult_A*stack_capacity*acceptance_rate)</f>
        <v/>
      </c>
      <c r="G304" s="42">
        <f>IF(C304="aFRR+",DAMAS_Daily!I304,DAMAS_Daily!J304)</f>
        <v/>
      </c>
      <c r="H304" s="43">
        <f>IF(C304="aFRR+",DAMAS_Daily!E304,DAMAS_Daily!F304)</f>
        <v/>
      </c>
      <c r="I304" s="43">
        <f>IF(C304="aFRR+",DAMAS_Daily!G304,DAMAS_Daily!H304)</f>
        <v/>
      </c>
      <c r="J304" s="45">
        <f>IF(C304="aFRR+",DAMAS_Daily!C304,DAMAS_Daily!D304)</f>
        <v/>
      </c>
      <c r="K304" s="45">
        <f>IF(C304="aFRR+",MIN(DAMAS_Daily!C304*market_share_A*acceptance_rate*stack_activation,power_mw*hours_per_day,capacity_mwh),MIN(DAMAS_Daily!D304*market_share_A*acceptance_rate*stack_activation,power_mw*hours_per_day,capacity_mwh))</f>
        <v/>
      </c>
      <c r="L304" s="42">
        <f>IF(K304&gt;=capacity_mwh-0.01,"yes","no")</f>
        <v/>
      </c>
      <c r="M304" s="13">
        <f>IF(C304="aFRR+",(MIN(DAMAS_Daily!C304*market_share_A*acceptance_rate*stack_activation,power_mw*hours_per_day,capacity_mwh))*DAMAS_Daily!E304*activation_mult_A,(MIN(DAMAS_Daily!D304*market_share_A*acceptance_rate*stack_activation,power_mw*hours_per_day,capacity_mwh))*DAMAS_Daily!F304*activation_mult_A)</f>
        <v/>
      </c>
      <c r="N304" s="14">
        <f>F304+M304</f>
        <v/>
      </c>
    </row>
    <row r="305">
      <c r="A305" s="41">
        <f>DAMAS_Daily!A305</f>
        <v/>
      </c>
      <c r="B305" s="42">
        <f>DAMAS_Daily!B305</f>
        <v/>
      </c>
      <c r="C305" s="42">
        <f>IF((power_mw*hours_per_day*damas_afrr_up*capacity_mult_A*stack_capacity*acceptance_rate+(MIN(DAMAS_Daily!C305*market_share_A*acceptance_rate*stack_activation,power_mw*hours_per_day,capacity_mwh))*DAMAS_Daily!E305*activation_mult_A)&gt;=(power_mw*hours_per_day*damas_afrr_down*capacity_mult_A*stack_capacity*acceptance_rate+(MIN(DAMAS_Daily!D305*market_share_A*acceptance_rate*stack_activation,power_mw*hours_per_day,capacity_mwh))*DAMAS_Daily!F305*activation_mult_A),"aFRR+","aFRR-")</f>
        <v/>
      </c>
      <c r="D305" s="43">
        <f>IF(C305="aFRR+",damas_afrr_up*capacity_mult_A,damas_afrr_down*capacity_mult_A)</f>
        <v/>
      </c>
      <c r="E305" s="44">
        <f>acceptance_rate</f>
        <v/>
      </c>
      <c r="F305" s="13">
        <f>IF(C305="aFRR+",power_mw*hours_per_day*damas_afrr_up*capacity_mult_A*stack_capacity*acceptance_rate,power_mw*hours_per_day*damas_afrr_down*capacity_mult_A*stack_capacity*acceptance_rate)</f>
        <v/>
      </c>
      <c r="G305" s="42">
        <f>IF(C305="aFRR+",DAMAS_Daily!I305,DAMAS_Daily!J305)</f>
        <v/>
      </c>
      <c r="H305" s="43">
        <f>IF(C305="aFRR+",DAMAS_Daily!E305,DAMAS_Daily!F305)</f>
        <v/>
      </c>
      <c r="I305" s="43">
        <f>IF(C305="aFRR+",DAMAS_Daily!G305,DAMAS_Daily!H305)</f>
        <v/>
      </c>
      <c r="J305" s="45">
        <f>IF(C305="aFRR+",DAMAS_Daily!C305,DAMAS_Daily!D305)</f>
        <v/>
      </c>
      <c r="K305" s="45">
        <f>IF(C305="aFRR+",MIN(DAMAS_Daily!C305*market_share_A*acceptance_rate*stack_activation,power_mw*hours_per_day,capacity_mwh),MIN(DAMAS_Daily!D305*market_share_A*acceptance_rate*stack_activation,power_mw*hours_per_day,capacity_mwh))</f>
        <v/>
      </c>
      <c r="L305" s="42">
        <f>IF(K305&gt;=capacity_mwh-0.01,"yes","no")</f>
        <v/>
      </c>
      <c r="M305" s="13">
        <f>IF(C305="aFRR+",(MIN(DAMAS_Daily!C305*market_share_A*acceptance_rate*stack_activation,power_mw*hours_per_day,capacity_mwh))*DAMAS_Daily!E305*activation_mult_A,(MIN(DAMAS_Daily!D305*market_share_A*acceptance_rate*stack_activation,power_mw*hours_per_day,capacity_mwh))*DAMAS_Daily!F305*activation_mult_A)</f>
        <v/>
      </c>
      <c r="N305" s="14">
        <f>F305+M305</f>
        <v/>
      </c>
    </row>
    <row r="306">
      <c r="A306" s="41">
        <f>DAMAS_Daily!A306</f>
        <v/>
      </c>
      <c r="B306" s="42">
        <f>DAMAS_Daily!B306</f>
        <v/>
      </c>
      <c r="C306" s="42">
        <f>IF((power_mw*hours_per_day*damas_afrr_up*capacity_mult_A*stack_capacity*acceptance_rate+(MIN(DAMAS_Daily!C306*market_share_A*acceptance_rate*stack_activation,power_mw*hours_per_day,capacity_mwh))*DAMAS_Daily!E306*activation_mult_A)&gt;=(power_mw*hours_per_day*damas_afrr_down*capacity_mult_A*stack_capacity*acceptance_rate+(MIN(DAMAS_Daily!D306*market_share_A*acceptance_rate*stack_activation,power_mw*hours_per_day,capacity_mwh))*DAMAS_Daily!F306*activation_mult_A),"aFRR+","aFRR-")</f>
        <v/>
      </c>
      <c r="D306" s="43">
        <f>IF(C306="aFRR+",damas_afrr_up*capacity_mult_A,damas_afrr_down*capacity_mult_A)</f>
        <v/>
      </c>
      <c r="E306" s="44">
        <f>acceptance_rate</f>
        <v/>
      </c>
      <c r="F306" s="13">
        <f>IF(C306="aFRR+",power_mw*hours_per_day*damas_afrr_up*capacity_mult_A*stack_capacity*acceptance_rate,power_mw*hours_per_day*damas_afrr_down*capacity_mult_A*stack_capacity*acceptance_rate)</f>
        <v/>
      </c>
      <c r="G306" s="42">
        <f>IF(C306="aFRR+",DAMAS_Daily!I306,DAMAS_Daily!J306)</f>
        <v/>
      </c>
      <c r="H306" s="43">
        <f>IF(C306="aFRR+",DAMAS_Daily!E306,DAMAS_Daily!F306)</f>
        <v/>
      </c>
      <c r="I306" s="43">
        <f>IF(C306="aFRR+",DAMAS_Daily!G306,DAMAS_Daily!H306)</f>
        <v/>
      </c>
      <c r="J306" s="45">
        <f>IF(C306="aFRR+",DAMAS_Daily!C306,DAMAS_Daily!D306)</f>
        <v/>
      </c>
      <c r="K306" s="45">
        <f>IF(C306="aFRR+",MIN(DAMAS_Daily!C306*market_share_A*acceptance_rate*stack_activation,power_mw*hours_per_day,capacity_mwh),MIN(DAMAS_Daily!D306*market_share_A*acceptance_rate*stack_activation,power_mw*hours_per_day,capacity_mwh))</f>
        <v/>
      </c>
      <c r="L306" s="42">
        <f>IF(K306&gt;=capacity_mwh-0.01,"yes","no")</f>
        <v/>
      </c>
      <c r="M306" s="13">
        <f>IF(C306="aFRR+",(MIN(DAMAS_Daily!C306*market_share_A*acceptance_rate*stack_activation,power_mw*hours_per_day,capacity_mwh))*DAMAS_Daily!E306*activation_mult_A,(MIN(DAMAS_Daily!D306*market_share_A*acceptance_rate*stack_activation,power_mw*hours_per_day,capacity_mwh))*DAMAS_Daily!F306*activation_mult_A)</f>
        <v/>
      </c>
      <c r="N306" s="14">
        <f>F306+M306</f>
        <v/>
      </c>
    </row>
    <row r="307">
      <c r="A307" s="41">
        <f>DAMAS_Daily!A307</f>
        <v/>
      </c>
      <c r="B307" s="42">
        <f>DAMAS_Daily!B307</f>
        <v/>
      </c>
      <c r="C307" s="42">
        <f>IF((power_mw*hours_per_day*damas_afrr_up*capacity_mult_A*stack_capacity*acceptance_rate+(MIN(DAMAS_Daily!C307*market_share_A*acceptance_rate*stack_activation,power_mw*hours_per_day,capacity_mwh))*DAMAS_Daily!E307*activation_mult_A)&gt;=(power_mw*hours_per_day*damas_afrr_down*capacity_mult_A*stack_capacity*acceptance_rate+(MIN(DAMAS_Daily!D307*market_share_A*acceptance_rate*stack_activation,power_mw*hours_per_day,capacity_mwh))*DAMAS_Daily!F307*activation_mult_A),"aFRR+","aFRR-")</f>
        <v/>
      </c>
      <c r="D307" s="43">
        <f>IF(C307="aFRR+",damas_afrr_up*capacity_mult_A,damas_afrr_down*capacity_mult_A)</f>
        <v/>
      </c>
      <c r="E307" s="44">
        <f>acceptance_rate</f>
        <v/>
      </c>
      <c r="F307" s="13">
        <f>IF(C307="aFRR+",power_mw*hours_per_day*damas_afrr_up*capacity_mult_A*stack_capacity*acceptance_rate,power_mw*hours_per_day*damas_afrr_down*capacity_mult_A*stack_capacity*acceptance_rate)</f>
        <v/>
      </c>
      <c r="G307" s="42">
        <f>IF(C307="aFRR+",DAMAS_Daily!I307,DAMAS_Daily!J307)</f>
        <v/>
      </c>
      <c r="H307" s="43">
        <f>IF(C307="aFRR+",DAMAS_Daily!E307,DAMAS_Daily!F307)</f>
        <v/>
      </c>
      <c r="I307" s="43">
        <f>IF(C307="aFRR+",DAMAS_Daily!G307,DAMAS_Daily!H307)</f>
        <v/>
      </c>
      <c r="J307" s="45">
        <f>IF(C307="aFRR+",DAMAS_Daily!C307,DAMAS_Daily!D307)</f>
        <v/>
      </c>
      <c r="K307" s="45">
        <f>IF(C307="aFRR+",MIN(DAMAS_Daily!C307*market_share_A*acceptance_rate*stack_activation,power_mw*hours_per_day,capacity_mwh),MIN(DAMAS_Daily!D307*market_share_A*acceptance_rate*stack_activation,power_mw*hours_per_day,capacity_mwh))</f>
        <v/>
      </c>
      <c r="L307" s="42">
        <f>IF(K307&gt;=capacity_mwh-0.01,"yes","no")</f>
        <v/>
      </c>
      <c r="M307" s="13">
        <f>IF(C307="aFRR+",(MIN(DAMAS_Daily!C307*market_share_A*acceptance_rate*stack_activation,power_mw*hours_per_day,capacity_mwh))*DAMAS_Daily!E307*activation_mult_A,(MIN(DAMAS_Daily!D307*market_share_A*acceptance_rate*stack_activation,power_mw*hours_per_day,capacity_mwh))*DAMAS_Daily!F307*activation_mult_A)</f>
        <v/>
      </c>
      <c r="N307" s="14">
        <f>F307+M307</f>
        <v/>
      </c>
    </row>
    <row r="308">
      <c r="A308" s="41">
        <f>DAMAS_Daily!A308</f>
        <v/>
      </c>
      <c r="B308" s="42">
        <f>DAMAS_Daily!B308</f>
        <v/>
      </c>
      <c r="C308" s="42">
        <f>IF((power_mw*hours_per_day*damas_afrr_up*capacity_mult_A*stack_capacity*acceptance_rate+(MIN(DAMAS_Daily!C308*market_share_A*acceptance_rate*stack_activation,power_mw*hours_per_day,capacity_mwh))*DAMAS_Daily!E308*activation_mult_A)&gt;=(power_mw*hours_per_day*damas_afrr_down*capacity_mult_A*stack_capacity*acceptance_rate+(MIN(DAMAS_Daily!D308*market_share_A*acceptance_rate*stack_activation,power_mw*hours_per_day,capacity_mwh))*DAMAS_Daily!F308*activation_mult_A),"aFRR+","aFRR-")</f>
        <v/>
      </c>
      <c r="D308" s="43">
        <f>IF(C308="aFRR+",damas_afrr_up*capacity_mult_A,damas_afrr_down*capacity_mult_A)</f>
        <v/>
      </c>
      <c r="E308" s="44">
        <f>acceptance_rate</f>
        <v/>
      </c>
      <c r="F308" s="13">
        <f>IF(C308="aFRR+",power_mw*hours_per_day*damas_afrr_up*capacity_mult_A*stack_capacity*acceptance_rate,power_mw*hours_per_day*damas_afrr_down*capacity_mult_A*stack_capacity*acceptance_rate)</f>
        <v/>
      </c>
      <c r="G308" s="42">
        <f>IF(C308="aFRR+",DAMAS_Daily!I308,DAMAS_Daily!J308)</f>
        <v/>
      </c>
      <c r="H308" s="43">
        <f>IF(C308="aFRR+",DAMAS_Daily!E308,DAMAS_Daily!F308)</f>
        <v/>
      </c>
      <c r="I308" s="43">
        <f>IF(C308="aFRR+",DAMAS_Daily!G308,DAMAS_Daily!H308)</f>
        <v/>
      </c>
      <c r="J308" s="45">
        <f>IF(C308="aFRR+",DAMAS_Daily!C308,DAMAS_Daily!D308)</f>
        <v/>
      </c>
      <c r="K308" s="45">
        <f>IF(C308="aFRR+",MIN(DAMAS_Daily!C308*market_share_A*acceptance_rate*stack_activation,power_mw*hours_per_day,capacity_mwh),MIN(DAMAS_Daily!D308*market_share_A*acceptance_rate*stack_activation,power_mw*hours_per_day,capacity_mwh))</f>
        <v/>
      </c>
      <c r="L308" s="42">
        <f>IF(K308&gt;=capacity_mwh-0.01,"yes","no")</f>
        <v/>
      </c>
      <c r="M308" s="13">
        <f>IF(C308="aFRR+",(MIN(DAMAS_Daily!C308*market_share_A*acceptance_rate*stack_activation,power_mw*hours_per_day,capacity_mwh))*DAMAS_Daily!E308*activation_mult_A,(MIN(DAMAS_Daily!D308*market_share_A*acceptance_rate*stack_activation,power_mw*hours_per_day,capacity_mwh))*DAMAS_Daily!F308*activation_mult_A)</f>
        <v/>
      </c>
      <c r="N308" s="14">
        <f>F308+M308</f>
        <v/>
      </c>
    </row>
    <row r="309">
      <c r="A309" s="41">
        <f>DAMAS_Daily!A309</f>
        <v/>
      </c>
      <c r="B309" s="42">
        <f>DAMAS_Daily!B309</f>
        <v/>
      </c>
      <c r="C309" s="42">
        <f>IF((power_mw*hours_per_day*damas_afrr_up*capacity_mult_A*stack_capacity*acceptance_rate+(MIN(DAMAS_Daily!C309*market_share_A*acceptance_rate*stack_activation,power_mw*hours_per_day,capacity_mwh))*DAMAS_Daily!E309*activation_mult_A)&gt;=(power_mw*hours_per_day*damas_afrr_down*capacity_mult_A*stack_capacity*acceptance_rate+(MIN(DAMAS_Daily!D309*market_share_A*acceptance_rate*stack_activation,power_mw*hours_per_day,capacity_mwh))*DAMAS_Daily!F309*activation_mult_A),"aFRR+","aFRR-")</f>
        <v/>
      </c>
      <c r="D309" s="43">
        <f>IF(C309="aFRR+",damas_afrr_up*capacity_mult_A,damas_afrr_down*capacity_mult_A)</f>
        <v/>
      </c>
      <c r="E309" s="44">
        <f>acceptance_rate</f>
        <v/>
      </c>
      <c r="F309" s="13">
        <f>IF(C309="aFRR+",power_mw*hours_per_day*damas_afrr_up*capacity_mult_A*stack_capacity*acceptance_rate,power_mw*hours_per_day*damas_afrr_down*capacity_mult_A*stack_capacity*acceptance_rate)</f>
        <v/>
      </c>
      <c r="G309" s="42">
        <f>IF(C309="aFRR+",DAMAS_Daily!I309,DAMAS_Daily!J309)</f>
        <v/>
      </c>
      <c r="H309" s="43">
        <f>IF(C309="aFRR+",DAMAS_Daily!E309,DAMAS_Daily!F309)</f>
        <v/>
      </c>
      <c r="I309" s="43">
        <f>IF(C309="aFRR+",DAMAS_Daily!G309,DAMAS_Daily!H309)</f>
        <v/>
      </c>
      <c r="J309" s="45">
        <f>IF(C309="aFRR+",DAMAS_Daily!C309,DAMAS_Daily!D309)</f>
        <v/>
      </c>
      <c r="K309" s="45">
        <f>IF(C309="aFRR+",MIN(DAMAS_Daily!C309*market_share_A*acceptance_rate*stack_activation,power_mw*hours_per_day,capacity_mwh),MIN(DAMAS_Daily!D309*market_share_A*acceptance_rate*stack_activation,power_mw*hours_per_day,capacity_mwh))</f>
        <v/>
      </c>
      <c r="L309" s="42">
        <f>IF(K309&gt;=capacity_mwh-0.01,"yes","no")</f>
        <v/>
      </c>
      <c r="M309" s="13">
        <f>IF(C309="aFRR+",(MIN(DAMAS_Daily!C309*market_share_A*acceptance_rate*stack_activation,power_mw*hours_per_day,capacity_mwh))*DAMAS_Daily!E309*activation_mult_A,(MIN(DAMAS_Daily!D309*market_share_A*acceptance_rate*stack_activation,power_mw*hours_per_day,capacity_mwh))*DAMAS_Daily!F309*activation_mult_A)</f>
        <v/>
      </c>
      <c r="N309" s="14">
        <f>F309+M309</f>
        <v/>
      </c>
    </row>
    <row r="310">
      <c r="A310" s="41">
        <f>DAMAS_Daily!A310</f>
        <v/>
      </c>
      <c r="B310" s="42">
        <f>DAMAS_Daily!B310</f>
        <v/>
      </c>
      <c r="C310" s="42">
        <f>IF((power_mw*hours_per_day*damas_afrr_up*capacity_mult_A*stack_capacity*acceptance_rate+(MIN(DAMAS_Daily!C310*market_share_A*acceptance_rate*stack_activation,power_mw*hours_per_day,capacity_mwh))*DAMAS_Daily!E310*activation_mult_A)&gt;=(power_mw*hours_per_day*damas_afrr_down*capacity_mult_A*stack_capacity*acceptance_rate+(MIN(DAMAS_Daily!D310*market_share_A*acceptance_rate*stack_activation,power_mw*hours_per_day,capacity_mwh))*DAMAS_Daily!F310*activation_mult_A),"aFRR+","aFRR-")</f>
        <v/>
      </c>
      <c r="D310" s="43">
        <f>IF(C310="aFRR+",damas_afrr_up*capacity_mult_A,damas_afrr_down*capacity_mult_A)</f>
        <v/>
      </c>
      <c r="E310" s="44">
        <f>acceptance_rate</f>
        <v/>
      </c>
      <c r="F310" s="13">
        <f>IF(C310="aFRR+",power_mw*hours_per_day*damas_afrr_up*capacity_mult_A*stack_capacity*acceptance_rate,power_mw*hours_per_day*damas_afrr_down*capacity_mult_A*stack_capacity*acceptance_rate)</f>
        <v/>
      </c>
      <c r="G310" s="42">
        <f>IF(C310="aFRR+",DAMAS_Daily!I310,DAMAS_Daily!J310)</f>
        <v/>
      </c>
      <c r="H310" s="43">
        <f>IF(C310="aFRR+",DAMAS_Daily!E310,DAMAS_Daily!F310)</f>
        <v/>
      </c>
      <c r="I310" s="43">
        <f>IF(C310="aFRR+",DAMAS_Daily!G310,DAMAS_Daily!H310)</f>
        <v/>
      </c>
      <c r="J310" s="45">
        <f>IF(C310="aFRR+",DAMAS_Daily!C310,DAMAS_Daily!D310)</f>
        <v/>
      </c>
      <c r="K310" s="45">
        <f>IF(C310="aFRR+",MIN(DAMAS_Daily!C310*market_share_A*acceptance_rate*stack_activation,power_mw*hours_per_day,capacity_mwh),MIN(DAMAS_Daily!D310*market_share_A*acceptance_rate*stack_activation,power_mw*hours_per_day,capacity_mwh))</f>
        <v/>
      </c>
      <c r="L310" s="42">
        <f>IF(K310&gt;=capacity_mwh-0.01,"yes","no")</f>
        <v/>
      </c>
      <c r="M310" s="13">
        <f>IF(C310="aFRR+",(MIN(DAMAS_Daily!C310*market_share_A*acceptance_rate*stack_activation,power_mw*hours_per_day,capacity_mwh))*DAMAS_Daily!E310*activation_mult_A,(MIN(DAMAS_Daily!D310*market_share_A*acceptance_rate*stack_activation,power_mw*hours_per_day,capacity_mwh))*DAMAS_Daily!F310*activation_mult_A)</f>
        <v/>
      </c>
      <c r="N310" s="14">
        <f>F310+M310</f>
        <v/>
      </c>
    </row>
    <row r="311">
      <c r="A311" s="41">
        <f>DAMAS_Daily!A311</f>
        <v/>
      </c>
      <c r="B311" s="42">
        <f>DAMAS_Daily!B311</f>
        <v/>
      </c>
      <c r="C311" s="42">
        <f>IF((power_mw*hours_per_day*damas_afrr_up*capacity_mult_A*stack_capacity*acceptance_rate+(MIN(DAMAS_Daily!C311*market_share_A*acceptance_rate*stack_activation,power_mw*hours_per_day,capacity_mwh))*DAMAS_Daily!E311*activation_mult_A)&gt;=(power_mw*hours_per_day*damas_afrr_down*capacity_mult_A*stack_capacity*acceptance_rate+(MIN(DAMAS_Daily!D311*market_share_A*acceptance_rate*stack_activation,power_mw*hours_per_day,capacity_mwh))*DAMAS_Daily!F311*activation_mult_A),"aFRR+","aFRR-")</f>
        <v/>
      </c>
      <c r="D311" s="43">
        <f>IF(C311="aFRR+",damas_afrr_up*capacity_mult_A,damas_afrr_down*capacity_mult_A)</f>
        <v/>
      </c>
      <c r="E311" s="44">
        <f>acceptance_rate</f>
        <v/>
      </c>
      <c r="F311" s="13">
        <f>IF(C311="aFRR+",power_mw*hours_per_day*damas_afrr_up*capacity_mult_A*stack_capacity*acceptance_rate,power_mw*hours_per_day*damas_afrr_down*capacity_mult_A*stack_capacity*acceptance_rate)</f>
        <v/>
      </c>
      <c r="G311" s="42">
        <f>IF(C311="aFRR+",DAMAS_Daily!I311,DAMAS_Daily!J311)</f>
        <v/>
      </c>
      <c r="H311" s="43">
        <f>IF(C311="aFRR+",DAMAS_Daily!E311,DAMAS_Daily!F311)</f>
        <v/>
      </c>
      <c r="I311" s="43">
        <f>IF(C311="aFRR+",DAMAS_Daily!G311,DAMAS_Daily!H311)</f>
        <v/>
      </c>
      <c r="J311" s="45">
        <f>IF(C311="aFRR+",DAMAS_Daily!C311,DAMAS_Daily!D311)</f>
        <v/>
      </c>
      <c r="K311" s="45">
        <f>IF(C311="aFRR+",MIN(DAMAS_Daily!C311*market_share_A*acceptance_rate*stack_activation,power_mw*hours_per_day,capacity_mwh),MIN(DAMAS_Daily!D311*market_share_A*acceptance_rate*stack_activation,power_mw*hours_per_day,capacity_mwh))</f>
        <v/>
      </c>
      <c r="L311" s="42">
        <f>IF(K311&gt;=capacity_mwh-0.01,"yes","no")</f>
        <v/>
      </c>
      <c r="M311" s="13">
        <f>IF(C311="aFRR+",(MIN(DAMAS_Daily!C311*market_share_A*acceptance_rate*stack_activation,power_mw*hours_per_day,capacity_mwh))*DAMAS_Daily!E311*activation_mult_A,(MIN(DAMAS_Daily!D311*market_share_A*acceptance_rate*stack_activation,power_mw*hours_per_day,capacity_mwh))*DAMAS_Daily!F311*activation_mult_A)</f>
        <v/>
      </c>
      <c r="N311" s="14">
        <f>F311+M311</f>
        <v/>
      </c>
    </row>
    <row r="312">
      <c r="A312" s="41">
        <f>DAMAS_Daily!A312</f>
        <v/>
      </c>
      <c r="B312" s="42">
        <f>DAMAS_Daily!B312</f>
        <v/>
      </c>
      <c r="C312" s="42">
        <f>IF((power_mw*hours_per_day*damas_afrr_up*capacity_mult_A*stack_capacity*acceptance_rate+(MIN(DAMAS_Daily!C312*market_share_A*acceptance_rate*stack_activation,power_mw*hours_per_day,capacity_mwh))*DAMAS_Daily!E312*activation_mult_A)&gt;=(power_mw*hours_per_day*damas_afrr_down*capacity_mult_A*stack_capacity*acceptance_rate+(MIN(DAMAS_Daily!D312*market_share_A*acceptance_rate*stack_activation,power_mw*hours_per_day,capacity_mwh))*DAMAS_Daily!F312*activation_mult_A),"aFRR+","aFRR-")</f>
        <v/>
      </c>
      <c r="D312" s="43">
        <f>IF(C312="aFRR+",damas_afrr_up*capacity_mult_A,damas_afrr_down*capacity_mult_A)</f>
        <v/>
      </c>
      <c r="E312" s="44">
        <f>acceptance_rate</f>
        <v/>
      </c>
      <c r="F312" s="13">
        <f>IF(C312="aFRR+",power_mw*hours_per_day*damas_afrr_up*capacity_mult_A*stack_capacity*acceptance_rate,power_mw*hours_per_day*damas_afrr_down*capacity_mult_A*stack_capacity*acceptance_rate)</f>
        <v/>
      </c>
      <c r="G312" s="42">
        <f>IF(C312="aFRR+",DAMAS_Daily!I312,DAMAS_Daily!J312)</f>
        <v/>
      </c>
      <c r="H312" s="43">
        <f>IF(C312="aFRR+",DAMAS_Daily!E312,DAMAS_Daily!F312)</f>
        <v/>
      </c>
      <c r="I312" s="43">
        <f>IF(C312="aFRR+",DAMAS_Daily!G312,DAMAS_Daily!H312)</f>
        <v/>
      </c>
      <c r="J312" s="45">
        <f>IF(C312="aFRR+",DAMAS_Daily!C312,DAMAS_Daily!D312)</f>
        <v/>
      </c>
      <c r="K312" s="45">
        <f>IF(C312="aFRR+",MIN(DAMAS_Daily!C312*market_share_A*acceptance_rate*stack_activation,power_mw*hours_per_day,capacity_mwh),MIN(DAMAS_Daily!D312*market_share_A*acceptance_rate*stack_activation,power_mw*hours_per_day,capacity_mwh))</f>
        <v/>
      </c>
      <c r="L312" s="42">
        <f>IF(K312&gt;=capacity_mwh-0.01,"yes","no")</f>
        <v/>
      </c>
      <c r="M312" s="13">
        <f>IF(C312="aFRR+",(MIN(DAMAS_Daily!C312*market_share_A*acceptance_rate*stack_activation,power_mw*hours_per_day,capacity_mwh))*DAMAS_Daily!E312*activation_mult_A,(MIN(DAMAS_Daily!D312*market_share_A*acceptance_rate*stack_activation,power_mw*hours_per_day,capacity_mwh))*DAMAS_Daily!F312*activation_mult_A)</f>
        <v/>
      </c>
      <c r="N312" s="14">
        <f>F312+M312</f>
        <v/>
      </c>
    </row>
    <row r="313">
      <c r="A313" s="41">
        <f>DAMAS_Daily!A313</f>
        <v/>
      </c>
      <c r="B313" s="42">
        <f>DAMAS_Daily!B313</f>
        <v/>
      </c>
      <c r="C313" s="42">
        <f>IF((power_mw*hours_per_day*damas_afrr_up*capacity_mult_A*stack_capacity*acceptance_rate+(MIN(DAMAS_Daily!C313*market_share_A*acceptance_rate*stack_activation,power_mw*hours_per_day,capacity_mwh))*DAMAS_Daily!E313*activation_mult_A)&gt;=(power_mw*hours_per_day*damas_afrr_down*capacity_mult_A*stack_capacity*acceptance_rate+(MIN(DAMAS_Daily!D313*market_share_A*acceptance_rate*stack_activation,power_mw*hours_per_day,capacity_mwh))*DAMAS_Daily!F313*activation_mult_A),"aFRR+","aFRR-")</f>
        <v/>
      </c>
      <c r="D313" s="43">
        <f>IF(C313="aFRR+",damas_afrr_up*capacity_mult_A,damas_afrr_down*capacity_mult_A)</f>
        <v/>
      </c>
      <c r="E313" s="44">
        <f>acceptance_rate</f>
        <v/>
      </c>
      <c r="F313" s="13">
        <f>IF(C313="aFRR+",power_mw*hours_per_day*damas_afrr_up*capacity_mult_A*stack_capacity*acceptance_rate,power_mw*hours_per_day*damas_afrr_down*capacity_mult_A*stack_capacity*acceptance_rate)</f>
        <v/>
      </c>
      <c r="G313" s="42">
        <f>IF(C313="aFRR+",DAMAS_Daily!I313,DAMAS_Daily!J313)</f>
        <v/>
      </c>
      <c r="H313" s="43">
        <f>IF(C313="aFRR+",DAMAS_Daily!E313,DAMAS_Daily!F313)</f>
        <v/>
      </c>
      <c r="I313" s="43">
        <f>IF(C313="aFRR+",DAMAS_Daily!G313,DAMAS_Daily!H313)</f>
        <v/>
      </c>
      <c r="J313" s="45">
        <f>IF(C313="aFRR+",DAMAS_Daily!C313,DAMAS_Daily!D313)</f>
        <v/>
      </c>
      <c r="K313" s="45">
        <f>IF(C313="aFRR+",MIN(DAMAS_Daily!C313*market_share_A*acceptance_rate*stack_activation,power_mw*hours_per_day,capacity_mwh),MIN(DAMAS_Daily!D313*market_share_A*acceptance_rate*stack_activation,power_mw*hours_per_day,capacity_mwh))</f>
        <v/>
      </c>
      <c r="L313" s="42">
        <f>IF(K313&gt;=capacity_mwh-0.01,"yes","no")</f>
        <v/>
      </c>
      <c r="M313" s="13">
        <f>IF(C313="aFRR+",(MIN(DAMAS_Daily!C313*market_share_A*acceptance_rate*stack_activation,power_mw*hours_per_day,capacity_mwh))*DAMAS_Daily!E313*activation_mult_A,(MIN(DAMAS_Daily!D313*market_share_A*acceptance_rate*stack_activation,power_mw*hours_per_day,capacity_mwh))*DAMAS_Daily!F313*activation_mult_A)</f>
        <v/>
      </c>
      <c r="N313" s="14">
        <f>F313+M313</f>
        <v/>
      </c>
    </row>
    <row r="314">
      <c r="A314" s="41">
        <f>DAMAS_Daily!A314</f>
        <v/>
      </c>
      <c r="B314" s="42">
        <f>DAMAS_Daily!B314</f>
        <v/>
      </c>
      <c r="C314" s="42">
        <f>IF((power_mw*hours_per_day*damas_afrr_up*capacity_mult_A*stack_capacity*acceptance_rate+(MIN(DAMAS_Daily!C314*market_share_A*acceptance_rate*stack_activation,power_mw*hours_per_day,capacity_mwh))*DAMAS_Daily!E314*activation_mult_A)&gt;=(power_mw*hours_per_day*damas_afrr_down*capacity_mult_A*stack_capacity*acceptance_rate+(MIN(DAMAS_Daily!D314*market_share_A*acceptance_rate*stack_activation,power_mw*hours_per_day,capacity_mwh))*DAMAS_Daily!F314*activation_mult_A),"aFRR+","aFRR-")</f>
        <v/>
      </c>
      <c r="D314" s="43">
        <f>IF(C314="aFRR+",damas_afrr_up*capacity_mult_A,damas_afrr_down*capacity_mult_A)</f>
        <v/>
      </c>
      <c r="E314" s="44">
        <f>acceptance_rate</f>
        <v/>
      </c>
      <c r="F314" s="13">
        <f>IF(C314="aFRR+",power_mw*hours_per_day*damas_afrr_up*capacity_mult_A*stack_capacity*acceptance_rate,power_mw*hours_per_day*damas_afrr_down*capacity_mult_A*stack_capacity*acceptance_rate)</f>
        <v/>
      </c>
      <c r="G314" s="42">
        <f>IF(C314="aFRR+",DAMAS_Daily!I314,DAMAS_Daily!J314)</f>
        <v/>
      </c>
      <c r="H314" s="43">
        <f>IF(C314="aFRR+",DAMAS_Daily!E314,DAMAS_Daily!F314)</f>
        <v/>
      </c>
      <c r="I314" s="43">
        <f>IF(C314="aFRR+",DAMAS_Daily!G314,DAMAS_Daily!H314)</f>
        <v/>
      </c>
      <c r="J314" s="45">
        <f>IF(C314="aFRR+",DAMAS_Daily!C314,DAMAS_Daily!D314)</f>
        <v/>
      </c>
      <c r="K314" s="45">
        <f>IF(C314="aFRR+",MIN(DAMAS_Daily!C314*market_share_A*acceptance_rate*stack_activation,power_mw*hours_per_day,capacity_mwh),MIN(DAMAS_Daily!D314*market_share_A*acceptance_rate*stack_activation,power_mw*hours_per_day,capacity_mwh))</f>
        <v/>
      </c>
      <c r="L314" s="42">
        <f>IF(K314&gt;=capacity_mwh-0.01,"yes","no")</f>
        <v/>
      </c>
      <c r="M314" s="13">
        <f>IF(C314="aFRR+",(MIN(DAMAS_Daily!C314*market_share_A*acceptance_rate*stack_activation,power_mw*hours_per_day,capacity_mwh))*DAMAS_Daily!E314*activation_mult_A,(MIN(DAMAS_Daily!D314*market_share_A*acceptance_rate*stack_activation,power_mw*hours_per_day,capacity_mwh))*DAMAS_Daily!F314*activation_mult_A)</f>
        <v/>
      </c>
      <c r="N314" s="14">
        <f>F314+M314</f>
        <v/>
      </c>
    </row>
    <row r="315">
      <c r="A315" s="41">
        <f>DAMAS_Daily!A315</f>
        <v/>
      </c>
      <c r="B315" s="42">
        <f>DAMAS_Daily!B315</f>
        <v/>
      </c>
      <c r="C315" s="42">
        <f>IF((power_mw*hours_per_day*damas_afrr_up*capacity_mult_A*stack_capacity*acceptance_rate+(MIN(DAMAS_Daily!C315*market_share_A*acceptance_rate*stack_activation,power_mw*hours_per_day,capacity_mwh))*DAMAS_Daily!E315*activation_mult_A)&gt;=(power_mw*hours_per_day*damas_afrr_down*capacity_mult_A*stack_capacity*acceptance_rate+(MIN(DAMAS_Daily!D315*market_share_A*acceptance_rate*stack_activation,power_mw*hours_per_day,capacity_mwh))*DAMAS_Daily!F315*activation_mult_A),"aFRR+","aFRR-")</f>
        <v/>
      </c>
      <c r="D315" s="43">
        <f>IF(C315="aFRR+",damas_afrr_up*capacity_mult_A,damas_afrr_down*capacity_mult_A)</f>
        <v/>
      </c>
      <c r="E315" s="44">
        <f>acceptance_rate</f>
        <v/>
      </c>
      <c r="F315" s="13">
        <f>IF(C315="aFRR+",power_mw*hours_per_day*damas_afrr_up*capacity_mult_A*stack_capacity*acceptance_rate,power_mw*hours_per_day*damas_afrr_down*capacity_mult_A*stack_capacity*acceptance_rate)</f>
        <v/>
      </c>
      <c r="G315" s="42">
        <f>IF(C315="aFRR+",DAMAS_Daily!I315,DAMAS_Daily!J315)</f>
        <v/>
      </c>
      <c r="H315" s="43">
        <f>IF(C315="aFRR+",DAMAS_Daily!E315,DAMAS_Daily!F315)</f>
        <v/>
      </c>
      <c r="I315" s="43">
        <f>IF(C315="aFRR+",DAMAS_Daily!G315,DAMAS_Daily!H315)</f>
        <v/>
      </c>
      <c r="J315" s="45">
        <f>IF(C315="aFRR+",DAMAS_Daily!C315,DAMAS_Daily!D315)</f>
        <v/>
      </c>
      <c r="K315" s="45">
        <f>IF(C315="aFRR+",MIN(DAMAS_Daily!C315*market_share_A*acceptance_rate*stack_activation,power_mw*hours_per_day,capacity_mwh),MIN(DAMAS_Daily!D315*market_share_A*acceptance_rate*stack_activation,power_mw*hours_per_day,capacity_mwh))</f>
        <v/>
      </c>
      <c r="L315" s="42">
        <f>IF(K315&gt;=capacity_mwh-0.01,"yes","no")</f>
        <v/>
      </c>
      <c r="M315" s="13">
        <f>IF(C315="aFRR+",(MIN(DAMAS_Daily!C315*market_share_A*acceptance_rate*stack_activation,power_mw*hours_per_day,capacity_mwh))*DAMAS_Daily!E315*activation_mult_A,(MIN(DAMAS_Daily!D315*market_share_A*acceptance_rate*stack_activation,power_mw*hours_per_day,capacity_mwh))*DAMAS_Daily!F315*activation_mult_A)</f>
        <v/>
      </c>
      <c r="N315" s="14">
        <f>F315+M315</f>
        <v/>
      </c>
    </row>
    <row r="316">
      <c r="A316" s="41">
        <f>DAMAS_Daily!A316</f>
        <v/>
      </c>
      <c r="B316" s="42">
        <f>DAMAS_Daily!B316</f>
        <v/>
      </c>
      <c r="C316" s="42">
        <f>IF((power_mw*hours_per_day*damas_afrr_up*capacity_mult_A*stack_capacity*acceptance_rate+(MIN(DAMAS_Daily!C316*market_share_A*acceptance_rate*stack_activation,power_mw*hours_per_day,capacity_mwh))*DAMAS_Daily!E316*activation_mult_A)&gt;=(power_mw*hours_per_day*damas_afrr_down*capacity_mult_A*stack_capacity*acceptance_rate+(MIN(DAMAS_Daily!D316*market_share_A*acceptance_rate*stack_activation,power_mw*hours_per_day,capacity_mwh))*DAMAS_Daily!F316*activation_mult_A),"aFRR+","aFRR-")</f>
        <v/>
      </c>
      <c r="D316" s="43">
        <f>IF(C316="aFRR+",damas_afrr_up*capacity_mult_A,damas_afrr_down*capacity_mult_A)</f>
        <v/>
      </c>
      <c r="E316" s="44">
        <f>acceptance_rate</f>
        <v/>
      </c>
      <c r="F316" s="13">
        <f>IF(C316="aFRR+",power_mw*hours_per_day*damas_afrr_up*capacity_mult_A*stack_capacity*acceptance_rate,power_mw*hours_per_day*damas_afrr_down*capacity_mult_A*stack_capacity*acceptance_rate)</f>
        <v/>
      </c>
      <c r="G316" s="42">
        <f>IF(C316="aFRR+",DAMAS_Daily!I316,DAMAS_Daily!J316)</f>
        <v/>
      </c>
      <c r="H316" s="43">
        <f>IF(C316="aFRR+",DAMAS_Daily!E316,DAMAS_Daily!F316)</f>
        <v/>
      </c>
      <c r="I316" s="43">
        <f>IF(C316="aFRR+",DAMAS_Daily!G316,DAMAS_Daily!H316)</f>
        <v/>
      </c>
      <c r="J316" s="45">
        <f>IF(C316="aFRR+",DAMAS_Daily!C316,DAMAS_Daily!D316)</f>
        <v/>
      </c>
      <c r="K316" s="45">
        <f>IF(C316="aFRR+",MIN(DAMAS_Daily!C316*market_share_A*acceptance_rate*stack_activation,power_mw*hours_per_day,capacity_mwh),MIN(DAMAS_Daily!D316*market_share_A*acceptance_rate*stack_activation,power_mw*hours_per_day,capacity_mwh))</f>
        <v/>
      </c>
      <c r="L316" s="42">
        <f>IF(K316&gt;=capacity_mwh-0.01,"yes","no")</f>
        <v/>
      </c>
      <c r="M316" s="13">
        <f>IF(C316="aFRR+",(MIN(DAMAS_Daily!C316*market_share_A*acceptance_rate*stack_activation,power_mw*hours_per_day,capacity_mwh))*DAMAS_Daily!E316*activation_mult_A,(MIN(DAMAS_Daily!D316*market_share_A*acceptance_rate*stack_activation,power_mw*hours_per_day,capacity_mwh))*DAMAS_Daily!F316*activation_mult_A)</f>
        <v/>
      </c>
      <c r="N316" s="14">
        <f>F316+M316</f>
        <v/>
      </c>
    </row>
    <row r="317">
      <c r="A317" s="41">
        <f>DAMAS_Daily!A317</f>
        <v/>
      </c>
      <c r="B317" s="42">
        <f>DAMAS_Daily!B317</f>
        <v/>
      </c>
      <c r="C317" s="42">
        <f>IF((power_mw*hours_per_day*damas_afrr_up*capacity_mult_A*stack_capacity*acceptance_rate+(MIN(DAMAS_Daily!C317*market_share_A*acceptance_rate*stack_activation,power_mw*hours_per_day,capacity_mwh))*DAMAS_Daily!E317*activation_mult_A)&gt;=(power_mw*hours_per_day*damas_afrr_down*capacity_mult_A*stack_capacity*acceptance_rate+(MIN(DAMAS_Daily!D317*market_share_A*acceptance_rate*stack_activation,power_mw*hours_per_day,capacity_mwh))*DAMAS_Daily!F317*activation_mult_A),"aFRR+","aFRR-")</f>
        <v/>
      </c>
      <c r="D317" s="43">
        <f>IF(C317="aFRR+",damas_afrr_up*capacity_mult_A,damas_afrr_down*capacity_mult_A)</f>
        <v/>
      </c>
      <c r="E317" s="44">
        <f>acceptance_rate</f>
        <v/>
      </c>
      <c r="F317" s="13">
        <f>IF(C317="aFRR+",power_mw*hours_per_day*damas_afrr_up*capacity_mult_A*stack_capacity*acceptance_rate,power_mw*hours_per_day*damas_afrr_down*capacity_mult_A*stack_capacity*acceptance_rate)</f>
        <v/>
      </c>
      <c r="G317" s="42">
        <f>IF(C317="aFRR+",DAMAS_Daily!I317,DAMAS_Daily!J317)</f>
        <v/>
      </c>
      <c r="H317" s="43">
        <f>IF(C317="aFRR+",DAMAS_Daily!E317,DAMAS_Daily!F317)</f>
        <v/>
      </c>
      <c r="I317" s="43">
        <f>IF(C317="aFRR+",DAMAS_Daily!G317,DAMAS_Daily!H317)</f>
        <v/>
      </c>
      <c r="J317" s="45">
        <f>IF(C317="aFRR+",DAMAS_Daily!C317,DAMAS_Daily!D317)</f>
        <v/>
      </c>
      <c r="K317" s="45">
        <f>IF(C317="aFRR+",MIN(DAMAS_Daily!C317*market_share_A*acceptance_rate*stack_activation,power_mw*hours_per_day,capacity_mwh),MIN(DAMAS_Daily!D317*market_share_A*acceptance_rate*stack_activation,power_mw*hours_per_day,capacity_mwh))</f>
        <v/>
      </c>
      <c r="L317" s="42">
        <f>IF(K317&gt;=capacity_mwh-0.01,"yes","no")</f>
        <v/>
      </c>
      <c r="M317" s="13">
        <f>IF(C317="aFRR+",(MIN(DAMAS_Daily!C317*market_share_A*acceptance_rate*stack_activation,power_mw*hours_per_day,capacity_mwh))*DAMAS_Daily!E317*activation_mult_A,(MIN(DAMAS_Daily!D317*market_share_A*acceptance_rate*stack_activation,power_mw*hours_per_day,capacity_mwh))*DAMAS_Daily!F317*activation_mult_A)</f>
        <v/>
      </c>
      <c r="N317" s="14">
        <f>F317+M317</f>
        <v/>
      </c>
    </row>
    <row r="318">
      <c r="A318" s="41">
        <f>DAMAS_Daily!A318</f>
        <v/>
      </c>
      <c r="B318" s="42">
        <f>DAMAS_Daily!B318</f>
        <v/>
      </c>
      <c r="C318" s="42">
        <f>IF((power_mw*hours_per_day*damas_afrr_up*capacity_mult_A*stack_capacity*acceptance_rate+(MIN(DAMAS_Daily!C318*market_share_A*acceptance_rate*stack_activation,power_mw*hours_per_day,capacity_mwh))*DAMAS_Daily!E318*activation_mult_A)&gt;=(power_mw*hours_per_day*damas_afrr_down*capacity_mult_A*stack_capacity*acceptance_rate+(MIN(DAMAS_Daily!D318*market_share_A*acceptance_rate*stack_activation,power_mw*hours_per_day,capacity_mwh))*DAMAS_Daily!F318*activation_mult_A),"aFRR+","aFRR-")</f>
        <v/>
      </c>
      <c r="D318" s="43">
        <f>IF(C318="aFRR+",damas_afrr_up*capacity_mult_A,damas_afrr_down*capacity_mult_A)</f>
        <v/>
      </c>
      <c r="E318" s="44">
        <f>acceptance_rate</f>
        <v/>
      </c>
      <c r="F318" s="13">
        <f>IF(C318="aFRR+",power_mw*hours_per_day*damas_afrr_up*capacity_mult_A*stack_capacity*acceptance_rate,power_mw*hours_per_day*damas_afrr_down*capacity_mult_A*stack_capacity*acceptance_rate)</f>
        <v/>
      </c>
      <c r="G318" s="42">
        <f>IF(C318="aFRR+",DAMAS_Daily!I318,DAMAS_Daily!J318)</f>
        <v/>
      </c>
      <c r="H318" s="43">
        <f>IF(C318="aFRR+",DAMAS_Daily!E318,DAMAS_Daily!F318)</f>
        <v/>
      </c>
      <c r="I318" s="43">
        <f>IF(C318="aFRR+",DAMAS_Daily!G318,DAMAS_Daily!H318)</f>
        <v/>
      </c>
      <c r="J318" s="45">
        <f>IF(C318="aFRR+",DAMAS_Daily!C318,DAMAS_Daily!D318)</f>
        <v/>
      </c>
      <c r="K318" s="45">
        <f>IF(C318="aFRR+",MIN(DAMAS_Daily!C318*market_share_A*acceptance_rate*stack_activation,power_mw*hours_per_day,capacity_mwh),MIN(DAMAS_Daily!D318*market_share_A*acceptance_rate*stack_activation,power_mw*hours_per_day,capacity_mwh))</f>
        <v/>
      </c>
      <c r="L318" s="42">
        <f>IF(K318&gt;=capacity_mwh-0.01,"yes","no")</f>
        <v/>
      </c>
      <c r="M318" s="13">
        <f>IF(C318="aFRR+",(MIN(DAMAS_Daily!C318*market_share_A*acceptance_rate*stack_activation,power_mw*hours_per_day,capacity_mwh))*DAMAS_Daily!E318*activation_mult_A,(MIN(DAMAS_Daily!D318*market_share_A*acceptance_rate*stack_activation,power_mw*hours_per_day,capacity_mwh))*DAMAS_Daily!F318*activation_mult_A)</f>
        <v/>
      </c>
      <c r="N318" s="14">
        <f>F318+M318</f>
        <v/>
      </c>
    </row>
    <row r="319">
      <c r="A319" s="41">
        <f>DAMAS_Daily!A319</f>
        <v/>
      </c>
      <c r="B319" s="42">
        <f>DAMAS_Daily!B319</f>
        <v/>
      </c>
      <c r="C319" s="42">
        <f>IF((power_mw*hours_per_day*damas_afrr_up*capacity_mult_A*stack_capacity*acceptance_rate+(MIN(DAMAS_Daily!C319*market_share_A*acceptance_rate*stack_activation,power_mw*hours_per_day,capacity_mwh))*DAMAS_Daily!E319*activation_mult_A)&gt;=(power_mw*hours_per_day*damas_afrr_down*capacity_mult_A*stack_capacity*acceptance_rate+(MIN(DAMAS_Daily!D319*market_share_A*acceptance_rate*stack_activation,power_mw*hours_per_day,capacity_mwh))*DAMAS_Daily!F319*activation_mult_A),"aFRR+","aFRR-")</f>
        <v/>
      </c>
      <c r="D319" s="43">
        <f>IF(C319="aFRR+",damas_afrr_up*capacity_mult_A,damas_afrr_down*capacity_mult_A)</f>
        <v/>
      </c>
      <c r="E319" s="44">
        <f>acceptance_rate</f>
        <v/>
      </c>
      <c r="F319" s="13">
        <f>IF(C319="aFRR+",power_mw*hours_per_day*damas_afrr_up*capacity_mult_A*stack_capacity*acceptance_rate,power_mw*hours_per_day*damas_afrr_down*capacity_mult_A*stack_capacity*acceptance_rate)</f>
        <v/>
      </c>
      <c r="G319" s="42">
        <f>IF(C319="aFRR+",DAMAS_Daily!I319,DAMAS_Daily!J319)</f>
        <v/>
      </c>
      <c r="H319" s="43">
        <f>IF(C319="aFRR+",DAMAS_Daily!E319,DAMAS_Daily!F319)</f>
        <v/>
      </c>
      <c r="I319" s="43">
        <f>IF(C319="aFRR+",DAMAS_Daily!G319,DAMAS_Daily!H319)</f>
        <v/>
      </c>
      <c r="J319" s="45">
        <f>IF(C319="aFRR+",DAMAS_Daily!C319,DAMAS_Daily!D319)</f>
        <v/>
      </c>
      <c r="K319" s="45">
        <f>IF(C319="aFRR+",MIN(DAMAS_Daily!C319*market_share_A*acceptance_rate*stack_activation,power_mw*hours_per_day,capacity_mwh),MIN(DAMAS_Daily!D319*market_share_A*acceptance_rate*stack_activation,power_mw*hours_per_day,capacity_mwh))</f>
        <v/>
      </c>
      <c r="L319" s="42">
        <f>IF(K319&gt;=capacity_mwh-0.01,"yes","no")</f>
        <v/>
      </c>
      <c r="M319" s="13">
        <f>IF(C319="aFRR+",(MIN(DAMAS_Daily!C319*market_share_A*acceptance_rate*stack_activation,power_mw*hours_per_day,capacity_mwh))*DAMAS_Daily!E319*activation_mult_A,(MIN(DAMAS_Daily!D319*market_share_A*acceptance_rate*stack_activation,power_mw*hours_per_day,capacity_mwh))*DAMAS_Daily!F319*activation_mult_A)</f>
        <v/>
      </c>
      <c r="N319" s="14">
        <f>F319+M319</f>
        <v/>
      </c>
    </row>
    <row r="320">
      <c r="A320" s="41">
        <f>DAMAS_Daily!A320</f>
        <v/>
      </c>
      <c r="B320" s="42">
        <f>DAMAS_Daily!B320</f>
        <v/>
      </c>
      <c r="C320" s="42">
        <f>IF((power_mw*hours_per_day*damas_afrr_up*capacity_mult_A*stack_capacity*acceptance_rate+(MIN(DAMAS_Daily!C320*market_share_A*acceptance_rate*stack_activation,power_mw*hours_per_day,capacity_mwh))*DAMAS_Daily!E320*activation_mult_A)&gt;=(power_mw*hours_per_day*damas_afrr_down*capacity_mult_A*stack_capacity*acceptance_rate+(MIN(DAMAS_Daily!D320*market_share_A*acceptance_rate*stack_activation,power_mw*hours_per_day,capacity_mwh))*DAMAS_Daily!F320*activation_mult_A),"aFRR+","aFRR-")</f>
        <v/>
      </c>
      <c r="D320" s="43">
        <f>IF(C320="aFRR+",damas_afrr_up*capacity_mult_A,damas_afrr_down*capacity_mult_A)</f>
        <v/>
      </c>
      <c r="E320" s="44">
        <f>acceptance_rate</f>
        <v/>
      </c>
      <c r="F320" s="13">
        <f>IF(C320="aFRR+",power_mw*hours_per_day*damas_afrr_up*capacity_mult_A*stack_capacity*acceptance_rate,power_mw*hours_per_day*damas_afrr_down*capacity_mult_A*stack_capacity*acceptance_rate)</f>
        <v/>
      </c>
      <c r="G320" s="42">
        <f>IF(C320="aFRR+",DAMAS_Daily!I320,DAMAS_Daily!J320)</f>
        <v/>
      </c>
      <c r="H320" s="43">
        <f>IF(C320="aFRR+",DAMAS_Daily!E320,DAMAS_Daily!F320)</f>
        <v/>
      </c>
      <c r="I320" s="43">
        <f>IF(C320="aFRR+",DAMAS_Daily!G320,DAMAS_Daily!H320)</f>
        <v/>
      </c>
      <c r="J320" s="45">
        <f>IF(C320="aFRR+",DAMAS_Daily!C320,DAMAS_Daily!D320)</f>
        <v/>
      </c>
      <c r="K320" s="45">
        <f>IF(C320="aFRR+",MIN(DAMAS_Daily!C320*market_share_A*acceptance_rate*stack_activation,power_mw*hours_per_day,capacity_mwh),MIN(DAMAS_Daily!D320*market_share_A*acceptance_rate*stack_activation,power_mw*hours_per_day,capacity_mwh))</f>
        <v/>
      </c>
      <c r="L320" s="42">
        <f>IF(K320&gt;=capacity_mwh-0.01,"yes","no")</f>
        <v/>
      </c>
      <c r="M320" s="13">
        <f>IF(C320="aFRR+",(MIN(DAMAS_Daily!C320*market_share_A*acceptance_rate*stack_activation,power_mw*hours_per_day,capacity_mwh))*DAMAS_Daily!E320*activation_mult_A,(MIN(DAMAS_Daily!D320*market_share_A*acceptance_rate*stack_activation,power_mw*hours_per_day,capacity_mwh))*DAMAS_Daily!F320*activation_mult_A)</f>
        <v/>
      </c>
      <c r="N320" s="14">
        <f>F320+M320</f>
        <v/>
      </c>
    </row>
    <row r="321">
      <c r="A321" s="41">
        <f>DAMAS_Daily!A321</f>
        <v/>
      </c>
      <c r="B321" s="42">
        <f>DAMAS_Daily!B321</f>
        <v/>
      </c>
      <c r="C321" s="42">
        <f>IF((power_mw*hours_per_day*damas_afrr_up*capacity_mult_A*stack_capacity*acceptance_rate+(MIN(DAMAS_Daily!C321*market_share_A*acceptance_rate*stack_activation,power_mw*hours_per_day,capacity_mwh))*DAMAS_Daily!E321*activation_mult_A)&gt;=(power_mw*hours_per_day*damas_afrr_down*capacity_mult_A*stack_capacity*acceptance_rate+(MIN(DAMAS_Daily!D321*market_share_A*acceptance_rate*stack_activation,power_mw*hours_per_day,capacity_mwh))*DAMAS_Daily!F321*activation_mult_A),"aFRR+","aFRR-")</f>
        <v/>
      </c>
      <c r="D321" s="43">
        <f>IF(C321="aFRR+",damas_afrr_up*capacity_mult_A,damas_afrr_down*capacity_mult_A)</f>
        <v/>
      </c>
      <c r="E321" s="44">
        <f>acceptance_rate</f>
        <v/>
      </c>
      <c r="F321" s="13">
        <f>IF(C321="aFRR+",power_mw*hours_per_day*damas_afrr_up*capacity_mult_A*stack_capacity*acceptance_rate,power_mw*hours_per_day*damas_afrr_down*capacity_mult_A*stack_capacity*acceptance_rate)</f>
        <v/>
      </c>
      <c r="G321" s="42">
        <f>IF(C321="aFRR+",DAMAS_Daily!I321,DAMAS_Daily!J321)</f>
        <v/>
      </c>
      <c r="H321" s="43">
        <f>IF(C321="aFRR+",DAMAS_Daily!E321,DAMAS_Daily!F321)</f>
        <v/>
      </c>
      <c r="I321" s="43">
        <f>IF(C321="aFRR+",DAMAS_Daily!G321,DAMAS_Daily!H321)</f>
        <v/>
      </c>
      <c r="J321" s="45">
        <f>IF(C321="aFRR+",DAMAS_Daily!C321,DAMAS_Daily!D321)</f>
        <v/>
      </c>
      <c r="K321" s="45">
        <f>IF(C321="aFRR+",MIN(DAMAS_Daily!C321*market_share_A*acceptance_rate*stack_activation,power_mw*hours_per_day,capacity_mwh),MIN(DAMAS_Daily!D321*market_share_A*acceptance_rate*stack_activation,power_mw*hours_per_day,capacity_mwh))</f>
        <v/>
      </c>
      <c r="L321" s="42">
        <f>IF(K321&gt;=capacity_mwh-0.01,"yes","no")</f>
        <v/>
      </c>
      <c r="M321" s="13">
        <f>IF(C321="aFRR+",(MIN(DAMAS_Daily!C321*market_share_A*acceptance_rate*stack_activation,power_mw*hours_per_day,capacity_mwh))*DAMAS_Daily!E321*activation_mult_A,(MIN(DAMAS_Daily!D321*market_share_A*acceptance_rate*stack_activation,power_mw*hours_per_day,capacity_mwh))*DAMAS_Daily!F321*activation_mult_A)</f>
        <v/>
      </c>
      <c r="N321" s="14">
        <f>F321+M321</f>
        <v/>
      </c>
    </row>
    <row r="322">
      <c r="A322" s="41">
        <f>DAMAS_Daily!A322</f>
        <v/>
      </c>
      <c r="B322" s="42">
        <f>DAMAS_Daily!B322</f>
        <v/>
      </c>
      <c r="C322" s="42">
        <f>IF((power_mw*hours_per_day*damas_afrr_up*capacity_mult_A*stack_capacity*acceptance_rate+(MIN(DAMAS_Daily!C322*market_share_A*acceptance_rate*stack_activation,power_mw*hours_per_day,capacity_mwh))*DAMAS_Daily!E322*activation_mult_A)&gt;=(power_mw*hours_per_day*damas_afrr_down*capacity_mult_A*stack_capacity*acceptance_rate+(MIN(DAMAS_Daily!D322*market_share_A*acceptance_rate*stack_activation,power_mw*hours_per_day,capacity_mwh))*DAMAS_Daily!F322*activation_mult_A),"aFRR+","aFRR-")</f>
        <v/>
      </c>
      <c r="D322" s="43">
        <f>IF(C322="aFRR+",damas_afrr_up*capacity_mult_A,damas_afrr_down*capacity_mult_A)</f>
        <v/>
      </c>
      <c r="E322" s="44">
        <f>acceptance_rate</f>
        <v/>
      </c>
      <c r="F322" s="13">
        <f>IF(C322="aFRR+",power_mw*hours_per_day*damas_afrr_up*capacity_mult_A*stack_capacity*acceptance_rate,power_mw*hours_per_day*damas_afrr_down*capacity_mult_A*stack_capacity*acceptance_rate)</f>
        <v/>
      </c>
      <c r="G322" s="42">
        <f>IF(C322="aFRR+",DAMAS_Daily!I322,DAMAS_Daily!J322)</f>
        <v/>
      </c>
      <c r="H322" s="43">
        <f>IF(C322="aFRR+",DAMAS_Daily!E322,DAMAS_Daily!F322)</f>
        <v/>
      </c>
      <c r="I322" s="43">
        <f>IF(C322="aFRR+",DAMAS_Daily!G322,DAMAS_Daily!H322)</f>
        <v/>
      </c>
      <c r="J322" s="45">
        <f>IF(C322="aFRR+",DAMAS_Daily!C322,DAMAS_Daily!D322)</f>
        <v/>
      </c>
      <c r="K322" s="45">
        <f>IF(C322="aFRR+",MIN(DAMAS_Daily!C322*market_share_A*acceptance_rate*stack_activation,power_mw*hours_per_day,capacity_mwh),MIN(DAMAS_Daily!D322*market_share_A*acceptance_rate*stack_activation,power_mw*hours_per_day,capacity_mwh))</f>
        <v/>
      </c>
      <c r="L322" s="42">
        <f>IF(K322&gt;=capacity_mwh-0.01,"yes","no")</f>
        <v/>
      </c>
      <c r="M322" s="13">
        <f>IF(C322="aFRR+",(MIN(DAMAS_Daily!C322*market_share_A*acceptance_rate*stack_activation,power_mw*hours_per_day,capacity_mwh))*DAMAS_Daily!E322*activation_mult_A,(MIN(DAMAS_Daily!D322*market_share_A*acceptance_rate*stack_activation,power_mw*hours_per_day,capacity_mwh))*DAMAS_Daily!F322*activation_mult_A)</f>
        <v/>
      </c>
      <c r="N322" s="14">
        <f>F322+M322</f>
        <v/>
      </c>
    </row>
    <row r="323">
      <c r="A323" s="41">
        <f>DAMAS_Daily!A323</f>
        <v/>
      </c>
      <c r="B323" s="42">
        <f>DAMAS_Daily!B323</f>
        <v/>
      </c>
      <c r="C323" s="42">
        <f>IF((power_mw*hours_per_day*damas_afrr_up*capacity_mult_A*stack_capacity*acceptance_rate+(MIN(DAMAS_Daily!C323*market_share_A*acceptance_rate*stack_activation,power_mw*hours_per_day,capacity_mwh))*DAMAS_Daily!E323*activation_mult_A)&gt;=(power_mw*hours_per_day*damas_afrr_down*capacity_mult_A*stack_capacity*acceptance_rate+(MIN(DAMAS_Daily!D323*market_share_A*acceptance_rate*stack_activation,power_mw*hours_per_day,capacity_mwh))*DAMAS_Daily!F323*activation_mult_A),"aFRR+","aFRR-")</f>
        <v/>
      </c>
      <c r="D323" s="43">
        <f>IF(C323="aFRR+",damas_afrr_up*capacity_mult_A,damas_afrr_down*capacity_mult_A)</f>
        <v/>
      </c>
      <c r="E323" s="44">
        <f>acceptance_rate</f>
        <v/>
      </c>
      <c r="F323" s="13">
        <f>IF(C323="aFRR+",power_mw*hours_per_day*damas_afrr_up*capacity_mult_A*stack_capacity*acceptance_rate,power_mw*hours_per_day*damas_afrr_down*capacity_mult_A*stack_capacity*acceptance_rate)</f>
        <v/>
      </c>
      <c r="G323" s="42">
        <f>IF(C323="aFRR+",DAMAS_Daily!I323,DAMAS_Daily!J323)</f>
        <v/>
      </c>
      <c r="H323" s="43">
        <f>IF(C323="aFRR+",DAMAS_Daily!E323,DAMAS_Daily!F323)</f>
        <v/>
      </c>
      <c r="I323" s="43">
        <f>IF(C323="aFRR+",DAMAS_Daily!G323,DAMAS_Daily!H323)</f>
        <v/>
      </c>
      <c r="J323" s="45">
        <f>IF(C323="aFRR+",DAMAS_Daily!C323,DAMAS_Daily!D323)</f>
        <v/>
      </c>
      <c r="K323" s="45">
        <f>IF(C323="aFRR+",MIN(DAMAS_Daily!C323*market_share_A*acceptance_rate*stack_activation,power_mw*hours_per_day,capacity_mwh),MIN(DAMAS_Daily!D323*market_share_A*acceptance_rate*stack_activation,power_mw*hours_per_day,capacity_mwh))</f>
        <v/>
      </c>
      <c r="L323" s="42">
        <f>IF(K323&gt;=capacity_mwh-0.01,"yes","no")</f>
        <v/>
      </c>
      <c r="M323" s="13">
        <f>IF(C323="aFRR+",(MIN(DAMAS_Daily!C323*market_share_A*acceptance_rate*stack_activation,power_mw*hours_per_day,capacity_mwh))*DAMAS_Daily!E323*activation_mult_A,(MIN(DAMAS_Daily!D323*market_share_A*acceptance_rate*stack_activation,power_mw*hours_per_day,capacity_mwh))*DAMAS_Daily!F323*activation_mult_A)</f>
        <v/>
      </c>
      <c r="N323" s="14">
        <f>F323+M323</f>
        <v/>
      </c>
    </row>
    <row r="324">
      <c r="A324" s="41">
        <f>DAMAS_Daily!A324</f>
        <v/>
      </c>
      <c r="B324" s="42">
        <f>DAMAS_Daily!B324</f>
        <v/>
      </c>
      <c r="C324" s="42">
        <f>IF((power_mw*hours_per_day*damas_afrr_up*capacity_mult_A*stack_capacity*acceptance_rate+(MIN(DAMAS_Daily!C324*market_share_A*acceptance_rate*stack_activation,power_mw*hours_per_day,capacity_mwh))*DAMAS_Daily!E324*activation_mult_A)&gt;=(power_mw*hours_per_day*damas_afrr_down*capacity_mult_A*stack_capacity*acceptance_rate+(MIN(DAMAS_Daily!D324*market_share_A*acceptance_rate*stack_activation,power_mw*hours_per_day,capacity_mwh))*DAMAS_Daily!F324*activation_mult_A),"aFRR+","aFRR-")</f>
        <v/>
      </c>
      <c r="D324" s="43">
        <f>IF(C324="aFRR+",damas_afrr_up*capacity_mult_A,damas_afrr_down*capacity_mult_A)</f>
        <v/>
      </c>
      <c r="E324" s="44">
        <f>acceptance_rate</f>
        <v/>
      </c>
      <c r="F324" s="13">
        <f>IF(C324="aFRR+",power_mw*hours_per_day*damas_afrr_up*capacity_mult_A*stack_capacity*acceptance_rate,power_mw*hours_per_day*damas_afrr_down*capacity_mult_A*stack_capacity*acceptance_rate)</f>
        <v/>
      </c>
      <c r="G324" s="42">
        <f>IF(C324="aFRR+",DAMAS_Daily!I324,DAMAS_Daily!J324)</f>
        <v/>
      </c>
      <c r="H324" s="43">
        <f>IF(C324="aFRR+",DAMAS_Daily!E324,DAMAS_Daily!F324)</f>
        <v/>
      </c>
      <c r="I324" s="43">
        <f>IF(C324="aFRR+",DAMAS_Daily!G324,DAMAS_Daily!H324)</f>
        <v/>
      </c>
      <c r="J324" s="45">
        <f>IF(C324="aFRR+",DAMAS_Daily!C324,DAMAS_Daily!D324)</f>
        <v/>
      </c>
      <c r="K324" s="45">
        <f>IF(C324="aFRR+",MIN(DAMAS_Daily!C324*market_share_A*acceptance_rate*stack_activation,power_mw*hours_per_day,capacity_mwh),MIN(DAMAS_Daily!D324*market_share_A*acceptance_rate*stack_activation,power_mw*hours_per_day,capacity_mwh))</f>
        <v/>
      </c>
      <c r="L324" s="42">
        <f>IF(K324&gt;=capacity_mwh-0.01,"yes","no")</f>
        <v/>
      </c>
      <c r="M324" s="13">
        <f>IF(C324="aFRR+",(MIN(DAMAS_Daily!C324*market_share_A*acceptance_rate*stack_activation,power_mw*hours_per_day,capacity_mwh))*DAMAS_Daily!E324*activation_mult_A,(MIN(DAMAS_Daily!D324*market_share_A*acceptance_rate*stack_activation,power_mw*hours_per_day,capacity_mwh))*DAMAS_Daily!F324*activation_mult_A)</f>
        <v/>
      </c>
      <c r="N324" s="14">
        <f>F324+M324</f>
        <v/>
      </c>
    </row>
    <row r="325">
      <c r="A325" s="41">
        <f>DAMAS_Daily!A325</f>
        <v/>
      </c>
      <c r="B325" s="42">
        <f>DAMAS_Daily!B325</f>
        <v/>
      </c>
      <c r="C325" s="42">
        <f>IF((power_mw*hours_per_day*damas_afrr_up*capacity_mult_A*stack_capacity*acceptance_rate+(MIN(DAMAS_Daily!C325*market_share_A*acceptance_rate*stack_activation,power_mw*hours_per_day,capacity_mwh))*DAMAS_Daily!E325*activation_mult_A)&gt;=(power_mw*hours_per_day*damas_afrr_down*capacity_mult_A*stack_capacity*acceptance_rate+(MIN(DAMAS_Daily!D325*market_share_A*acceptance_rate*stack_activation,power_mw*hours_per_day,capacity_mwh))*DAMAS_Daily!F325*activation_mult_A),"aFRR+","aFRR-")</f>
        <v/>
      </c>
      <c r="D325" s="43">
        <f>IF(C325="aFRR+",damas_afrr_up*capacity_mult_A,damas_afrr_down*capacity_mult_A)</f>
        <v/>
      </c>
      <c r="E325" s="44">
        <f>acceptance_rate</f>
        <v/>
      </c>
      <c r="F325" s="13">
        <f>IF(C325="aFRR+",power_mw*hours_per_day*damas_afrr_up*capacity_mult_A*stack_capacity*acceptance_rate,power_mw*hours_per_day*damas_afrr_down*capacity_mult_A*stack_capacity*acceptance_rate)</f>
        <v/>
      </c>
      <c r="G325" s="42">
        <f>IF(C325="aFRR+",DAMAS_Daily!I325,DAMAS_Daily!J325)</f>
        <v/>
      </c>
      <c r="H325" s="43">
        <f>IF(C325="aFRR+",DAMAS_Daily!E325,DAMAS_Daily!F325)</f>
        <v/>
      </c>
      <c r="I325" s="43">
        <f>IF(C325="aFRR+",DAMAS_Daily!G325,DAMAS_Daily!H325)</f>
        <v/>
      </c>
      <c r="J325" s="45">
        <f>IF(C325="aFRR+",DAMAS_Daily!C325,DAMAS_Daily!D325)</f>
        <v/>
      </c>
      <c r="K325" s="45">
        <f>IF(C325="aFRR+",MIN(DAMAS_Daily!C325*market_share_A*acceptance_rate*stack_activation,power_mw*hours_per_day,capacity_mwh),MIN(DAMAS_Daily!D325*market_share_A*acceptance_rate*stack_activation,power_mw*hours_per_day,capacity_mwh))</f>
        <v/>
      </c>
      <c r="L325" s="42">
        <f>IF(K325&gt;=capacity_mwh-0.01,"yes","no")</f>
        <v/>
      </c>
      <c r="M325" s="13">
        <f>IF(C325="aFRR+",(MIN(DAMAS_Daily!C325*market_share_A*acceptance_rate*stack_activation,power_mw*hours_per_day,capacity_mwh))*DAMAS_Daily!E325*activation_mult_A,(MIN(DAMAS_Daily!D325*market_share_A*acceptance_rate*stack_activation,power_mw*hours_per_day,capacity_mwh))*DAMAS_Daily!F325*activation_mult_A)</f>
        <v/>
      </c>
      <c r="N325" s="14">
        <f>F325+M325</f>
        <v/>
      </c>
    </row>
    <row r="326">
      <c r="A326" s="41">
        <f>DAMAS_Daily!A326</f>
        <v/>
      </c>
      <c r="B326" s="42">
        <f>DAMAS_Daily!B326</f>
        <v/>
      </c>
      <c r="C326" s="42">
        <f>IF((power_mw*hours_per_day*damas_afrr_up*capacity_mult_A*stack_capacity*acceptance_rate+(MIN(DAMAS_Daily!C326*market_share_A*acceptance_rate*stack_activation,power_mw*hours_per_day,capacity_mwh))*DAMAS_Daily!E326*activation_mult_A)&gt;=(power_mw*hours_per_day*damas_afrr_down*capacity_mult_A*stack_capacity*acceptance_rate+(MIN(DAMAS_Daily!D326*market_share_A*acceptance_rate*stack_activation,power_mw*hours_per_day,capacity_mwh))*DAMAS_Daily!F326*activation_mult_A),"aFRR+","aFRR-")</f>
        <v/>
      </c>
      <c r="D326" s="43">
        <f>IF(C326="aFRR+",damas_afrr_up*capacity_mult_A,damas_afrr_down*capacity_mult_A)</f>
        <v/>
      </c>
      <c r="E326" s="44">
        <f>acceptance_rate</f>
        <v/>
      </c>
      <c r="F326" s="13">
        <f>IF(C326="aFRR+",power_mw*hours_per_day*damas_afrr_up*capacity_mult_A*stack_capacity*acceptance_rate,power_mw*hours_per_day*damas_afrr_down*capacity_mult_A*stack_capacity*acceptance_rate)</f>
        <v/>
      </c>
      <c r="G326" s="42">
        <f>IF(C326="aFRR+",DAMAS_Daily!I326,DAMAS_Daily!J326)</f>
        <v/>
      </c>
      <c r="H326" s="43">
        <f>IF(C326="aFRR+",DAMAS_Daily!E326,DAMAS_Daily!F326)</f>
        <v/>
      </c>
      <c r="I326" s="43">
        <f>IF(C326="aFRR+",DAMAS_Daily!G326,DAMAS_Daily!H326)</f>
        <v/>
      </c>
      <c r="J326" s="45">
        <f>IF(C326="aFRR+",DAMAS_Daily!C326,DAMAS_Daily!D326)</f>
        <v/>
      </c>
      <c r="K326" s="45">
        <f>IF(C326="aFRR+",MIN(DAMAS_Daily!C326*market_share_A*acceptance_rate*stack_activation,power_mw*hours_per_day,capacity_mwh),MIN(DAMAS_Daily!D326*market_share_A*acceptance_rate*stack_activation,power_mw*hours_per_day,capacity_mwh))</f>
        <v/>
      </c>
      <c r="L326" s="42">
        <f>IF(K326&gt;=capacity_mwh-0.01,"yes","no")</f>
        <v/>
      </c>
      <c r="M326" s="13">
        <f>IF(C326="aFRR+",(MIN(DAMAS_Daily!C326*market_share_A*acceptance_rate*stack_activation,power_mw*hours_per_day,capacity_mwh))*DAMAS_Daily!E326*activation_mult_A,(MIN(DAMAS_Daily!D326*market_share_A*acceptance_rate*stack_activation,power_mw*hours_per_day,capacity_mwh))*DAMAS_Daily!F326*activation_mult_A)</f>
        <v/>
      </c>
      <c r="N326" s="14">
        <f>F326+M326</f>
        <v/>
      </c>
    </row>
    <row r="327">
      <c r="A327" s="41">
        <f>DAMAS_Daily!A327</f>
        <v/>
      </c>
      <c r="B327" s="42">
        <f>DAMAS_Daily!B327</f>
        <v/>
      </c>
      <c r="C327" s="42">
        <f>IF((power_mw*hours_per_day*damas_afrr_up*capacity_mult_A*stack_capacity*acceptance_rate+(MIN(DAMAS_Daily!C327*market_share_A*acceptance_rate*stack_activation,power_mw*hours_per_day,capacity_mwh))*DAMAS_Daily!E327*activation_mult_A)&gt;=(power_mw*hours_per_day*damas_afrr_down*capacity_mult_A*stack_capacity*acceptance_rate+(MIN(DAMAS_Daily!D327*market_share_A*acceptance_rate*stack_activation,power_mw*hours_per_day,capacity_mwh))*DAMAS_Daily!F327*activation_mult_A),"aFRR+","aFRR-")</f>
        <v/>
      </c>
      <c r="D327" s="43">
        <f>IF(C327="aFRR+",damas_afrr_up*capacity_mult_A,damas_afrr_down*capacity_mult_A)</f>
        <v/>
      </c>
      <c r="E327" s="44">
        <f>acceptance_rate</f>
        <v/>
      </c>
      <c r="F327" s="13">
        <f>IF(C327="aFRR+",power_mw*hours_per_day*damas_afrr_up*capacity_mult_A*stack_capacity*acceptance_rate,power_mw*hours_per_day*damas_afrr_down*capacity_mult_A*stack_capacity*acceptance_rate)</f>
        <v/>
      </c>
      <c r="G327" s="42">
        <f>IF(C327="aFRR+",DAMAS_Daily!I327,DAMAS_Daily!J327)</f>
        <v/>
      </c>
      <c r="H327" s="43">
        <f>IF(C327="aFRR+",DAMAS_Daily!E327,DAMAS_Daily!F327)</f>
        <v/>
      </c>
      <c r="I327" s="43">
        <f>IF(C327="aFRR+",DAMAS_Daily!G327,DAMAS_Daily!H327)</f>
        <v/>
      </c>
      <c r="J327" s="45">
        <f>IF(C327="aFRR+",DAMAS_Daily!C327,DAMAS_Daily!D327)</f>
        <v/>
      </c>
      <c r="K327" s="45">
        <f>IF(C327="aFRR+",MIN(DAMAS_Daily!C327*market_share_A*acceptance_rate*stack_activation,power_mw*hours_per_day,capacity_mwh),MIN(DAMAS_Daily!D327*market_share_A*acceptance_rate*stack_activation,power_mw*hours_per_day,capacity_mwh))</f>
        <v/>
      </c>
      <c r="L327" s="42">
        <f>IF(K327&gt;=capacity_mwh-0.01,"yes","no")</f>
        <v/>
      </c>
      <c r="M327" s="13">
        <f>IF(C327="aFRR+",(MIN(DAMAS_Daily!C327*market_share_A*acceptance_rate*stack_activation,power_mw*hours_per_day,capacity_mwh))*DAMAS_Daily!E327*activation_mult_A,(MIN(DAMAS_Daily!D327*market_share_A*acceptance_rate*stack_activation,power_mw*hours_per_day,capacity_mwh))*DAMAS_Daily!F327*activation_mult_A)</f>
        <v/>
      </c>
      <c r="N327" s="14">
        <f>F327+M327</f>
        <v/>
      </c>
    </row>
    <row r="328">
      <c r="A328" s="41">
        <f>DAMAS_Daily!A328</f>
        <v/>
      </c>
      <c r="B328" s="42">
        <f>DAMAS_Daily!B328</f>
        <v/>
      </c>
      <c r="C328" s="42">
        <f>IF((power_mw*hours_per_day*damas_afrr_up*capacity_mult_A*stack_capacity*acceptance_rate+(MIN(DAMAS_Daily!C328*market_share_A*acceptance_rate*stack_activation,power_mw*hours_per_day,capacity_mwh))*DAMAS_Daily!E328*activation_mult_A)&gt;=(power_mw*hours_per_day*damas_afrr_down*capacity_mult_A*stack_capacity*acceptance_rate+(MIN(DAMAS_Daily!D328*market_share_A*acceptance_rate*stack_activation,power_mw*hours_per_day,capacity_mwh))*DAMAS_Daily!F328*activation_mult_A),"aFRR+","aFRR-")</f>
        <v/>
      </c>
      <c r="D328" s="43">
        <f>IF(C328="aFRR+",damas_afrr_up*capacity_mult_A,damas_afrr_down*capacity_mult_A)</f>
        <v/>
      </c>
      <c r="E328" s="44">
        <f>acceptance_rate</f>
        <v/>
      </c>
      <c r="F328" s="13">
        <f>IF(C328="aFRR+",power_mw*hours_per_day*damas_afrr_up*capacity_mult_A*stack_capacity*acceptance_rate,power_mw*hours_per_day*damas_afrr_down*capacity_mult_A*stack_capacity*acceptance_rate)</f>
        <v/>
      </c>
      <c r="G328" s="42">
        <f>IF(C328="aFRR+",DAMAS_Daily!I328,DAMAS_Daily!J328)</f>
        <v/>
      </c>
      <c r="H328" s="43">
        <f>IF(C328="aFRR+",DAMAS_Daily!E328,DAMAS_Daily!F328)</f>
        <v/>
      </c>
      <c r="I328" s="43">
        <f>IF(C328="aFRR+",DAMAS_Daily!G328,DAMAS_Daily!H328)</f>
        <v/>
      </c>
      <c r="J328" s="45">
        <f>IF(C328="aFRR+",DAMAS_Daily!C328,DAMAS_Daily!D328)</f>
        <v/>
      </c>
      <c r="K328" s="45">
        <f>IF(C328="aFRR+",MIN(DAMAS_Daily!C328*market_share_A*acceptance_rate*stack_activation,power_mw*hours_per_day,capacity_mwh),MIN(DAMAS_Daily!D328*market_share_A*acceptance_rate*stack_activation,power_mw*hours_per_day,capacity_mwh))</f>
        <v/>
      </c>
      <c r="L328" s="42">
        <f>IF(K328&gt;=capacity_mwh-0.01,"yes","no")</f>
        <v/>
      </c>
      <c r="M328" s="13">
        <f>IF(C328="aFRR+",(MIN(DAMAS_Daily!C328*market_share_A*acceptance_rate*stack_activation,power_mw*hours_per_day,capacity_mwh))*DAMAS_Daily!E328*activation_mult_A,(MIN(DAMAS_Daily!D328*market_share_A*acceptance_rate*stack_activation,power_mw*hours_per_day,capacity_mwh))*DAMAS_Daily!F328*activation_mult_A)</f>
        <v/>
      </c>
      <c r="N328" s="14">
        <f>F328+M328</f>
        <v/>
      </c>
    </row>
    <row r="329">
      <c r="A329" s="41">
        <f>DAMAS_Daily!A329</f>
        <v/>
      </c>
      <c r="B329" s="42">
        <f>DAMAS_Daily!B329</f>
        <v/>
      </c>
      <c r="C329" s="42">
        <f>IF((power_mw*hours_per_day*damas_afrr_up*capacity_mult_A*stack_capacity*acceptance_rate+(MIN(DAMAS_Daily!C329*market_share_A*acceptance_rate*stack_activation,power_mw*hours_per_day,capacity_mwh))*DAMAS_Daily!E329*activation_mult_A)&gt;=(power_mw*hours_per_day*damas_afrr_down*capacity_mult_A*stack_capacity*acceptance_rate+(MIN(DAMAS_Daily!D329*market_share_A*acceptance_rate*stack_activation,power_mw*hours_per_day,capacity_mwh))*DAMAS_Daily!F329*activation_mult_A),"aFRR+","aFRR-")</f>
        <v/>
      </c>
      <c r="D329" s="43">
        <f>IF(C329="aFRR+",damas_afrr_up*capacity_mult_A,damas_afrr_down*capacity_mult_A)</f>
        <v/>
      </c>
      <c r="E329" s="44">
        <f>acceptance_rate</f>
        <v/>
      </c>
      <c r="F329" s="13">
        <f>IF(C329="aFRR+",power_mw*hours_per_day*damas_afrr_up*capacity_mult_A*stack_capacity*acceptance_rate,power_mw*hours_per_day*damas_afrr_down*capacity_mult_A*stack_capacity*acceptance_rate)</f>
        <v/>
      </c>
      <c r="G329" s="42">
        <f>IF(C329="aFRR+",DAMAS_Daily!I329,DAMAS_Daily!J329)</f>
        <v/>
      </c>
      <c r="H329" s="43">
        <f>IF(C329="aFRR+",DAMAS_Daily!E329,DAMAS_Daily!F329)</f>
        <v/>
      </c>
      <c r="I329" s="43">
        <f>IF(C329="aFRR+",DAMAS_Daily!G329,DAMAS_Daily!H329)</f>
        <v/>
      </c>
      <c r="J329" s="45">
        <f>IF(C329="aFRR+",DAMAS_Daily!C329,DAMAS_Daily!D329)</f>
        <v/>
      </c>
      <c r="K329" s="45">
        <f>IF(C329="aFRR+",MIN(DAMAS_Daily!C329*market_share_A*acceptance_rate*stack_activation,power_mw*hours_per_day,capacity_mwh),MIN(DAMAS_Daily!D329*market_share_A*acceptance_rate*stack_activation,power_mw*hours_per_day,capacity_mwh))</f>
        <v/>
      </c>
      <c r="L329" s="42">
        <f>IF(K329&gt;=capacity_mwh-0.01,"yes","no")</f>
        <v/>
      </c>
      <c r="M329" s="13">
        <f>IF(C329="aFRR+",(MIN(DAMAS_Daily!C329*market_share_A*acceptance_rate*stack_activation,power_mw*hours_per_day,capacity_mwh))*DAMAS_Daily!E329*activation_mult_A,(MIN(DAMAS_Daily!D329*market_share_A*acceptance_rate*stack_activation,power_mw*hours_per_day,capacity_mwh))*DAMAS_Daily!F329*activation_mult_A)</f>
        <v/>
      </c>
      <c r="N329" s="14">
        <f>F329+M329</f>
        <v/>
      </c>
    </row>
    <row r="330">
      <c r="A330" s="41">
        <f>DAMAS_Daily!A330</f>
        <v/>
      </c>
      <c r="B330" s="42">
        <f>DAMAS_Daily!B330</f>
        <v/>
      </c>
      <c r="C330" s="42">
        <f>IF((power_mw*hours_per_day*damas_afrr_up*capacity_mult_A*stack_capacity*acceptance_rate+(MIN(DAMAS_Daily!C330*market_share_A*acceptance_rate*stack_activation,power_mw*hours_per_day,capacity_mwh))*DAMAS_Daily!E330*activation_mult_A)&gt;=(power_mw*hours_per_day*damas_afrr_down*capacity_mult_A*stack_capacity*acceptance_rate+(MIN(DAMAS_Daily!D330*market_share_A*acceptance_rate*stack_activation,power_mw*hours_per_day,capacity_mwh))*DAMAS_Daily!F330*activation_mult_A),"aFRR+","aFRR-")</f>
        <v/>
      </c>
      <c r="D330" s="43">
        <f>IF(C330="aFRR+",damas_afrr_up*capacity_mult_A,damas_afrr_down*capacity_mult_A)</f>
        <v/>
      </c>
      <c r="E330" s="44">
        <f>acceptance_rate</f>
        <v/>
      </c>
      <c r="F330" s="13">
        <f>IF(C330="aFRR+",power_mw*hours_per_day*damas_afrr_up*capacity_mult_A*stack_capacity*acceptance_rate,power_mw*hours_per_day*damas_afrr_down*capacity_mult_A*stack_capacity*acceptance_rate)</f>
        <v/>
      </c>
      <c r="G330" s="42">
        <f>IF(C330="aFRR+",DAMAS_Daily!I330,DAMAS_Daily!J330)</f>
        <v/>
      </c>
      <c r="H330" s="43">
        <f>IF(C330="aFRR+",DAMAS_Daily!E330,DAMAS_Daily!F330)</f>
        <v/>
      </c>
      <c r="I330" s="43">
        <f>IF(C330="aFRR+",DAMAS_Daily!G330,DAMAS_Daily!H330)</f>
        <v/>
      </c>
      <c r="J330" s="45">
        <f>IF(C330="aFRR+",DAMAS_Daily!C330,DAMAS_Daily!D330)</f>
        <v/>
      </c>
      <c r="K330" s="45">
        <f>IF(C330="aFRR+",MIN(DAMAS_Daily!C330*market_share_A*acceptance_rate*stack_activation,power_mw*hours_per_day,capacity_mwh),MIN(DAMAS_Daily!D330*market_share_A*acceptance_rate*stack_activation,power_mw*hours_per_day,capacity_mwh))</f>
        <v/>
      </c>
      <c r="L330" s="42">
        <f>IF(K330&gt;=capacity_mwh-0.01,"yes","no")</f>
        <v/>
      </c>
      <c r="M330" s="13">
        <f>IF(C330="aFRR+",(MIN(DAMAS_Daily!C330*market_share_A*acceptance_rate*stack_activation,power_mw*hours_per_day,capacity_mwh))*DAMAS_Daily!E330*activation_mult_A,(MIN(DAMAS_Daily!D330*market_share_A*acceptance_rate*stack_activation,power_mw*hours_per_day,capacity_mwh))*DAMAS_Daily!F330*activation_mult_A)</f>
        <v/>
      </c>
      <c r="N330" s="14">
        <f>F330+M330</f>
        <v/>
      </c>
    </row>
    <row r="331">
      <c r="A331" s="41">
        <f>DAMAS_Daily!A331</f>
        <v/>
      </c>
      <c r="B331" s="42">
        <f>DAMAS_Daily!B331</f>
        <v/>
      </c>
      <c r="C331" s="42">
        <f>IF((power_mw*hours_per_day*damas_afrr_up*capacity_mult_A*stack_capacity*acceptance_rate+(MIN(DAMAS_Daily!C331*market_share_A*acceptance_rate*stack_activation,power_mw*hours_per_day,capacity_mwh))*DAMAS_Daily!E331*activation_mult_A)&gt;=(power_mw*hours_per_day*damas_afrr_down*capacity_mult_A*stack_capacity*acceptance_rate+(MIN(DAMAS_Daily!D331*market_share_A*acceptance_rate*stack_activation,power_mw*hours_per_day,capacity_mwh))*DAMAS_Daily!F331*activation_mult_A),"aFRR+","aFRR-")</f>
        <v/>
      </c>
      <c r="D331" s="43">
        <f>IF(C331="aFRR+",damas_afrr_up*capacity_mult_A,damas_afrr_down*capacity_mult_A)</f>
        <v/>
      </c>
      <c r="E331" s="44">
        <f>acceptance_rate</f>
        <v/>
      </c>
      <c r="F331" s="13">
        <f>IF(C331="aFRR+",power_mw*hours_per_day*damas_afrr_up*capacity_mult_A*stack_capacity*acceptance_rate,power_mw*hours_per_day*damas_afrr_down*capacity_mult_A*stack_capacity*acceptance_rate)</f>
        <v/>
      </c>
      <c r="G331" s="42">
        <f>IF(C331="aFRR+",DAMAS_Daily!I331,DAMAS_Daily!J331)</f>
        <v/>
      </c>
      <c r="H331" s="43">
        <f>IF(C331="aFRR+",DAMAS_Daily!E331,DAMAS_Daily!F331)</f>
        <v/>
      </c>
      <c r="I331" s="43">
        <f>IF(C331="aFRR+",DAMAS_Daily!G331,DAMAS_Daily!H331)</f>
        <v/>
      </c>
      <c r="J331" s="45">
        <f>IF(C331="aFRR+",DAMAS_Daily!C331,DAMAS_Daily!D331)</f>
        <v/>
      </c>
      <c r="K331" s="45">
        <f>IF(C331="aFRR+",MIN(DAMAS_Daily!C331*market_share_A*acceptance_rate*stack_activation,power_mw*hours_per_day,capacity_mwh),MIN(DAMAS_Daily!D331*market_share_A*acceptance_rate*stack_activation,power_mw*hours_per_day,capacity_mwh))</f>
        <v/>
      </c>
      <c r="L331" s="42">
        <f>IF(K331&gt;=capacity_mwh-0.01,"yes","no")</f>
        <v/>
      </c>
      <c r="M331" s="13">
        <f>IF(C331="aFRR+",(MIN(DAMAS_Daily!C331*market_share_A*acceptance_rate*stack_activation,power_mw*hours_per_day,capacity_mwh))*DAMAS_Daily!E331*activation_mult_A,(MIN(DAMAS_Daily!D331*market_share_A*acceptance_rate*stack_activation,power_mw*hours_per_day,capacity_mwh))*DAMAS_Daily!F331*activation_mult_A)</f>
        <v/>
      </c>
      <c r="N331" s="14">
        <f>F331+M331</f>
        <v/>
      </c>
    </row>
    <row r="332">
      <c r="A332" s="41">
        <f>DAMAS_Daily!A332</f>
        <v/>
      </c>
      <c r="B332" s="42">
        <f>DAMAS_Daily!B332</f>
        <v/>
      </c>
      <c r="C332" s="42">
        <f>IF((power_mw*hours_per_day*damas_afrr_up*capacity_mult_A*stack_capacity*acceptance_rate+(MIN(DAMAS_Daily!C332*market_share_A*acceptance_rate*stack_activation,power_mw*hours_per_day,capacity_mwh))*DAMAS_Daily!E332*activation_mult_A)&gt;=(power_mw*hours_per_day*damas_afrr_down*capacity_mult_A*stack_capacity*acceptance_rate+(MIN(DAMAS_Daily!D332*market_share_A*acceptance_rate*stack_activation,power_mw*hours_per_day,capacity_mwh))*DAMAS_Daily!F332*activation_mult_A),"aFRR+","aFRR-")</f>
        <v/>
      </c>
      <c r="D332" s="43">
        <f>IF(C332="aFRR+",damas_afrr_up*capacity_mult_A,damas_afrr_down*capacity_mult_A)</f>
        <v/>
      </c>
      <c r="E332" s="44">
        <f>acceptance_rate</f>
        <v/>
      </c>
      <c r="F332" s="13">
        <f>IF(C332="aFRR+",power_mw*hours_per_day*damas_afrr_up*capacity_mult_A*stack_capacity*acceptance_rate,power_mw*hours_per_day*damas_afrr_down*capacity_mult_A*stack_capacity*acceptance_rate)</f>
        <v/>
      </c>
      <c r="G332" s="42">
        <f>IF(C332="aFRR+",DAMAS_Daily!I332,DAMAS_Daily!J332)</f>
        <v/>
      </c>
      <c r="H332" s="43">
        <f>IF(C332="aFRR+",DAMAS_Daily!E332,DAMAS_Daily!F332)</f>
        <v/>
      </c>
      <c r="I332" s="43">
        <f>IF(C332="aFRR+",DAMAS_Daily!G332,DAMAS_Daily!H332)</f>
        <v/>
      </c>
      <c r="J332" s="45">
        <f>IF(C332="aFRR+",DAMAS_Daily!C332,DAMAS_Daily!D332)</f>
        <v/>
      </c>
      <c r="K332" s="45">
        <f>IF(C332="aFRR+",MIN(DAMAS_Daily!C332*market_share_A*acceptance_rate*stack_activation,power_mw*hours_per_day,capacity_mwh),MIN(DAMAS_Daily!D332*market_share_A*acceptance_rate*stack_activation,power_mw*hours_per_day,capacity_mwh))</f>
        <v/>
      </c>
      <c r="L332" s="42">
        <f>IF(K332&gt;=capacity_mwh-0.01,"yes","no")</f>
        <v/>
      </c>
      <c r="M332" s="13">
        <f>IF(C332="aFRR+",(MIN(DAMAS_Daily!C332*market_share_A*acceptance_rate*stack_activation,power_mw*hours_per_day,capacity_mwh))*DAMAS_Daily!E332*activation_mult_A,(MIN(DAMAS_Daily!D332*market_share_A*acceptance_rate*stack_activation,power_mw*hours_per_day,capacity_mwh))*DAMAS_Daily!F332*activation_mult_A)</f>
        <v/>
      </c>
      <c r="N332" s="14">
        <f>F332+M332</f>
        <v/>
      </c>
    </row>
    <row r="333">
      <c r="A333" s="41">
        <f>DAMAS_Daily!A333</f>
        <v/>
      </c>
      <c r="B333" s="42">
        <f>DAMAS_Daily!B333</f>
        <v/>
      </c>
      <c r="C333" s="42">
        <f>IF((power_mw*hours_per_day*damas_afrr_up*capacity_mult_A*stack_capacity*acceptance_rate+(MIN(DAMAS_Daily!C333*market_share_A*acceptance_rate*stack_activation,power_mw*hours_per_day,capacity_mwh))*DAMAS_Daily!E333*activation_mult_A)&gt;=(power_mw*hours_per_day*damas_afrr_down*capacity_mult_A*stack_capacity*acceptance_rate+(MIN(DAMAS_Daily!D333*market_share_A*acceptance_rate*stack_activation,power_mw*hours_per_day,capacity_mwh))*DAMAS_Daily!F333*activation_mult_A),"aFRR+","aFRR-")</f>
        <v/>
      </c>
      <c r="D333" s="43">
        <f>IF(C333="aFRR+",damas_afrr_up*capacity_mult_A,damas_afrr_down*capacity_mult_A)</f>
        <v/>
      </c>
      <c r="E333" s="44">
        <f>acceptance_rate</f>
        <v/>
      </c>
      <c r="F333" s="13">
        <f>IF(C333="aFRR+",power_mw*hours_per_day*damas_afrr_up*capacity_mult_A*stack_capacity*acceptance_rate,power_mw*hours_per_day*damas_afrr_down*capacity_mult_A*stack_capacity*acceptance_rate)</f>
        <v/>
      </c>
      <c r="G333" s="42">
        <f>IF(C333="aFRR+",DAMAS_Daily!I333,DAMAS_Daily!J333)</f>
        <v/>
      </c>
      <c r="H333" s="43">
        <f>IF(C333="aFRR+",DAMAS_Daily!E333,DAMAS_Daily!F333)</f>
        <v/>
      </c>
      <c r="I333" s="43">
        <f>IF(C333="aFRR+",DAMAS_Daily!G333,DAMAS_Daily!H333)</f>
        <v/>
      </c>
      <c r="J333" s="45">
        <f>IF(C333="aFRR+",DAMAS_Daily!C333,DAMAS_Daily!D333)</f>
        <v/>
      </c>
      <c r="K333" s="45">
        <f>IF(C333="aFRR+",MIN(DAMAS_Daily!C333*market_share_A*acceptance_rate*stack_activation,power_mw*hours_per_day,capacity_mwh),MIN(DAMAS_Daily!D333*market_share_A*acceptance_rate*stack_activation,power_mw*hours_per_day,capacity_mwh))</f>
        <v/>
      </c>
      <c r="L333" s="42">
        <f>IF(K333&gt;=capacity_mwh-0.01,"yes","no")</f>
        <v/>
      </c>
      <c r="M333" s="13">
        <f>IF(C333="aFRR+",(MIN(DAMAS_Daily!C333*market_share_A*acceptance_rate*stack_activation,power_mw*hours_per_day,capacity_mwh))*DAMAS_Daily!E333*activation_mult_A,(MIN(DAMAS_Daily!D333*market_share_A*acceptance_rate*stack_activation,power_mw*hours_per_day,capacity_mwh))*DAMAS_Daily!F333*activation_mult_A)</f>
        <v/>
      </c>
      <c r="N333" s="14">
        <f>F333+M333</f>
        <v/>
      </c>
    </row>
    <row r="334">
      <c r="A334" s="41">
        <f>DAMAS_Daily!A334</f>
        <v/>
      </c>
      <c r="B334" s="42">
        <f>DAMAS_Daily!B334</f>
        <v/>
      </c>
      <c r="C334" s="42">
        <f>IF((power_mw*hours_per_day*damas_afrr_up*capacity_mult_A*stack_capacity*acceptance_rate+(MIN(DAMAS_Daily!C334*market_share_A*acceptance_rate*stack_activation,power_mw*hours_per_day,capacity_mwh))*DAMAS_Daily!E334*activation_mult_A)&gt;=(power_mw*hours_per_day*damas_afrr_down*capacity_mult_A*stack_capacity*acceptance_rate+(MIN(DAMAS_Daily!D334*market_share_A*acceptance_rate*stack_activation,power_mw*hours_per_day,capacity_mwh))*DAMAS_Daily!F334*activation_mult_A),"aFRR+","aFRR-")</f>
        <v/>
      </c>
      <c r="D334" s="43">
        <f>IF(C334="aFRR+",damas_afrr_up*capacity_mult_A,damas_afrr_down*capacity_mult_A)</f>
        <v/>
      </c>
      <c r="E334" s="44">
        <f>acceptance_rate</f>
        <v/>
      </c>
      <c r="F334" s="13">
        <f>IF(C334="aFRR+",power_mw*hours_per_day*damas_afrr_up*capacity_mult_A*stack_capacity*acceptance_rate,power_mw*hours_per_day*damas_afrr_down*capacity_mult_A*stack_capacity*acceptance_rate)</f>
        <v/>
      </c>
      <c r="G334" s="42">
        <f>IF(C334="aFRR+",DAMAS_Daily!I334,DAMAS_Daily!J334)</f>
        <v/>
      </c>
      <c r="H334" s="43">
        <f>IF(C334="aFRR+",DAMAS_Daily!E334,DAMAS_Daily!F334)</f>
        <v/>
      </c>
      <c r="I334" s="43">
        <f>IF(C334="aFRR+",DAMAS_Daily!G334,DAMAS_Daily!H334)</f>
        <v/>
      </c>
      <c r="J334" s="45">
        <f>IF(C334="aFRR+",DAMAS_Daily!C334,DAMAS_Daily!D334)</f>
        <v/>
      </c>
      <c r="K334" s="45">
        <f>IF(C334="aFRR+",MIN(DAMAS_Daily!C334*market_share_A*acceptance_rate*stack_activation,power_mw*hours_per_day,capacity_mwh),MIN(DAMAS_Daily!D334*market_share_A*acceptance_rate*stack_activation,power_mw*hours_per_day,capacity_mwh))</f>
        <v/>
      </c>
      <c r="L334" s="42">
        <f>IF(K334&gt;=capacity_mwh-0.01,"yes","no")</f>
        <v/>
      </c>
      <c r="M334" s="13">
        <f>IF(C334="aFRR+",(MIN(DAMAS_Daily!C334*market_share_A*acceptance_rate*stack_activation,power_mw*hours_per_day,capacity_mwh))*DAMAS_Daily!E334*activation_mult_A,(MIN(DAMAS_Daily!D334*market_share_A*acceptance_rate*stack_activation,power_mw*hours_per_day,capacity_mwh))*DAMAS_Daily!F334*activation_mult_A)</f>
        <v/>
      </c>
      <c r="N334" s="14">
        <f>F334+M334</f>
        <v/>
      </c>
    </row>
    <row r="335">
      <c r="A335" s="41">
        <f>DAMAS_Daily!A335</f>
        <v/>
      </c>
      <c r="B335" s="42">
        <f>DAMAS_Daily!B335</f>
        <v/>
      </c>
      <c r="C335" s="42">
        <f>IF((power_mw*hours_per_day*damas_afrr_up*capacity_mult_A*stack_capacity*acceptance_rate+(MIN(DAMAS_Daily!C335*market_share_A*acceptance_rate*stack_activation,power_mw*hours_per_day,capacity_mwh))*DAMAS_Daily!E335*activation_mult_A)&gt;=(power_mw*hours_per_day*damas_afrr_down*capacity_mult_A*stack_capacity*acceptance_rate+(MIN(DAMAS_Daily!D335*market_share_A*acceptance_rate*stack_activation,power_mw*hours_per_day,capacity_mwh))*DAMAS_Daily!F335*activation_mult_A),"aFRR+","aFRR-")</f>
        <v/>
      </c>
      <c r="D335" s="43">
        <f>IF(C335="aFRR+",damas_afrr_up*capacity_mult_A,damas_afrr_down*capacity_mult_A)</f>
        <v/>
      </c>
      <c r="E335" s="44">
        <f>acceptance_rate</f>
        <v/>
      </c>
      <c r="F335" s="13">
        <f>IF(C335="aFRR+",power_mw*hours_per_day*damas_afrr_up*capacity_mult_A*stack_capacity*acceptance_rate,power_mw*hours_per_day*damas_afrr_down*capacity_mult_A*stack_capacity*acceptance_rate)</f>
        <v/>
      </c>
      <c r="G335" s="42">
        <f>IF(C335="aFRR+",DAMAS_Daily!I335,DAMAS_Daily!J335)</f>
        <v/>
      </c>
      <c r="H335" s="43">
        <f>IF(C335="aFRR+",DAMAS_Daily!E335,DAMAS_Daily!F335)</f>
        <v/>
      </c>
      <c r="I335" s="43">
        <f>IF(C335="aFRR+",DAMAS_Daily!G335,DAMAS_Daily!H335)</f>
        <v/>
      </c>
      <c r="J335" s="45">
        <f>IF(C335="aFRR+",DAMAS_Daily!C335,DAMAS_Daily!D335)</f>
        <v/>
      </c>
      <c r="K335" s="45">
        <f>IF(C335="aFRR+",MIN(DAMAS_Daily!C335*market_share_A*acceptance_rate*stack_activation,power_mw*hours_per_day,capacity_mwh),MIN(DAMAS_Daily!D335*market_share_A*acceptance_rate*stack_activation,power_mw*hours_per_day,capacity_mwh))</f>
        <v/>
      </c>
      <c r="L335" s="42">
        <f>IF(K335&gt;=capacity_mwh-0.01,"yes","no")</f>
        <v/>
      </c>
      <c r="M335" s="13">
        <f>IF(C335="aFRR+",(MIN(DAMAS_Daily!C335*market_share_A*acceptance_rate*stack_activation,power_mw*hours_per_day,capacity_mwh))*DAMAS_Daily!E335*activation_mult_A,(MIN(DAMAS_Daily!D335*market_share_A*acceptance_rate*stack_activation,power_mw*hours_per_day,capacity_mwh))*DAMAS_Daily!F335*activation_mult_A)</f>
        <v/>
      </c>
      <c r="N335" s="14">
        <f>F335+M335</f>
        <v/>
      </c>
    </row>
    <row r="336">
      <c r="A336" s="41">
        <f>DAMAS_Daily!A336</f>
        <v/>
      </c>
      <c r="B336" s="42">
        <f>DAMAS_Daily!B336</f>
        <v/>
      </c>
      <c r="C336" s="42">
        <f>IF((power_mw*hours_per_day*damas_afrr_up*capacity_mult_A*stack_capacity*acceptance_rate+(MIN(DAMAS_Daily!C336*market_share_A*acceptance_rate*stack_activation,power_mw*hours_per_day,capacity_mwh))*DAMAS_Daily!E336*activation_mult_A)&gt;=(power_mw*hours_per_day*damas_afrr_down*capacity_mult_A*stack_capacity*acceptance_rate+(MIN(DAMAS_Daily!D336*market_share_A*acceptance_rate*stack_activation,power_mw*hours_per_day,capacity_mwh))*DAMAS_Daily!F336*activation_mult_A),"aFRR+","aFRR-")</f>
        <v/>
      </c>
      <c r="D336" s="43">
        <f>IF(C336="aFRR+",damas_afrr_up*capacity_mult_A,damas_afrr_down*capacity_mult_A)</f>
        <v/>
      </c>
      <c r="E336" s="44">
        <f>acceptance_rate</f>
        <v/>
      </c>
      <c r="F336" s="13">
        <f>IF(C336="aFRR+",power_mw*hours_per_day*damas_afrr_up*capacity_mult_A*stack_capacity*acceptance_rate,power_mw*hours_per_day*damas_afrr_down*capacity_mult_A*stack_capacity*acceptance_rate)</f>
        <v/>
      </c>
      <c r="G336" s="42">
        <f>IF(C336="aFRR+",DAMAS_Daily!I336,DAMAS_Daily!J336)</f>
        <v/>
      </c>
      <c r="H336" s="43">
        <f>IF(C336="aFRR+",DAMAS_Daily!E336,DAMAS_Daily!F336)</f>
        <v/>
      </c>
      <c r="I336" s="43">
        <f>IF(C336="aFRR+",DAMAS_Daily!G336,DAMAS_Daily!H336)</f>
        <v/>
      </c>
      <c r="J336" s="45">
        <f>IF(C336="aFRR+",DAMAS_Daily!C336,DAMAS_Daily!D336)</f>
        <v/>
      </c>
      <c r="K336" s="45">
        <f>IF(C336="aFRR+",MIN(DAMAS_Daily!C336*market_share_A*acceptance_rate*stack_activation,power_mw*hours_per_day,capacity_mwh),MIN(DAMAS_Daily!D336*market_share_A*acceptance_rate*stack_activation,power_mw*hours_per_day,capacity_mwh))</f>
        <v/>
      </c>
      <c r="L336" s="42">
        <f>IF(K336&gt;=capacity_mwh-0.01,"yes","no")</f>
        <v/>
      </c>
      <c r="M336" s="13">
        <f>IF(C336="aFRR+",(MIN(DAMAS_Daily!C336*market_share_A*acceptance_rate*stack_activation,power_mw*hours_per_day,capacity_mwh))*DAMAS_Daily!E336*activation_mult_A,(MIN(DAMAS_Daily!D336*market_share_A*acceptance_rate*stack_activation,power_mw*hours_per_day,capacity_mwh))*DAMAS_Daily!F336*activation_mult_A)</f>
        <v/>
      </c>
      <c r="N336" s="14">
        <f>F336+M336</f>
        <v/>
      </c>
    </row>
    <row r="337">
      <c r="A337" s="41">
        <f>DAMAS_Daily!A337</f>
        <v/>
      </c>
      <c r="B337" s="42">
        <f>DAMAS_Daily!B337</f>
        <v/>
      </c>
      <c r="C337" s="42">
        <f>IF((power_mw*hours_per_day*damas_afrr_up*capacity_mult_A*stack_capacity*acceptance_rate+(MIN(DAMAS_Daily!C337*market_share_A*acceptance_rate*stack_activation,power_mw*hours_per_day,capacity_mwh))*DAMAS_Daily!E337*activation_mult_A)&gt;=(power_mw*hours_per_day*damas_afrr_down*capacity_mult_A*stack_capacity*acceptance_rate+(MIN(DAMAS_Daily!D337*market_share_A*acceptance_rate*stack_activation,power_mw*hours_per_day,capacity_mwh))*DAMAS_Daily!F337*activation_mult_A),"aFRR+","aFRR-")</f>
        <v/>
      </c>
      <c r="D337" s="43">
        <f>IF(C337="aFRR+",damas_afrr_up*capacity_mult_A,damas_afrr_down*capacity_mult_A)</f>
        <v/>
      </c>
      <c r="E337" s="44">
        <f>acceptance_rate</f>
        <v/>
      </c>
      <c r="F337" s="13">
        <f>IF(C337="aFRR+",power_mw*hours_per_day*damas_afrr_up*capacity_mult_A*stack_capacity*acceptance_rate,power_mw*hours_per_day*damas_afrr_down*capacity_mult_A*stack_capacity*acceptance_rate)</f>
        <v/>
      </c>
      <c r="G337" s="42">
        <f>IF(C337="aFRR+",DAMAS_Daily!I337,DAMAS_Daily!J337)</f>
        <v/>
      </c>
      <c r="H337" s="43">
        <f>IF(C337="aFRR+",DAMAS_Daily!E337,DAMAS_Daily!F337)</f>
        <v/>
      </c>
      <c r="I337" s="43">
        <f>IF(C337="aFRR+",DAMAS_Daily!G337,DAMAS_Daily!H337)</f>
        <v/>
      </c>
      <c r="J337" s="45">
        <f>IF(C337="aFRR+",DAMAS_Daily!C337,DAMAS_Daily!D337)</f>
        <v/>
      </c>
      <c r="K337" s="45">
        <f>IF(C337="aFRR+",MIN(DAMAS_Daily!C337*market_share_A*acceptance_rate*stack_activation,power_mw*hours_per_day,capacity_mwh),MIN(DAMAS_Daily!D337*market_share_A*acceptance_rate*stack_activation,power_mw*hours_per_day,capacity_mwh))</f>
        <v/>
      </c>
      <c r="L337" s="42">
        <f>IF(K337&gt;=capacity_mwh-0.01,"yes","no")</f>
        <v/>
      </c>
      <c r="M337" s="13">
        <f>IF(C337="aFRR+",(MIN(DAMAS_Daily!C337*market_share_A*acceptance_rate*stack_activation,power_mw*hours_per_day,capacity_mwh))*DAMAS_Daily!E337*activation_mult_A,(MIN(DAMAS_Daily!D337*market_share_A*acceptance_rate*stack_activation,power_mw*hours_per_day,capacity_mwh))*DAMAS_Daily!F337*activation_mult_A)</f>
        <v/>
      </c>
      <c r="N337" s="14">
        <f>F337+M337</f>
        <v/>
      </c>
    </row>
    <row r="338">
      <c r="A338" s="41">
        <f>DAMAS_Daily!A338</f>
        <v/>
      </c>
      <c r="B338" s="42">
        <f>DAMAS_Daily!B338</f>
        <v/>
      </c>
      <c r="C338" s="42">
        <f>IF((power_mw*hours_per_day*damas_afrr_up*capacity_mult_A*stack_capacity*acceptance_rate+(MIN(DAMAS_Daily!C338*market_share_A*acceptance_rate*stack_activation,power_mw*hours_per_day,capacity_mwh))*DAMAS_Daily!E338*activation_mult_A)&gt;=(power_mw*hours_per_day*damas_afrr_down*capacity_mult_A*stack_capacity*acceptance_rate+(MIN(DAMAS_Daily!D338*market_share_A*acceptance_rate*stack_activation,power_mw*hours_per_day,capacity_mwh))*DAMAS_Daily!F338*activation_mult_A),"aFRR+","aFRR-")</f>
        <v/>
      </c>
      <c r="D338" s="43">
        <f>IF(C338="aFRR+",damas_afrr_up*capacity_mult_A,damas_afrr_down*capacity_mult_A)</f>
        <v/>
      </c>
      <c r="E338" s="44">
        <f>acceptance_rate</f>
        <v/>
      </c>
      <c r="F338" s="13">
        <f>IF(C338="aFRR+",power_mw*hours_per_day*damas_afrr_up*capacity_mult_A*stack_capacity*acceptance_rate,power_mw*hours_per_day*damas_afrr_down*capacity_mult_A*stack_capacity*acceptance_rate)</f>
        <v/>
      </c>
      <c r="G338" s="42">
        <f>IF(C338="aFRR+",DAMAS_Daily!I338,DAMAS_Daily!J338)</f>
        <v/>
      </c>
      <c r="H338" s="43">
        <f>IF(C338="aFRR+",DAMAS_Daily!E338,DAMAS_Daily!F338)</f>
        <v/>
      </c>
      <c r="I338" s="43">
        <f>IF(C338="aFRR+",DAMAS_Daily!G338,DAMAS_Daily!H338)</f>
        <v/>
      </c>
      <c r="J338" s="45">
        <f>IF(C338="aFRR+",DAMAS_Daily!C338,DAMAS_Daily!D338)</f>
        <v/>
      </c>
      <c r="K338" s="45">
        <f>IF(C338="aFRR+",MIN(DAMAS_Daily!C338*market_share_A*acceptance_rate*stack_activation,power_mw*hours_per_day,capacity_mwh),MIN(DAMAS_Daily!D338*market_share_A*acceptance_rate*stack_activation,power_mw*hours_per_day,capacity_mwh))</f>
        <v/>
      </c>
      <c r="L338" s="42">
        <f>IF(K338&gt;=capacity_mwh-0.01,"yes","no")</f>
        <v/>
      </c>
      <c r="M338" s="13">
        <f>IF(C338="aFRR+",(MIN(DAMAS_Daily!C338*market_share_A*acceptance_rate*stack_activation,power_mw*hours_per_day,capacity_mwh))*DAMAS_Daily!E338*activation_mult_A,(MIN(DAMAS_Daily!D338*market_share_A*acceptance_rate*stack_activation,power_mw*hours_per_day,capacity_mwh))*DAMAS_Daily!F338*activation_mult_A)</f>
        <v/>
      </c>
      <c r="N338" s="14">
        <f>F338+M338</f>
        <v/>
      </c>
    </row>
    <row r="339">
      <c r="A339" s="41">
        <f>DAMAS_Daily!A339</f>
        <v/>
      </c>
      <c r="B339" s="42">
        <f>DAMAS_Daily!B339</f>
        <v/>
      </c>
      <c r="C339" s="42">
        <f>IF((power_mw*hours_per_day*damas_afrr_up*capacity_mult_A*stack_capacity*acceptance_rate+(MIN(DAMAS_Daily!C339*market_share_A*acceptance_rate*stack_activation,power_mw*hours_per_day,capacity_mwh))*DAMAS_Daily!E339*activation_mult_A)&gt;=(power_mw*hours_per_day*damas_afrr_down*capacity_mult_A*stack_capacity*acceptance_rate+(MIN(DAMAS_Daily!D339*market_share_A*acceptance_rate*stack_activation,power_mw*hours_per_day,capacity_mwh))*DAMAS_Daily!F339*activation_mult_A),"aFRR+","aFRR-")</f>
        <v/>
      </c>
      <c r="D339" s="43">
        <f>IF(C339="aFRR+",damas_afrr_up*capacity_mult_A,damas_afrr_down*capacity_mult_A)</f>
        <v/>
      </c>
      <c r="E339" s="44">
        <f>acceptance_rate</f>
        <v/>
      </c>
      <c r="F339" s="13">
        <f>IF(C339="aFRR+",power_mw*hours_per_day*damas_afrr_up*capacity_mult_A*stack_capacity*acceptance_rate,power_mw*hours_per_day*damas_afrr_down*capacity_mult_A*stack_capacity*acceptance_rate)</f>
        <v/>
      </c>
      <c r="G339" s="42">
        <f>IF(C339="aFRR+",DAMAS_Daily!I339,DAMAS_Daily!J339)</f>
        <v/>
      </c>
      <c r="H339" s="43">
        <f>IF(C339="aFRR+",DAMAS_Daily!E339,DAMAS_Daily!F339)</f>
        <v/>
      </c>
      <c r="I339" s="43">
        <f>IF(C339="aFRR+",DAMAS_Daily!G339,DAMAS_Daily!H339)</f>
        <v/>
      </c>
      <c r="J339" s="45">
        <f>IF(C339="aFRR+",DAMAS_Daily!C339,DAMAS_Daily!D339)</f>
        <v/>
      </c>
      <c r="K339" s="45">
        <f>IF(C339="aFRR+",MIN(DAMAS_Daily!C339*market_share_A*acceptance_rate*stack_activation,power_mw*hours_per_day,capacity_mwh),MIN(DAMAS_Daily!D339*market_share_A*acceptance_rate*stack_activation,power_mw*hours_per_day,capacity_mwh))</f>
        <v/>
      </c>
      <c r="L339" s="42">
        <f>IF(K339&gt;=capacity_mwh-0.01,"yes","no")</f>
        <v/>
      </c>
      <c r="M339" s="13">
        <f>IF(C339="aFRR+",(MIN(DAMAS_Daily!C339*market_share_A*acceptance_rate*stack_activation,power_mw*hours_per_day,capacity_mwh))*DAMAS_Daily!E339*activation_mult_A,(MIN(DAMAS_Daily!D339*market_share_A*acceptance_rate*stack_activation,power_mw*hours_per_day,capacity_mwh))*DAMAS_Daily!F339*activation_mult_A)</f>
        <v/>
      </c>
      <c r="N339" s="14">
        <f>F339+M339</f>
        <v/>
      </c>
    </row>
    <row r="340">
      <c r="A340" s="41">
        <f>DAMAS_Daily!A340</f>
        <v/>
      </c>
      <c r="B340" s="42">
        <f>DAMAS_Daily!B340</f>
        <v/>
      </c>
      <c r="C340" s="42">
        <f>IF((power_mw*hours_per_day*damas_afrr_up*capacity_mult_A*stack_capacity*acceptance_rate+(MIN(DAMAS_Daily!C340*market_share_A*acceptance_rate*stack_activation,power_mw*hours_per_day,capacity_mwh))*DAMAS_Daily!E340*activation_mult_A)&gt;=(power_mw*hours_per_day*damas_afrr_down*capacity_mult_A*stack_capacity*acceptance_rate+(MIN(DAMAS_Daily!D340*market_share_A*acceptance_rate*stack_activation,power_mw*hours_per_day,capacity_mwh))*DAMAS_Daily!F340*activation_mult_A),"aFRR+","aFRR-")</f>
        <v/>
      </c>
      <c r="D340" s="43">
        <f>IF(C340="aFRR+",damas_afrr_up*capacity_mult_A,damas_afrr_down*capacity_mult_A)</f>
        <v/>
      </c>
      <c r="E340" s="44">
        <f>acceptance_rate</f>
        <v/>
      </c>
      <c r="F340" s="13">
        <f>IF(C340="aFRR+",power_mw*hours_per_day*damas_afrr_up*capacity_mult_A*stack_capacity*acceptance_rate,power_mw*hours_per_day*damas_afrr_down*capacity_mult_A*stack_capacity*acceptance_rate)</f>
        <v/>
      </c>
      <c r="G340" s="42">
        <f>IF(C340="aFRR+",DAMAS_Daily!I340,DAMAS_Daily!J340)</f>
        <v/>
      </c>
      <c r="H340" s="43">
        <f>IF(C340="aFRR+",DAMAS_Daily!E340,DAMAS_Daily!F340)</f>
        <v/>
      </c>
      <c r="I340" s="43">
        <f>IF(C340="aFRR+",DAMAS_Daily!G340,DAMAS_Daily!H340)</f>
        <v/>
      </c>
      <c r="J340" s="45">
        <f>IF(C340="aFRR+",DAMAS_Daily!C340,DAMAS_Daily!D340)</f>
        <v/>
      </c>
      <c r="K340" s="45">
        <f>IF(C340="aFRR+",MIN(DAMAS_Daily!C340*market_share_A*acceptance_rate*stack_activation,power_mw*hours_per_day,capacity_mwh),MIN(DAMAS_Daily!D340*market_share_A*acceptance_rate*stack_activation,power_mw*hours_per_day,capacity_mwh))</f>
        <v/>
      </c>
      <c r="L340" s="42">
        <f>IF(K340&gt;=capacity_mwh-0.01,"yes","no")</f>
        <v/>
      </c>
      <c r="M340" s="13">
        <f>IF(C340="aFRR+",(MIN(DAMAS_Daily!C340*market_share_A*acceptance_rate*stack_activation,power_mw*hours_per_day,capacity_mwh))*DAMAS_Daily!E340*activation_mult_A,(MIN(DAMAS_Daily!D340*market_share_A*acceptance_rate*stack_activation,power_mw*hours_per_day,capacity_mwh))*DAMAS_Daily!F340*activation_mult_A)</f>
        <v/>
      </c>
      <c r="N340" s="14">
        <f>F340+M340</f>
        <v/>
      </c>
    </row>
    <row r="341">
      <c r="A341" s="41">
        <f>DAMAS_Daily!A341</f>
        <v/>
      </c>
      <c r="B341" s="42">
        <f>DAMAS_Daily!B341</f>
        <v/>
      </c>
      <c r="C341" s="42">
        <f>IF((power_mw*hours_per_day*damas_afrr_up*capacity_mult_A*stack_capacity*acceptance_rate+(MIN(DAMAS_Daily!C341*market_share_A*acceptance_rate*stack_activation,power_mw*hours_per_day,capacity_mwh))*DAMAS_Daily!E341*activation_mult_A)&gt;=(power_mw*hours_per_day*damas_afrr_down*capacity_mult_A*stack_capacity*acceptance_rate+(MIN(DAMAS_Daily!D341*market_share_A*acceptance_rate*stack_activation,power_mw*hours_per_day,capacity_mwh))*DAMAS_Daily!F341*activation_mult_A),"aFRR+","aFRR-")</f>
        <v/>
      </c>
      <c r="D341" s="43">
        <f>IF(C341="aFRR+",damas_afrr_up*capacity_mult_A,damas_afrr_down*capacity_mult_A)</f>
        <v/>
      </c>
      <c r="E341" s="44">
        <f>acceptance_rate</f>
        <v/>
      </c>
      <c r="F341" s="13">
        <f>IF(C341="aFRR+",power_mw*hours_per_day*damas_afrr_up*capacity_mult_A*stack_capacity*acceptance_rate,power_mw*hours_per_day*damas_afrr_down*capacity_mult_A*stack_capacity*acceptance_rate)</f>
        <v/>
      </c>
      <c r="G341" s="42">
        <f>IF(C341="aFRR+",DAMAS_Daily!I341,DAMAS_Daily!J341)</f>
        <v/>
      </c>
      <c r="H341" s="43">
        <f>IF(C341="aFRR+",DAMAS_Daily!E341,DAMAS_Daily!F341)</f>
        <v/>
      </c>
      <c r="I341" s="43">
        <f>IF(C341="aFRR+",DAMAS_Daily!G341,DAMAS_Daily!H341)</f>
        <v/>
      </c>
      <c r="J341" s="45">
        <f>IF(C341="aFRR+",DAMAS_Daily!C341,DAMAS_Daily!D341)</f>
        <v/>
      </c>
      <c r="K341" s="45">
        <f>IF(C341="aFRR+",MIN(DAMAS_Daily!C341*market_share_A*acceptance_rate*stack_activation,power_mw*hours_per_day,capacity_mwh),MIN(DAMAS_Daily!D341*market_share_A*acceptance_rate*stack_activation,power_mw*hours_per_day,capacity_mwh))</f>
        <v/>
      </c>
      <c r="L341" s="42">
        <f>IF(K341&gt;=capacity_mwh-0.01,"yes","no")</f>
        <v/>
      </c>
      <c r="M341" s="13">
        <f>IF(C341="aFRR+",(MIN(DAMAS_Daily!C341*market_share_A*acceptance_rate*stack_activation,power_mw*hours_per_day,capacity_mwh))*DAMAS_Daily!E341*activation_mult_A,(MIN(DAMAS_Daily!D341*market_share_A*acceptance_rate*stack_activation,power_mw*hours_per_day,capacity_mwh))*DAMAS_Daily!F341*activation_mult_A)</f>
        <v/>
      </c>
      <c r="N341" s="14">
        <f>F341+M341</f>
        <v/>
      </c>
    </row>
    <row r="342">
      <c r="A342" s="41">
        <f>DAMAS_Daily!A342</f>
        <v/>
      </c>
      <c r="B342" s="42">
        <f>DAMAS_Daily!B342</f>
        <v/>
      </c>
      <c r="C342" s="42">
        <f>IF((power_mw*hours_per_day*damas_afrr_up*capacity_mult_A*stack_capacity*acceptance_rate+(MIN(DAMAS_Daily!C342*market_share_A*acceptance_rate*stack_activation,power_mw*hours_per_day,capacity_mwh))*DAMAS_Daily!E342*activation_mult_A)&gt;=(power_mw*hours_per_day*damas_afrr_down*capacity_mult_A*stack_capacity*acceptance_rate+(MIN(DAMAS_Daily!D342*market_share_A*acceptance_rate*stack_activation,power_mw*hours_per_day,capacity_mwh))*DAMAS_Daily!F342*activation_mult_A),"aFRR+","aFRR-")</f>
        <v/>
      </c>
      <c r="D342" s="43">
        <f>IF(C342="aFRR+",damas_afrr_up*capacity_mult_A,damas_afrr_down*capacity_mult_A)</f>
        <v/>
      </c>
      <c r="E342" s="44">
        <f>acceptance_rate</f>
        <v/>
      </c>
      <c r="F342" s="13">
        <f>IF(C342="aFRR+",power_mw*hours_per_day*damas_afrr_up*capacity_mult_A*stack_capacity*acceptance_rate,power_mw*hours_per_day*damas_afrr_down*capacity_mult_A*stack_capacity*acceptance_rate)</f>
        <v/>
      </c>
      <c r="G342" s="42">
        <f>IF(C342="aFRR+",DAMAS_Daily!I342,DAMAS_Daily!J342)</f>
        <v/>
      </c>
      <c r="H342" s="43">
        <f>IF(C342="aFRR+",DAMAS_Daily!E342,DAMAS_Daily!F342)</f>
        <v/>
      </c>
      <c r="I342" s="43">
        <f>IF(C342="aFRR+",DAMAS_Daily!G342,DAMAS_Daily!H342)</f>
        <v/>
      </c>
      <c r="J342" s="45">
        <f>IF(C342="aFRR+",DAMAS_Daily!C342,DAMAS_Daily!D342)</f>
        <v/>
      </c>
      <c r="K342" s="45">
        <f>IF(C342="aFRR+",MIN(DAMAS_Daily!C342*market_share_A*acceptance_rate*stack_activation,power_mw*hours_per_day,capacity_mwh),MIN(DAMAS_Daily!D342*market_share_A*acceptance_rate*stack_activation,power_mw*hours_per_day,capacity_mwh))</f>
        <v/>
      </c>
      <c r="L342" s="42">
        <f>IF(K342&gt;=capacity_mwh-0.01,"yes","no")</f>
        <v/>
      </c>
      <c r="M342" s="13">
        <f>IF(C342="aFRR+",(MIN(DAMAS_Daily!C342*market_share_A*acceptance_rate*stack_activation,power_mw*hours_per_day,capacity_mwh))*DAMAS_Daily!E342*activation_mult_A,(MIN(DAMAS_Daily!D342*market_share_A*acceptance_rate*stack_activation,power_mw*hours_per_day,capacity_mwh))*DAMAS_Daily!F342*activation_mult_A)</f>
        <v/>
      </c>
      <c r="N342" s="14">
        <f>F342+M342</f>
        <v/>
      </c>
    </row>
    <row r="343">
      <c r="A343" s="41">
        <f>DAMAS_Daily!A343</f>
        <v/>
      </c>
      <c r="B343" s="42">
        <f>DAMAS_Daily!B343</f>
        <v/>
      </c>
      <c r="C343" s="42">
        <f>IF((power_mw*hours_per_day*damas_afrr_up*capacity_mult_A*stack_capacity*acceptance_rate+(MIN(DAMAS_Daily!C343*market_share_A*acceptance_rate*stack_activation,power_mw*hours_per_day,capacity_mwh))*DAMAS_Daily!E343*activation_mult_A)&gt;=(power_mw*hours_per_day*damas_afrr_down*capacity_mult_A*stack_capacity*acceptance_rate+(MIN(DAMAS_Daily!D343*market_share_A*acceptance_rate*stack_activation,power_mw*hours_per_day,capacity_mwh))*DAMAS_Daily!F343*activation_mult_A),"aFRR+","aFRR-")</f>
        <v/>
      </c>
      <c r="D343" s="43">
        <f>IF(C343="aFRR+",damas_afrr_up*capacity_mult_A,damas_afrr_down*capacity_mult_A)</f>
        <v/>
      </c>
      <c r="E343" s="44">
        <f>acceptance_rate</f>
        <v/>
      </c>
      <c r="F343" s="13">
        <f>IF(C343="aFRR+",power_mw*hours_per_day*damas_afrr_up*capacity_mult_A*stack_capacity*acceptance_rate,power_mw*hours_per_day*damas_afrr_down*capacity_mult_A*stack_capacity*acceptance_rate)</f>
        <v/>
      </c>
      <c r="G343" s="42">
        <f>IF(C343="aFRR+",DAMAS_Daily!I343,DAMAS_Daily!J343)</f>
        <v/>
      </c>
      <c r="H343" s="43">
        <f>IF(C343="aFRR+",DAMAS_Daily!E343,DAMAS_Daily!F343)</f>
        <v/>
      </c>
      <c r="I343" s="43">
        <f>IF(C343="aFRR+",DAMAS_Daily!G343,DAMAS_Daily!H343)</f>
        <v/>
      </c>
      <c r="J343" s="45">
        <f>IF(C343="aFRR+",DAMAS_Daily!C343,DAMAS_Daily!D343)</f>
        <v/>
      </c>
      <c r="K343" s="45">
        <f>IF(C343="aFRR+",MIN(DAMAS_Daily!C343*market_share_A*acceptance_rate*stack_activation,power_mw*hours_per_day,capacity_mwh),MIN(DAMAS_Daily!D343*market_share_A*acceptance_rate*stack_activation,power_mw*hours_per_day,capacity_mwh))</f>
        <v/>
      </c>
      <c r="L343" s="42">
        <f>IF(K343&gt;=capacity_mwh-0.01,"yes","no")</f>
        <v/>
      </c>
      <c r="M343" s="13">
        <f>IF(C343="aFRR+",(MIN(DAMAS_Daily!C343*market_share_A*acceptance_rate*stack_activation,power_mw*hours_per_day,capacity_mwh))*DAMAS_Daily!E343*activation_mult_A,(MIN(DAMAS_Daily!D343*market_share_A*acceptance_rate*stack_activation,power_mw*hours_per_day,capacity_mwh))*DAMAS_Daily!F343*activation_mult_A)</f>
        <v/>
      </c>
      <c r="N343" s="14">
        <f>F343+M343</f>
        <v/>
      </c>
    </row>
    <row r="344">
      <c r="A344" s="41">
        <f>DAMAS_Daily!A344</f>
        <v/>
      </c>
      <c r="B344" s="42">
        <f>DAMAS_Daily!B344</f>
        <v/>
      </c>
      <c r="C344" s="42">
        <f>IF((power_mw*hours_per_day*damas_afrr_up*capacity_mult_A*stack_capacity*acceptance_rate+(MIN(DAMAS_Daily!C344*market_share_A*acceptance_rate*stack_activation,power_mw*hours_per_day,capacity_mwh))*DAMAS_Daily!E344*activation_mult_A)&gt;=(power_mw*hours_per_day*damas_afrr_down*capacity_mult_A*stack_capacity*acceptance_rate+(MIN(DAMAS_Daily!D344*market_share_A*acceptance_rate*stack_activation,power_mw*hours_per_day,capacity_mwh))*DAMAS_Daily!F344*activation_mult_A),"aFRR+","aFRR-")</f>
        <v/>
      </c>
      <c r="D344" s="43">
        <f>IF(C344="aFRR+",damas_afrr_up*capacity_mult_A,damas_afrr_down*capacity_mult_A)</f>
        <v/>
      </c>
      <c r="E344" s="44">
        <f>acceptance_rate</f>
        <v/>
      </c>
      <c r="F344" s="13">
        <f>IF(C344="aFRR+",power_mw*hours_per_day*damas_afrr_up*capacity_mult_A*stack_capacity*acceptance_rate,power_mw*hours_per_day*damas_afrr_down*capacity_mult_A*stack_capacity*acceptance_rate)</f>
        <v/>
      </c>
      <c r="G344" s="42">
        <f>IF(C344="aFRR+",DAMAS_Daily!I344,DAMAS_Daily!J344)</f>
        <v/>
      </c>
      <c r="H344" s="43">
        <f>IF(C344="aFRR+",DAMAS_Daily!E344,DAMAS_Daily!F344)</f>
        <v/>
      </c>
      <c r="I344" s="43">
        <f>IF(C344="aFRR+",DAMAS_Daily!G344,DAMAS_Daily!H344)</f>
        <v/>
      </c>
      <c r="J344" s="45">
        <f>IF(C344="aFRR+",DAMAS_Daily!C344,DAMAS_Daily!D344)</f>
        <v/>
      </c>
      <c r="K344" s="45">
        <f>IF(C344="aFRR+",MIN(DAMAS_Daily!C344*market_share_A*acceptance_rate*stack_activation,power_mw*hours_per_day,capacity_mwh),MIN(DAMAS_Daily!D344*market_share_A*acceptance_rate*stack_activation,power_mw*hours_per_day,capacity_mwh))</f>
        <v/>
      </c>
      <c r="L344" s="42">
        <f>IF(K344&gt;=capacity_mwh-0.01,"yes","no")</f>
        <v/>
      </c>
      <c r="M344" s="13">
        <f>IF(C344="aFRR+",(MIN(DAMAS_Daily!C344*market_share_A*acceptance_rate*stack_activation,power_mw*hours_per_day,capacity_mwh))*DAMAS_Daily!E344*activation_mult_A,(MIN(DAMAS_Daily!D344*market_share_A*acceptance_rate*stack_activation,power_mw*hours_per_day,capacity_mwh))*DAMAS_Daily!F344*activation_mult_A)</f>
        <v/>
      </c>
      <c r="N344" s="14">
        <f>F344+M344</f>
        <v/>
      </c>
    </row>
    <row r="345">
      <c r="A345" s="41">
        <f>DAMAS_Daily!A345</f>
        <v/>
      </c>
      <c r="B345" s="42">
        <f>DAMAS_Daily!B345</f>
        <v/>
      </c>
      <c r="C345" s="42">
        <f>IF((power_mw*hours_per_day*damas_afrr_up*capacity_mult_A*stack_capacity*acceptance_rate+(MIN(DAMAS_Daily!C345*market_share_A*acceptance_rate*stack_activation,power_mw*hours_per_day,capacity_mwh))*DAMAS_Daily!E345*activation_mult_A)&gt;=(power_mw*hours_per_day*damas_afrr_down*capacity_mult_A*stack_capacity*acceptance_rate+(MIN(DAMAS_Daily!D345*market_share_A*acceptance_rate*stack_activation,power_mw*hours_per_day,capacity_mwh))*DAMAS_Daily!F345*activation_mult_A),"aFRR+","aFRR-")</f>
        <v/>
      </c>
      <c r="D345" s="43">
        <f>IF(C345="aFRR+",damas_afrr_up*capacity_mult_A,damas_afrr_down*capacity_mult_A)</f>
        <v/>
      </c>
      <c r="E345" s="44">
        <f>acceptance_rate</f>
        <v/>
      </c>
      <c r="F345" s="13">
        <f>IF(C345="aFRR+",power_mw*hours_per_day*damas_afrr_up*capacity_mult_A*stack_capacity*acceptance_rate,power_mw*hours_per_day*damas_afrr_down*capacity_mult_A*stack_capacity*acceptance_rate)</f>
        <v/>
      </c>
      <c r="G345" s="42">
        <f>IF(C345="aFRR+",DAMAS_Daily!I345,DAMAS_Daily!J345)</f>
        <v/>
      </c>
      <c r="H345" s="43">
        <f>IF(C345="aFRR+",DAMAS_Daily!E345,DAMAS_Daily!F345)</f>
        <v/>
      </c>
      <c r="I345" s="43">
        <f>IF(C345="aFRR+",DAMAS_Daily!G345,DAMAS_Daily!H345)</f>
        <v/>
      </c>
      <c r="J345" s="45">
        <f>IF(C345="aFRR+",DAMAS_Daily!C345,DAMAS_Daily!D345)</f>
        <v/>
      </c>
      <c r="K345" s="45">
        <f>IF(C345="aFRR+",MIN(DAMAS_Daily!C345*market_share_A*acceptance_rate*stack_activation,power_mw*hours_per_day,capacity_mwh),MIN(DAMAS_Daily!D345*market_share_A*acceptance_rate*stack_activation,power_mw*hours_per_day,capacity_mwh))</f>
        <v/>
      </c>
      <c r="L345" s="42">
        <f>IF(K345&gt;=capacity_mwh-0.01,"yes","no")</f>
        <v/>
      </c>
      <c r="M345" s="13">
        <f>IF(C345="aFRR+",(MIN(DAMAS_Daily!C345*market_share_A*acceptance_rate*stack_activation,power_mw*hours_per_day,capacity_mwh))*DAMAS_Daily!E345*activation_mult_A,(MIN(DAMAS_Daily!D345*market_share_A*acceptance_rate*stack_activation,power_mw*hours_per_day,capacity_mwh))*DAMAS_Daily!F345*activation_mult_A)</f>
        <v/>
      </c>
      <c r="N345" s="14">
        <f>F345+M345</f>
        <v/>
      </c>
    </row>
    <row r="346">
      <c r="A346" s="41">
        <f>DAMAS_Daily!A346</f>
        <v/>
      </c>
      <c r="B346" s="42">
        <f>DAMAS_Daily!B346</f>
        <v/>
      </c>
      <c r="C346" s="42">
        <f>IF((power_mw*hours_per_day*damas_afrr_up*capacity_mult_A*stack_capacity*acceptance_rate+(MIN(DAMAS_Daily!C346*market_share_A*acceptance_rate*stack_activation,power_mw*hours_per_day,capacity_mwh))*DAMAS_Daily!E346*activation_mult_A)&gt;=(power_mw*hours_per_day*damas_afrr_down*capacity_mult_A*stack_capacity*acceptance_rate+(MIN(DAMAS_Daily!D346*market_share_A*acceptance_rate*stack_activation,power_mw*hours_per_day,capacity_mwh))*DAMAS_Daily!F346*activation_mult_A),"aFRR+","aFRR-")</f>
        <v/>
      </c>
      <c r="D346" s="43">
        <f>IF(C346="aFRR+",damas_afrr_up*capacity_mult_A,damas_afrr_down*capacity_mult_A)</f>
        <v/>
      </c>
      <c r="E346" s="44">
        <f>acceptance_rate</f>
        <v/>
      </c>
      <c r="F346" s="13">
        <f>IF(C346="aFRR+",power_mw*hours_per_day*damas_afrr_up*capacity_mult_A*stack_capacity*acceptance_rate,power_mw*hours_per_day*damas_afrr_down*capacity_mult_A*stack_capacity*acceptance_rate)</f>
        <v/>
      </c>
      <c r="G346" s="42">
        <f>IF(C346="aFRR+",DAMAS_Daily!I346,DAMAS_Daily!J346)</f>
        <v/>
      </c>
      <c r="H346" s="43">
        <f>IF(C346="aFRR+",DAMAS_Daily!E346,DAMAS_Daily!F346)</f>
        <v/>
      </c>
      <c r="I346" s="43">
        <f>IF(C346="aFRR+",DAMAS_Daily!G346,DAMAS_Daily!H346)</f>
        <v/>
      </c>
      <c r="J346" s="45">
        <f>IF(C346="aFRR+",DAMAS_Daily!C346,DAMAS_Daily!D346)</f>
        <v/>
      </c>
      <c r="K346" s="45">
        <f>IF(C346="aFRR+",MIN(DAMAS_Daily!C346*market_share_A*acceptance_rate*stack_activation,power_mw*hours_per_day,capacity_mwh),MIN(DAMAS_Daily!D346*market_share_A*acceptance_rate*stack_activation,power_mw*hours_per_day,capacity_mwh))</f>
        <v/>
      </c>
      <c r="L346" s="42">
        <f>IF(K346&gt;=capacity_mwh-0.01,"yes","no")</f>
        <v/>
      </c>
      <c r="M346" s="13">
        <f>IF(C346="aFRR+",(MIN(DAMAS_Daily!C346*market_share_A*acceptance_rate*stack_activation,power_mw*hours_per_day,capacity_mwh))*DAMAS_Daily!E346*activation_mult_A,(MIN(DAMAS_Daily!D346*market_share_A*acceptance_rate*stack_activation,power_mw*hours_per_day,capacity_mwh))*DAMAS_Daily!F346*activation_mult_A)</f>
        <v/>
      </c>
      <c r="N346" s="14">
        <f>F346+M346</f>
        <v/>
      </c>
    </row>
    <row r="347">
      <c r="A347" s="41">
        <f>DAMAS_Daily!A347</f>
        <v/>
      </c>
      <c r="B347" s="42">
        <f>DAMAS_Daily!B347</f>
        <v/>
      </c>
      <c r="C347" s="42">
        <f>IF((power_mw*hours_per_day*damas_afrr_up*capacity_mult_A*stack_capacity*acceptance_rate+(MIN(DAMAS_Daily!C347*market_share_A*acceptance_rate*stack_activation,power_mw*hours_per_day,capacity_mwh))*DAMAS_Daily!E347*activation_mult_A)&gt;=(power_mw*hours_per_day*damas_afrr_down*capacity_mult_A*stack_capacity*acceptance_rate+(MIN(DAMAS_Daily!D347*market_share_A*acceptance_rate*stack_activation,power_mw*hours_per_day,capacity_mwh))*DAMAS_Daily!F347*activation_mult_A),"aFRR+","aFRR-")</f>
        <v/>
      </c>
      <c r="D347" s="43">
        <f>IF(C347="aFRR+",damas_afrr_up*capacity_mult_A,damas_afrr_down*capacity_mult_A)</f>
        <v/>
      </c>
      <c r="E347" s="44">
        <f>acceptance_rate</f>
        <v/>
      </c>
      <c r="F347" s="13">
        <f>IF(C347="aFRR+",power_mw*hours_per_day*damas_afrr_up*capacity_mult_A*stack_capacity*acceptance_rate,power_mw*hours_per_day*damas_afrr_down*capacity_mult_A*stack_capacity*acceptance_rate)</f>
        <v/>
      </c>
      <c r="G347" s="42">
        <f>IF(C347="aFRR+",DAMAS_Daily!I347,DAMAS_Daily!J347)</f>
        <v/>
      </c>
      <c r="H347" s="43">
        <f>IF(C347="aFRR+",DAMAS_Daily!E347,DAMAS_Daily!F347)</f>
        <v/>
      </c>
      <c r="I347" s="43">
        <f>IF(C347="aFRR+",DAMAS_Daily!G347,DAMAS_Daily!H347)</f>
        <v/>
      </c>
      <c r="J347" s="45">
        <f>IF(C347="aFRR+",DAMAS_Daily!C347,DAMAS_Daily!D347)</f>
        <v/>
      </c>
      <c r="K347" s="45">
        <f>IF(C347="aFRR+",MIN(DAMAS_Daily!C347*market_share_A*acceptance_rate*stack_activation,power_mw*hours_per_day,capacity_mwh),MIN(DAMAS_Daily!D347*market_share_A*acceptance_rate*stack_activation,power_mw*hours_per_day,capacity_mwh))</f>
        <v/>
      </c>
      <c r="L347" s="42">
        <f>IF(K347&gt;=capacity_mwh-0.01,"yes","no")</f>
        <v/>
      </c>
      <c r="M347" s="13">
        <f>IF(C347="aFRR+",(MIN(DAMAS_Daily!C347*market_share_A*acceptance_rate*stack_activation,power_mw*hours_per_day,capacity_mwh))*DAMAS_Daily!E347*activation_mult_A,(MIN(DAMAS_Daily!D347*market_share_A*acceptance_rate*stack_activation,power_mw*hours_per_day,capacity_mwh))*DAMAS_Daily!F347*activation_mult_A)</f>
        <v/>
      </c>
      <c r="N347" s="14">
        <f>F347+M347</f>
        <v/>
      </c>
    </row>
    <row r="348">
      <c r="A348" s="41">
        <f>DAMAS_Daily!A348</f>
        <v/>
      </c>
      <c r="B348" s="42">
        <f>DAMAS_Daily!B348</f>
        <v/>
      </c>
      <c r="C348" s="42">
        <f>IF((power_mw*hours_per_day*damas_afrr_up*capacity_mult_A*stack_capacity*acceptance_rate+(MIN(DAMAS_Daily!C348*market_share_A*acceptance_rate*stack_activation,power_mw*hours_per_day,capacity_mwh))*DAMAS_Daily!E348*activation_mult_A)&gt;=(power_mw*hours_per_day*damas_afrr_down*capacity_mult_A*stack_capacity*acceptance_rate+(MIN(DAMAS_Daily!D348*market_share_A*acceptance_rate*stack_activation,power_mw*hours_per_day,capacity_mwh))*DAMAS_Daily!F348*activation_mult_A),"aFRR+","aFRR-")</f>
        <v/>
      </c>
      <c r="D348" s="43">
        <f>IF(C348="aFRR+",damas_afrr_up*capacity_mult_A,damas_afrr_down*capacity_mult_A)</f>
        <v/>
      </c>
      <c r="E348" s="44">
        <f>acceptance_rate</f>
        <v/>
      </c>
      <c r="F348" s="13">
        <f>IF(C348="aFRR+",power_mw*hours_per_day*damas_afrr_up*capacity_mult_A*stack_capacity*acceptance_rate,power_mw*hours_per_day*damas_afrr_down*capacity_mult_A*stack_capacity*acceptance_rate)</f>
        <v/>
      </c>
      <c r="G348" s="42">
        <f>IF(C348="aFRR+",DAMAS_Daily!I348,DAMAS_Daily!J348)</f>
        <v/>
      </c>
      <c r="H348" s="43">
        <f>IF(C348="aFRR+",DAMAS_Daily!E348,DAMAS_Daily!F348)</f>
        <v/>
      </c>
      <c r="I348" s="43">
        <f>IF(C348="aFRR+",DAMAS_Daily!G348,DAMAS_Daily!H348)</f>
        <v/>
      </c>
      <c r="J348" s="45">
        <f>IF(C348="aFRR+",DAMAS_Daily!C348,DAMAS_Daily!D348)</f>
        <v/>
      </c>
      <c r="K348" s="45">
        <f>IF(C348="aFRR+",MIN(DAMAS_Daily!C348*market_share_A*acceptance_rate*stack_activation,power_mw*hours_per_day,capacity_mwh),MIN(DAMAS_Daily!D348*market_share_A*acceptance_rate*stack_activation,power_mw*hours_per_day,capacity_mwh))</f>
        <v/>
      </c>
      <c r="L348" s="42">
        <f>IF(K348&gt;=capacity_mwh-0.01,"yes","no")</f>
        <v/>
      </c>
      <c r="M348" s="13">
        <f>IF(C348="aFRR+",(MIN(DAMAS_Daily!C348*market_share_A*acceptance_rate*stack_activation,power_mw*hours_per_day,capacity_mwh))*DAMAS_Daily!E348*activation_mult_A,(MIN(DAMAS_Daily!D348*market_share_A*acceptance_rate*stack_activation,power_mw*hours_per_day,capacity_mwh))*DAMAS_Daily!F348*activation_mult_A)</f>
        <v/>
      </c>
      <c r="N348" s="14">
        <f>F348+M348</f>
        <v/>
      </c>
    </row>
    <row r="349">
      <c r="A349" s="41">
        <f>DAMAS_Daily!A349</f>
        <v/>
      </c>
      <c r="B349" s="42">
        <f>DAMAS_Daily!B349</f>
        <v/>
      </c>
      <c r="C349" s="42">
        <f>IF((power_mw*hours_per_day*damas_afrr_up*capacity_mult_A*stack_capacity*acceptance_rate+(MIN(DAMAS_Daily!C349*market_share_A*acceptance_rate*stack_activation,power_mw*hours_per_day,capacity_mwh))*DAMAS_Daily!E349*activation_mult_A)&gt;=(power_mw*hours_per_day*damas_afrr_down*capacity_mult_A*stack_capacity*acceptance_rate+(MIN(DAMAS_Daily!D349*market_share_A*acceptance_rate*stack_activation,power_mw*hours_per_day,capacity_mwh))*DAMAS_Daily!F349*activation_mult_A),"aFRR+","aFRR-")</f>
        <v/>
      </c>
      <c r="D349" s="43">
        <f>IF(C349="aFRR+",damas_afrr_up*capacity_mult_A,damas_afrr_down*capacity_mult_A)</f>
        <v/>
      </c>
      <c r="E349" s="44">
        <f>acceptance_rate</f>
        <v/>
      </c>
      <c r="F349" s="13">
        <f>IF(C349="aFRR+",power_mw*hours_per_day*damas_afrr_up*capacity_mult_A*stack_capacity*acceptance_rate,power_mw*hours_per_day*damas_afrr_down*capacity_mult_A*stack_capacity*acceptance_rate)</f>
        <v/>
      </c>
      <c r="G349" s="42">
        <f>IF(C349="aFRR+",DAMAS_Daily!I349,DAMAS_Daily!J349)</f>
        <v/>
      </c>
      <c r="H349" s="43">
        <f>IF(C349="aFRR+",DAMAS_Daily!E349,DAMAS_Daily!F349)</f>
        <v/>
      </c>
      <c r="I349" s="43">
        <f>IF(C349="aFRR+",DAMAS_Daily!G349,DAMAS_Daily!H349)</f>
        <v/>
      </c>
      <c r="J349" s="45">
        <f>IF(C349="aFRR+",DAMAS_Daily!C349,DAMAS_Daily!D349)</f>
        <v/>
      </c>
      <c r="K349" s="45">
        <f>IF(C349="aFRR+",MIN(DAMAS_Daily!C349*market_share_A*acceptance_rate*stack_activation,power_mw*hours_per_day,capacity_mwh),MIN(DAMAS_Daily!D349*market_share_A*acceptance_rate*stack_activation,power_mw*hours_per_day,capacity_mwh))</f>
        <v/>
      </c>
      <c r="L349" s="42">
        <f>IF(K349&gt;=capacity_mwh-0.01,"yes","no")</f>
        <v/>
      </c>
      <c r="M349" s="13">
        <f>IF(C349="aFRR+",(MIN(DAMAS_Daily!C349*market_share_A*acceptance_rate*stack_activation,power_mw*hours_per_day,capacity_mwh))*DAMAS_Daily!E349*activation_mult_A,(MIN(DAMAS_Daily!D349*market_share_A*acceptance_rate*stack_activation,power_mw*hours_per_day,capacity_mwh))*DAMAS_Daily!F349*activation_mult_A)</f>
        <v/>
      </c>
      <c r="N349" s="14">
        <f>F349+M349</f>
        <v/>
      </c>
    </row>
    <row r="350">
      <c r="A350" s="41">
        <f>DAMAS_Daily!A350</f>
        <v/>
      </c>
      <c r="B350" s="42">
        <f>DAMAS_Daily!B350</f>
        <v/>
      </c>
      <c r="C350" s="42">
        <f>IF((power_mw*hours_per_day*damas_afrr_up*capacity_mult_A*stack_capacity*acceptance_rate+(MIN(DAMAS_Daily!C350*market_share_A*acceptance_rate*stack_activation,power_mw*hours_per_day,capacity_mwh))*DAMAS_Daily!E350*activation_mult_A)&gt;=(power_mw*hours_per_day*damas_afrr_down*capacity_mult_A*stack_capacity*acceptance_rate+(MIN(DAMAS_Daily!D350*market_share_A*acceptance_rate*stack_activation,power_mw*hours_per_day,capacity_mwh))*DAMAS_Daily!F350*activation_mult_A),"aFRR+","aFRR-")</f>
        <v/>
      </c>
      <c r="D350" s="43">
        <f>IF(C350="aFRR+",damas_afrr_up*capacity_mult_A,damas_afrr_down*capacity_mult_A)</f>
        <v/>
      </c>
      <c r="E350" s="44">
        <f>acceptance_rate</f>
        <v/>
      </c>
      <c r="F350" s="13">
        <f>IF(C350="aFRR+",power_mw*hours_per_day*damas_afrr_up*capacity_mult_A*stack_capacity*acceptance_rate,power_mw*hours_per_day*damas_afrr_down*capacity_mult_A*stack_capacity*acceptance_rate)</f>
        <v/>
      </c>
      <c r="G350" s="42">
        <f>IF(C350="aFRR+",DAMAS_Daily!I350,DAMAS_Daily!J350)</f>
        <v/>
      </c>
      <c r="H350" s="43">
        <f>IF(C350="aFRR+",DAMAS_Daily!E350,DAMAS_Daily!F350)</f>
        <v/>
      </c>
      <c r="I350" s="43">
        <f>IF(C350="aFRR+",DAMAS_Daily!G350,DAMAS_Daily!H350)</f>
        <v/>
      </c>
      <c r="J350" s="45">
        <f>IF(C350="aFRR+",DAMAS_Daily!C350,DAMAS_Daily!D350)</f>
        <v/>
      </c>
      <c r="K350" s="45">
        <f>IF(C350="aFRR+",MIN(DAMAS_Daily!C350*market_share_A*acceptance_rate*stack_activation,power_mw*hours_per_day,capacity_mwh),MIN(DAMAS_Daily!D350*market_share_A*acceptance_rate*stack_activation,power_mw*hours_per_day,capacity_mwh))</f>
        <v/>
      </c>
      <c r="L350" s="42">
        <f>IF(K350&gt;=capacity_mwh-0.01,"yes","no")</f>
        <v/>
      </c>
      <c r="M350" s="13">
        <f>IF(C350="aFRR+",(MIN(DAMAS_Daily!C350*market_share_A*acceptance_rate*stack_activation,power_mw*hours_per_day,capacity_mwh))*DAMAS_Daily!E350*activation_mult_A,(MIN(DAMAS_Daily!D350*market_share_A*acceptance_rate*stack_activation,power_mw*hours_per_day,capacity_mwh))*DAMAS_Daily!F350*activation_mult_A)</f>
        <v/>
      </c>
      <c r="N350" s="14">
        <f>F350+M350</f>
        <v/>
      </c>
    </row>
    <row r="351">
      <c r="A351" s="41">
        <f>DAMAS_Daily!A351</f>
        <v/>
      </c>
      <c r="B351" s="42">
        <f>DAMAS_Daily!B351</f>
        <v/>
      </c>
      <c r="C351" s="42">
        <f>IF((power_mw*hours_per_day*damas_afrr_up*capacity_mult_A*stack_capacity*acceptance_rate+(MIN(DAMAS_Daily!C351*market_share_A*acceptance_rate*stack_activation,power_mw*hours_per_day,capacity_mwh))*DAMAS_Daily!E351*activation_mult_A)&gt;=(power_mw*hours_per_day*damas_afrr_down*capacity_mult_A*stack_capacity*acceptance_rate+(MIN(DAMAS_Daily!D351*market_share_A*acceptance_rate*stack_activation,power_mw*hours_per_day,capacity_mwh))*DAMAS_Daily!F351*activation_mult_A),"aFRR+","aFRR-")</f>
        <v/>
      </c>
      <c r="D351" s="43">
        <f>IF(C351="aFRR+",damas_afrr_up*capacity_mult_A,damas_afrr_down*capacity_mult_A)</f>
        <v/>
      </c>
      <c r="E351" s="44">
        <f>acceptance_rate</f>
        <v/>
      </c>
      <c r="F351" s="13">
        <f>IF(C351="aFRR+",power_mw*hours_per_day*damas_afrr_up*capacity_mult_A*stack_capacity*acceptance_rate,power_mw*hours_per_day*damas_afrr_down*capacity_mult_A*stack_capacity*acceptance_rate)</f>
        <v/>
      </c>
      <c r="G351" s="42">
        <f>IF(C351="aFRR+",DAMAS_Daily!I351,DAMAS_Daily!J351)</f>
        <v/>
      </c>
      <c r="H351" s="43">
        <f>IF(C351="aFRR+",DAMAS_Daily!E351,DAMAS_Daily!F351)</f>
        <v/>
      </c>
      <c r="I351" s="43">
        <f>IF(C351="aFRR+",DAMAS_Daily!G351,DAMAS_Daily!H351)</f>
        <v/>
      </c>
      <c r="J351" s="45">
        <f>IF(C351="aFRR+",DAMAS_Daily!C351,DAMAS_Daily!D351)</f>
        <v/>
      </c>
      <c r="K351" s="45">
        <f>IF(C351="aFRR+",MIN(DAMAS_Daily!C351*market_share_A*acceptance_rate*stack_activation,power_mw*hours_per_day,capacity_mwh),MIN(DAMAS_Daily!D351*market_share_A*acceptance_rate*stack_activation,power_mw*hours_per_day,capacity_mwh))</f>
        <v/>
      </c>
      <c r="L351" s="42">
        <f>IF(K351&gt;=capacity_mwh-0.01,"yes","no")</f>
        <v/>
      </c>
      <c r="M351" s="13">
        <f>IF(C351="aFRR+",(MIN(DAMAS_Daily!C351*market_share_A*acceptance_rate*stack_activation,power_mw*hours_per_day,capacity_mwh))*DAMAS_Daily!E351*activation_mult_A,(MIN(DAMAS_Daily!D351*market_share_A*acceptance_rate*stack_activation,power_mw*hours_per_day,capacity_mwh))*DAMAS_Daily!F351*activation_mult_A)</f>
        <v/>
      </c>
      <c r="N351" s="14">
        <f>F351+M351</f>
        <v/>
      </c>
    </row>
    <row r="352">
      <c r="A352" s="41">
        <f>DAMAS_Daily!A352</f>
        <v/>
      </c>
      <c r="B352" s="42">
        <f>DAMAS_Daily!B352</f>
        <v/>
      </c>
      <c r="C352" s="42">
        <f>IF((power_mw*hours_per_day*damas_afrr_up*capacity_mult_A*stack_capacity*acceptance_rate+(MIN(DAMAS_Daily!C352*market_share_A*acceptance_rate*stack_activation,power_mw*hours_per_day,capacity_mwh))*DAMAS_Daily!E352*activation_mult_A)&gt;=(power_mw*hours_per_day*damas_afrr_down*capacity_mult_A*stack_capacity*acceptance_rate+(MIN(DAMAS_Daily!D352*market_share_A*acceptance_rate*stack_activation,power_mw*hours_per_day,capacity_mwh))*DAMAS_Daily!F352*activation_mult_A),"aFRR+","aFRR-")</f>
        <v/>
      </c>
      <c r="D352" s="43">
        <f>IF(C352="aFRR+",damas_afrr_up*capacity_mult_A,damas_afrr_down*capacity_mult_A)</f>
        <v/>
      </c>
      <c r="E352" s="44">
        <f>acceptance_rate</f>
        <v/>
      </c>
      <c r="F352" s="13">
        <f>IF(C352="aFRR+",power_mw*hours_per_day*damas_afrr_up*capacity_mult_A*stack_capacity*acceptance_rate,power_mw*hours_per_day*damas_afrr_down*capacity_mult_A*stack_capacity*acceptance_rate)</f>
        <v/>
      </c>
      <c r="G352" s="42">
        <f>IF(C352="aFRR+",DAMAS_Daily!I352,DAMAS_Daily!J352)</f>
        <v/>
      </c>
      <c r="H352" s="43">
        <f>IF(C352="aFRR+",DAMAS_Daily!E352,DAMAS_Daily!F352)</f>
        <v/>
      </c>
      <c r="I352" s="43">
        <f>IF(C352="aFRR+",DAMAS_Daily!G352,DAMAS_Daily!H352)</f>
        <v/>
      </c>
      <c r="J352" s="45">
        <f>IF(C352="aFRR+",DAMAS_Daily!C352,DAMAS_Daily!D352)</f>
        <v/>
      </c>
      <c r="K352" s="45">
        <f>IF(C352="aFRR+",MIN(DAMAS_Daily!C352*market_share_A*acceptance_rate*stack_activation,power_mw*hours_per_day,capacity_mwh),MIN(DAMAS_Daily!D352*market_share_A*acceptance_rate*stack_activation,power_mw*hours_per_day,capacity_mwh))</f>
        <v/>
      </c>
      <c r="L352" s="42">
        <f>IF(K352&gt;=capacity_mwh-0.01,"yes","no")</f>
        <v/>
      </c>
      <c r="M352" s="13">
        <f>IF(C352="aFRR+",(MIN(DAMAS_Daily!C352*market_share_A*acceptance_rate*stack_activation,power_mw*hours_per_day,capacity_mwh))*DAMAS_Daily!E352*activation_mult_A,(MIN(DAMAS_Daily!D352*market_share_A*acceptance_rate*stack_activation,power_mw*hours_per_day,capacity_mwh))*DAMAS_Daily!F352*activation_mult_A)</f>
        <v/>
      </c>
      <c r="N352" s="14">
        <f>F352+M352</f>
        <v/>
      </c>
    </row>
    <row r="353">
      <c r="A353" s="41">
        <f>DAMAS_Daily!A353</f>
        <v/>
      </c>
      <c r="B353" s="42">
        <f>DAMAS_Daily!B353</f>
        <v/>
      </c>
      <c r="C353" s="42">
        <f>IF((power_mw*hours_per_day*damas_afrr_up*capacity_mult_A*stack_capacity*acceptance_rate+(MIN(DAMAS_Daily!C353*market_share_A*acceptance_rate*stack_activation,power_mw*hours_per_day,capacity_mwh))*DAMAS_Daily!E353*activation_mult_A)&gt;=(power_mw*hours_per_day*damas_afrr_down*capacity_mult_A*stack_capacity*acceptance_rate+(MIN(DAMAS_Daily!D353*market_share_A*acceptance_rate*stack_activation,power_mw*hours_per_day,capacity_mwh))*DAMAS_Daily!F353*activation_mult_A),"aFRR+","aFRR-")</f>
        <v/>
      </c>
      <c r="D353" s="43">
        <f>IF(C353="aFRR+",damas_afrr_up*capacity_mult_A,damas_afrr_down*capacity_mult_A)</f>
        <v/>
      </c>
      <c r="E353" s="44">
        <f>acceptance_rate</f>
        <v/>
      </c>
      <c r="F353" s="13">
        <f>IF(C353="aFRR+",power_mw*hours_per_day*damas_afrr_up*capacity_mult_A*stack_capacity*acceptance_rate,power_mw*hours_per_day*damas_afrr_down*capacity_mult_A*stack_capacity*acceptance_rate)</f>
        <v/>
      </c>
      <c r="G353" s="42">
        <f>IF(C353="aFRR+",DAMAS_Daily!I353,DAMAS_Daily!J353)</f>
        <v/>
      </c>
      <c r="H353" s="43">
        <f>IF(C353="aFRR+",DAMAS_Daily!E353,DAMAS_Daily!F353)</f>
        <v/>
      </c>
      <c r="I353" s="43">
        <f>IF(C353="aFRR+",DAMAS_Daily!G353,DAMAS_Daily!H353)</f>
        <v/>
      </c>
      <c r="J353" s="45">
        <f>IF(C353="aFRR+",DAMAS_Daily!C353,DAMAS_Daily!D353)</f>
        <v/>
      </c>
      <c r="K353" s="45">
        <f>IF(C353="aFRR+",MIN(DAMAS_Daily!C353*market_share_A*acceptance_rate*stack_activation,power_mw*hours_per_day,capacity_mwh),MIN(DAMAS_Daily!D353*market_share_A*acceptance_rate*stack_activation,power_mw*hours_per_day,capacity_mwh))</f>
        <v/>
      </c>
      <c r="L353" s="42">
        <f>IF(K353&gt;=capacity_mwh-0.01,"yes","no")</f>
        <v/>
      </c>
      <c r="M353" s="13">
        <f>IF(C353="aFRR+",(MIN(DAMAS_Daily!C353*market_share_A*acceptance_rate*stack_activation,power_mw*hours_per_day,capacity_mwh))*DAMAS_Daily!E353*activation_mult_A,(MIN(DAMAS_Daily!D353*market_share_A*acceptance_rate*stack_activation,power_mw*hours_per_day,capacity_mwh))*DAMAS_Daily!F353*activation_mult_A)</f>
        <v/>
      </c>
      <c r="N353" s="14">
        <f>F353+M353</f>
        <v/>
      </c>
    </row>
    <row r="354">
      <c r="A354" s="41">
        <f>DAMAS_Daily!A354</f>
        <v/>
      </c>
      <c r="B354" s="42">
        <f>DAMAS_Daily!B354</f>
        <v/>
      </c>
      <c r="C354" s="42">
        <f>IF((power_mw*hours_per_day*damas_afrr_up*capacity_mult_A*stack_capacity*acceptance_rate+(MIN(DAMAS_Daily!C354*market_share_A*acceptance_rate*stack_activation,power_mw*hours_per_day,capacity_mwh))*DAMAS_Daily!E354*activation_mult_A)&gt;=(power_mw*hours_per_day*damas_afrr_down*capacity_mult_A*stack_capacity*acceptance_rate+(MIN(DAMAS_Daily!D354*market_share_A*acceptance_rate*stack_activation,power_mw*hours_per_day,capacity_mwh))*DAMAS_Daily!F354*activation_mult_A),"aFRR+","aFRR-")</f>
        <v/>
      </c>
      <c r="D354" s="43">
        <f>IF(C354="aFRR+",damas_afrr_up*capacity_mult_A,damas_afrr_down*capacity_mult_A)</f>
        <v/>
      </c>
      <c r="E354" s="44">
        <f>acceptance_rate</f>
        <v/>
      </c>
      <c r="F354" s="13">
        <f>IF(C354="aFRR+",power_mw*hours_per_day*damas_afrr_up*capacity_mult_A*stack_capacity*acceptance_rate,power_mw*hours_per_day*damas_afrr_down*capacity_mult_A*stack_capacity*acceptance_rate)</f>
        <v/>
      </c>
      <c r="G354" s="42">
        <f>IF(C354="aFRR+",DAMAS_Daily!I354,DAMAS_Daily!J354)</f>
        <v/>
      </c>
      <c r="H354" s="43">
        <f>IF(C354="aFRR+",DAMAS_Daily!E354,DAMAS_Daily!F354)</f>
        <v/>
      </c>
      <c r="I354" s="43">
        <f>IF(C354="aFRR+",DAMAS_Daily!G354,DAMAS_Daily!H354)</f>
        <v/>
      </c>
      <c r="J354" s="45">
        <f>IF(C354="aFRR+",DAMAS_Daily!C354,DAMAS_Daily!D354)</f>
        <v/>
      </c>
      <c r="K354" s="45">
        <f>IF(C354="aFRR+",MIN(DAMAS_Daily!C354*market_share_A*acceptance_rate*stack_activation,power_mw*hours_per_day,capacity_mwh),MIN(DAMAS_Daily!D354*market_share_A*acceptance_rate*stack_activation,power_mw*hours_per_day,capacity_mwh))</f>
        <v/>
      </c>
      <c r="L354" s="42">
        <f>IF(K354&gt;=capacity_mwh-0.01,"yes","no")</f>
        <v/>
      </c>
      <c r="M354" s="13">
        <f>IF(C354="aFRR+",(MIN(DAMAS_Daily!C354*market_share_A*acceptance_rate*stack_activation,power_mw*hours_per_day,capacity_mwh))*DAMAS_Daily!E354*activation_mult_A,(MIN(DAMAS_Daily!D354*market_share_A*acceptance_rate*stack_activation,power_mw*hours_per_day,capacity_mwh))*DAMAS_Daily!F354*activation_mult_A)</f>
        <v/>
      </c>
      <c r="N354" s="14">
        <f>F354+M354</f>
        <v/>
      </c>
    </row>
    <row r="355">
      <c r="A355" s="41">
        <f>DAMAS_Daily!A355</f>
        <v/>
      </c>
      <c r="B355" s="42">
        <f>DAMAS_Daily!B355</f>
        <v/>
      </c>
      <c r="C355" s="42">
        <f>IF((power_mw*hours_per_day*damas_afrr_up*capacity_mult_A*stack_capacity*acceptance_rate+(MIN(DAMAS_Daily!C355*market_share_A*acceptance_rate*stack_activation,power_mw*hours_per_day,capacity_mwh))*DAMAS_Daily!E355*activation_mult_A)&gt;=(power_mw*hours_per_day*damas_afrr_down*capacity_mult_A*stack_capacity*acceptance_rate+(MIN(DAMAS_Daily!D355*market_share_A*acceptance_rate*stack_activation,power_mw*hours_per_day,capacity_mwh))*DAMAS_Daily!F355*activation_mult_A),"aFRR+","aFRR-")</f>
        <v/>
      </c>
      <c r="D355" s="43">
        <f>IF(C355="aFRR+",damas_afrr_up*capacity_mult_A,damas_afrr_down*capacity_mult_A)</f>
        <v/>
      </c>
      <c r="E355" s="44">
        <f>acceptance_rate</f>
        <v/>
      </c>
      <c r="F355" s="13">
        <f>IF(C355="aFRR+",power_mw*hours_per_day*damas_afrr_up*capacity_mult_A*stack_capacity*acceptance_rate,power_mw*hours_per_day*damas_afrr_down*capacity_mult_A*stack_capacity*acceptance_rate)</f>
        <v/>
      </c>
      <c r="G355" s="42">
        <f>IF(C355="aFRR+",DAMAS_Daily!I355,DAMAS_Daily!J355)</f>
        <v/>
      </c>
      <c r="H355" s="43">
        <f>IF(C355="aFRR+",DAMAS_Daily!E355,DAMAS_Daily!F355)</f>
        <v/>
      </c>
      <c r="I355" s="43">
        <f>IF(C355="aFRR+",DAMAS_Daily!G355,DAMAS_Daily!H355)</f>
        <v/>
      </c>
      <c r="J355" s="45">
        <f>IF(C355="aFRR+",DAMAS_Daily!C355,DAMAS_Daily!D355)</f>
        <v/>
      </c>
      <c r="K355" s="45">
        <f>IF(C355="aFRR+",MIN(DAMAS_Daily!C355*market_share_A*acceptance_rate*stack_activation,power_mw*hours_per_day,capacity_mwh),MIN(DAMAS_Daily!D355*market_share_A*acceptance_rate*stack_activation,power_mw*hours_per_day,capacity_mwh))</f>
        <v/>
      </c>
      <c r="L355" s="42">
        <f>IF(K355&gt;=capacity_mwh-0.01,"yes","no")</f>
        <v/>
      </c>
      <c r="M355" s="13">
        <f>IF(C355="aFRR+",(MIN(DAMAS_Daily!C355*market_share_A*acceptance_rate*stack_activation,power_mw*hours_per_day,capacity_mwh))*DAMAS_Daily!E355*activation_mult_A,(MIN(DAMAS_Daily!D355*market_share_A*acceptance_rate*stack_activation,power_mw*hours_per_day,capacity_mwh))*DAMAS_Daily!F355*activation_mult_A)</f>
        <v/>
      </c>
      <c r="N355" s="14">
        <f>F355+M355</f>
        <v/>
      </c>
    </row>
    <row r="356">
      <c r="A356" s="41">
        <f>DAMAS_Daily!A356</f>
        <v/>
      </c>
      <c r="B356" s="42">
        <f>DAMAS_Daily!B356</f>
        <v/>
      </c>
      <c r="C356" s="42">
        <f>IF((power_mw*hours_per_day*damas_afrr_up*capacity_mult_A*stack_capacity*acceptance_rate+(MIN(DAMAS_Daily!C356*market_share_A*acceptance_rate*stack_activation,power_mw*hours_per_day,capacity_mwh))*DAMAS_Daily!E356*activation_mult_A)&gt;=(power_mw*hours_per_day*damas_afrr_down*capacity_mult_A*stack_capacity*acceptance_rate+(MIN(DAMAS_Daily!D356*market_share_A*acceptance_rate*stack_activation,power_mw*hours_per_day,capacity_mwh))*DAMAS_Daily!F356*activation_mult_A),"aFRR+","aFRR-")</f>
        <v/>
      </c>
      <c r="D356" s="43">
        <f>IF(C356="aFRR+",damas_afrr_up*capacity_mult_A,damas_afrr_down*capacity_mult_A)</f>
        <v/>
      </c>
      <c r="E356" s="44">
        <f>acceptance_rate</f>
        <v/>
      </c>
      <c r="F356" s="13">
        <f>IF(C356="aFRR+",power_mw*hours_per_day*damas_afrr_up*capacity_mult_A*stack_capacity*acceptance_rate,power_mw*hours_per_day*damas_afrr_down*capacity_mult_A*stack_capacity*acceptance_rate)</f>
        <v/>
      </c>
      <c r="G356" s="42">
        <f>IF(C356="aFRR+",DAMAS_Daily!I356,DAMAS_Daily!J356)</f>
        <v/>
      </c>
      <c r="H356" s="43">
        <f>IF(C356="aFRR+",DAMAS_Daily!E356,DAMAS_Daily!F356)</f>
        <v/>
      </c>
      <c r="I356" s="43">
        <f>IF(C356="aFRR+",DAMAS_Daily!G356,DAMAS_Daily!H356)</f>
        <v/>
      </c>
      <c r="J356" s="45">
        <f>IF(C356="aFRR+",DAMAS_Daily!C356,DAMAS_Daily!D356)</f>
        <v/>
      </c>
      <c r="K356" s="45">
        <f>IF(C356="aFRR+",MIN(DAMAS_Daily!C356*market_share_A*acceptance_rate*stack_activation,power_mw*hours_per_day,capacity_mwh),MIN(DAMAS_Daily!D356*market_share_A*acceptance_rate*stack_activation,power_mw*hours_per_day,capacity_mwh))</f>
        <v/>
      </c>
      <c r="L356" s="42">
        <f>IF(K356&gt;=capacity_mwh-0.01,"yes","no")</f>
        <v/>
      </c>
      <c r="M356" s="13">
        <f>IF(C356="aFRR+",(MIN(DAMAS_Daily!C356*market_share_A*acceptance_rate*stack_activation,power_mw*hours_per_day,capacity_mwh))*DAMAS_Daily!E356*activation_mult_A,(MIN(DAMAS_Daily!D356*market_share_A*acceptance_rate*stack_activation,power_mw*hours_per_day,capacity_mwh))*DAMAS_Daily!F356*activation_mult_A)</f>
        <v/>
      </c>
      <c r="N356" s="14">
        <f>F356+M356</f>
        <v/>
      </c>
    </row>
    <row r="357">
      <c r="A357" s="41">
        <f>DAMAS_Daily!A357</f>
        <v/>
      </c>
      <c r="B357" s="42">
        <f>DAMAS_Daily!B357</f>
        <v/>
      </c>
      <c r="C357" s="42">
        <f>IF((power_mw*hours_per_day*damas_afrr_up*capacity_mult_A*stack_capacity*acceptance_rate+(MIN(DAMAS_Daily!C357*market_share_A*acceptance_rate*stack_activation,power_mw*hours_per_day,capacity_mwh))*DAMAS_Daily!E357*activation_mult_A)&gt;=(power_mw*hours_per_day*damas_afrr_down*capacity_mult_A*stack_capacity*acceptance_rate+(MIN(DAMAS_Daily!D357*market_share_A*acceptance_rate*stack_activation,power_mw*hours_per_day,capacity_mwh))*DAMAS_Daily!F357*activation_mult_A),"aFRR+","aFRR-")</f>
        <v/>
      </c>
      <c r="D357" s="43">
        <f>IF(C357="aFRR+",damas_afrr_up*capacity_mult_A,damas_afrr_down*capacity_mult_A)</f>
        <v/>
      </c>
      <c r="E357" s="44">
        <f>acceptance_rate</f>
        <v/>
      </c>
      <c r="F357" s="13">
        <f>IF(C357="aFRR+",power_mw*hours_per_day*damas_afrr_up*capacity_mult_A*stack_capacity*acceptance_rate,power_mw*hours_per_day*damas_afrr_down*capacity_mult_A*stack_capacity*acceptance_rate)</f>
        <v/>
      </c>
      <c r="G357" s="42">
        <f>IF(C357="aFRR+",DAMAS_Daily!I357,DAMAS_Daily!J357)</f>
        <v/>
      </c>
      <c r="H357" s="43">
        <f>IF(C357="aFRR+",DAMAS_Daily!E357,DAMAS_Daily!F357)</f>
        <v/>
      </c>
      <c r="I357" s="43">
        <f>IF(C357="aFRR+",DAMAS_Daily!G357,DAMAS_Daily!H357)</f>
        <v/>
      </c>
      <c r="J357" s="45">
        <f>IF(C357="aFRR+",DAMAS_Daily!C357,DAMAS_Daily!D357)</f>
        <v/>
      </c>
      <c r="K357" s="45">
        <f>IF(C357="aFRR+",MIN(DAMAS_Daily!C357*market_share_A*acceptance_rate*stack_activation,power_mw*hours_per_day,capacity_mwh),MIN(DAMAS_Daily!D357*market_share_A*acceptance_rate*stack_activation,power_mw*hours_per_day,capacity_mwh))</f>
        <v/>
      </c>
      <c r="L357" s="42">
        <f>IF(K357&gt;=capacity_mwh-0.01,"yes","no")</f>
        <v/>
      </c>
      <c r="M357" s="13">
        <f>IF(C357="aFRR+",(MIN(DAMAS_Daily!C357*market_share_A*acceptance_rate*stack_activation,power_mw*hours_per_day,capacity_mwh))*DAMAS_Daily!E357*activation_mult_A,(MIN(DAMAS_Daily!D357*market_share_A*acceptance_rate*stack_activation,power_mw*hours_per_day,capacity_mwh))*DAMAS_Daily!F357*activation_mult_A)</f>
        <v/>
      </c>
      <c r="N357" s="14">
        <f>F357+M357</f>
        <v/>
      </c>
    </row>
    <row r="358">
      <c r="A358" s="41">
        <f>DAMAS_Daily!A358</f>
        <v/>
      </c>
      <c r="B358" s="42">
        <f>DAMAS_Daily!B358</f>
        <v/>
      </c>
      <c r="C358" s="42">
        <f>IF((power_mw*hours_per_day*damas_afrr_up*capacity_mult_A*stack_capacity*acceptance_rate+(MIN(DAMAS_Daily!C358*market_share_A*acceptance_rate*stack_activation,power_mw*hours_per_day,capacity_mwh))*DAMAS_Daily!E358*activation_mult_A)&gt;=(power_mw*hours_per_day*damas_afrr_down*capacity_mult_A*stack_capacity*acceptance_rate+(MIN(DAMAS_Daily!D358*market_share_A*acceptance_rate*stack_activation,power_mw*hours_per_day,capacity_mwh))*DAMAS_Daily!F358*activation_mult_A),"aFRR+","aFRR-")</f>
        <v/>
      </c>
      <c r="D358" s="43">
        <f>IF(C358="aFRR+",damas_afrr_up*capacity_mult_A,damas_afrr_down*capacity_mult_A)</f>
        <v/>
      </c>
      <c r="E358" s="44">
        <f>acceptance_rate</f>
        <v/>
      </c>
      <c r="F358" s="13">
        <f>IF(C358="aFRR+",power_mw*hours_per_day*damas_afrr_up*capacity_mult_A*stack_capacity*acceptance_rate,power_mw*hours_per_day*damas_afrr_down*capacity_mult_A*stack_capacity*acceptance_rate)</f>
        <v/>
      </c>
      <c r="G358" s="42">
        <f>IF(C358="aFRR+",DAMAS_Daily!I358,DAMAS_Daily!J358)</f>
        <v/>
      </c>
      <c r="H358" s="43">
        <f>IF(C358="aFRR+",DAMAS_Daily!E358,DAMAS_Daily!F358)</f>
        <v/>
      </c>
      <c r="I358" s="43">
        <f>IF(C358="aFRR+",DAMAS_Daily!G358,DAMAS_Daily!H358)</f>
        <v/>
      </c>
      <c r="J358" s="45">
        <f>IF(C358="aFRR+",DAMAS_Daily!C358,DAMAS_Daily!D358)</f>
        <v/>
      </c>
      <c r="K358" s="45">
        <f>IF(C358="aFRR+",MIN(DAMAS_Daily!C358*market_share_A*acceptance_rate*stack_activation,power_mw*hours_per_day,capacity_mwh),MIN(DAMAS_Daily!D358*market_share_A*acceptance_rate*stack_activation,power_mw*hours_per_day,capacity_mwh))</f>
        <v/>
      </c>
      <c r="L358" s="42">
        <f>IF(K358&gt;=capacity_mwh-0.01,"yes","no")</f>
        <v/>
      </c>
      <c r="M358" s="13">
        <f>IF(C358="aFRR+",(MIN(DAMAS_Daily!C358*market_share_A*acceptance_rate*stack_activation,power_mw*hours_per_day,capacity_mwh))*DAMAS_Daily!E358*activation_mult_A,(MIN(DAMAS_Daily!D358*market_share_A*acceptance_rate*stack_activation,power_mw*hours_per_day,capacity_mwh))*DAMAS_Daily!F358*activation_mult_A)</f>
        <v/>
      </c>
      <c r="N358" s="14">
        <f>F358+M358</f>
        <v/>
      </c>
    </row>
    <row r="359">
      <c r="A359" s="41">
        <f>DAMAS_Daily!A359</f>
        <v/>
      </c>
      <c r="B359" s="42">
        <f>DAMAS_Daily!B359</f>
        <v/>
      </c>
      <c r="C359" s="42">
        <f>IF((power_mw*hours_per_day*damas_afrr_up*capacity_mult_A*stack_capacity*acceptance_rate+(MIN(DAMAS_Daily!C359*market_share_A*acceptance_rate*stack_activation,power_mw*hours_per_day,capacity_mwh))*DAMAS_Daily!E359*activation_mult_A)&gt;=(power_mw*hours_per_day*damas_afrr_down*capacity_mult_A*stack_capacity*acceptance_rate+(MIN(DAMAS_Daily!D359*market_share_A*acceptance_rate*stack_activation,power_mw*hours_per_day,capacity_mwh))*DAMAS_Daily!F359*activation_mult_A),"aFRR+","aFRR-")</f>
        <v/>
      </c>
      <c r="D359" s="43">
        <f>IF(C359="aFRR+",damas_afrr_up*capacity_mult_A,damas_afrr_down*capacity_mult_A)</f>
        <v/>
      </c>
      <c r="E359" s="44">
        <f>acceptance_rate</f>
        <v/>
      </c>
      <c r="F359" s="13">
        <f>IF(C359="aFRR+",power_mw*hours_per_day*damas_afrr_up*capacity_mult_A*stack_capacity*acceptance_rate,power_mw*hours_per_day*damas_afrr_down*capacity_mult_A*stack_capacity*acceptance_rate)</f>
        <v/>
      </c>
      <c r="G359" s="42">
        <f>IF(C359="aFRR+",DAMAS_Daily!I359,DAMAS_Daily!J359)</f>
        <v/>
      </c>
      <c r="H359" s="43">
        <f>IF(C359="aFRR+",DAMAS_Daily!E359,DAMAS_Daily!F359)</f>
        <v/>
      </c>
      <c r="I359" s="43">
        <f>IF(C359="aFRR+",DAMAS_Daily!G359,DAMAS_Daily!H359)</f>
        <v/>
      </c>
      <c r="J359" s="45">
        <f>IF(C359="aFRR+",DAMAS_Daily!C359,DAMAS_Daily!D359)</f>
        <v/>
      </c>
      <c r="K359" s="45">
        <f>IF(C359="aFRR+",MIN(DAMAS_Daily!C359*market_share_A*acceptance_rate*stack_activation,power_mw*hours_per_day,capacity_mwh),MIN(DAMAS_Daily!D359*market_share_A*acceptance_rate*stack_activation,power_mw*hours_per_day,capacity_mwh))</f>
        <v/>
      </c>
      <c r="L359" s="42">
        <f>IF(K359&gt;=capacity_mwh-0.01,"yes","no")</f>
        <v/>
      </c>
      <c r="M359" s="13">
        <f>IF(C359="aFRR+",(MIN(DAMAS_Daily!C359*market_share_A*acceptance_rate*stack_activation,power_mw*hours_per_day,capacity_mwh))*DAMAS_Daily!E359*activation_mult_A,(MIN(DAMAS_Daily!D359*market_share_A*acceptance_rate*stack_activation,power_mw*hours_per_day,capacity_mwh))*DAMAS_Daily!F359*activation_mult_A)</f>
        <v/>
      </c>
      <c r="N359" s="14">
        <f>F359+M359</f>
        <v/>
      </c>
    </row>
    <row r="360">
      <c r="A360" s="41">
        <f>DAMAS_Daily!A360</f>
        <v/>
      </c>
      <c r="B360" s="42">
        <f>DAMAS_Daily!B360</f>
        <v/>
      </c>
      <c r="C360" s="42">
        <f>IF((power_mw*hours_per_day*damas_afrr_up*capacity_mult_A*stack_capacity*acceptance_rate+(MIN(DAMAS_Daily!C360*market_share_A*acceptance_rate*stack_activation,power_mw*hours_per_day,capacity_mwh))*DAMAS_Daily!E360*activation_mult_A)&gt;=(power_mw*hours_per_day*damas_afrr_down*capacity_mult_A*stack_capacity*acceptance_rate+(MIN(DAMAS_Daily!D360*market_share_A*acceptance_rate*stack_activation,power_mw*hours_per_day,capacity_mwh))*DAMAS_Daily!F360*activation_mult_A),"aFRR+","aFRR-")</f>
        <v/>
      </c>
      <c r="D360" s="43">
        <f>IF(C360="aFRR+",damas_afrr_up*capacity_mult_A,damas_afrr_down*capacity_mult_A)</f>
        <v/>
      </c>
      <c r="E360" s="44">
        <f>acceptance_rate</f>
        <v/>
      </c>
      <c r="F360" s="13">
        <f>IF(C360="aFRR+",power_mw*hours_per_day*damas_afrr_up*capacity_mult_A*stack_capacity*acceptance_rate,power_mw*hours_per_day*damas_afrr_down*capacity_mult_A*stack_capacity*acceptance_rate)</f>
        <v/>
      </c>
      <c r="G360" s="42">
        <f>IF(C360="aFRR+",DAMAS_Daily!I360,DAMAS_Daily!J360)</f>
        <v/>
      </c>
      <c r="H360" s="43">
        <f>IF(C360="aFRR+",DAMAS_Daily!E360,DAMAS_Daily!F360)</f>
        <v/>
      </c>
      <c r="I360" s="43">
        <f>IF(C360="aFRR+",DAMAS_Daily!G360,DAMAS_Daily!H360)</f>
        <v/>
      </c>
      <c r="J360" s="45">
        <f>IF(C360="aFRR+",DAMAS_Daily!C360,DAMAS_Daily!D360)</f>
        <v/>
      </c>
      <c r="K360" s="45">
        <f>IF(C360="aFRR+",MIN(DAMAS_Daily!C360*market_share_A*acceptance_rate*stack_activation,power_mw*hours_per_day,capacity_mwh),MIN(DAMAS_Daily!D360*market_share_A*acceptance_rate*stack_activation,power_mw*hours_per_day,capacity_mwh))</f>
        <v/>
      </c>
      <c r="L360" s="42">
        <f>IF(K360&gt;=capacity_mwh-0.01,"yes","no")</f>
        <v/>
      </c>
      <c r="M360" s="13">
        <f>IF(C360="aFRR+",(MIN(DAMAS_Daily!C360*market_share_A*acceptance_rate*stack_activation,power_mw*hours_per_day,capacity_mwh))*DAMAS_Daily!E360*activation_mult_A,(MIN(DAMAS_Daily!D360*market_share_A*acceptance_rate*stack_activation,power_mw*hours_per_day,capacity_mwh))*DAMAS_Daily!F360*activation_mult_A)</f>
        <v/>
      </c>
      <c r="N360" s="14">
        <f>F360+M360</f>
        <v/>
      </c>
    </row>
    <row r="361">
      <c r="A361" s="41">
        <f>DAMAS_Daily!A361</f>
        <v/>
      </c>
      <c r="B361" s="42">
        <f>DAMAS_Daily!B361</f>
        <v/>
      </c>
      <c r="C361" s="42">
        <f>IF((power_mw*hours_per_day*damas_afrr_up*capacity_mult_A*stack_capacity*acceptance_rate+(MIN(DAMAS_Daily!C361*market_share_A*acceptance_rate*stack_activation,power_mw*hours_per_day,capacity_mwh))*DAMAS_Daily!E361*activation_mult_A)&gt;=(power_mw*hours_per_day*damas_afrr_down*capacity_mult_A*stack_capacity*acceptance_rate+(MIN(DAMAS_Daily!D361*market_share_A*acceptance_rate*stack_activation,power_mw*hours_per_day,capacity_mwh))*DAMAS_Daily!F361*activation_mult_A),"aFRR+","aFRR-")</f>
        <v/>
      </c>
      <c r="D361" s="43">
        <f>IF(C361="aFRR+",damas_afrr_up*capacity_mult_A,damas_afrr_down*capacity_mult_A)</f>
        <v/>
      </c>
      <c r="E361" s="44">
        <f>acceptance_rate</f>
        <v/>
      </c>
      <c r="F361" s="13">
        <f>IF(C361="aFRR+",power_mw*hours_per_day*damas_afrr_up*capacity_mult_A*stack_capacity*acceptance_rate,power_mw*hours_per_day*damas_afrr_down*capacity_mult_A*stack_capacity*acceptance_rate)</f>
        <v/>
      </c>
      <c r="G361" s="42">
        <f>IF(C361="aFRR+",DAMAS_Daily!I361,DAMAS_Daily!J361)</f>
        <v/>
      </c>
      <c r="H361" s="43">
        <f>IF(C361="aFRR+",DAMAS_Daily!E361,DAMAS_Daily!F361)</f>
        <v/>
      </c>
      <c r="I361" s="43">
        <f>IF(C361="aFRR+",DAMAS_Daily!G361,DAMAS_Daily!H361)</f>
        <v/>
      </c>
      <c r="J361" s="45">
        <f>IF(C361="aFRR+",DAMAS_Daily!C361,DAMAS_Daily!D361)</f>
        <v/>
      </c>
      <c r="K361" s="45">
        <f>IF(C361="aFRR+",MIN(DAMAS_Daily!C361*market_share_A*acceptance_rate*stack_activation,power_mw*hours_per_day,capacity_mwh),MIN(DAMAS_Daily!D361*market_share_A*acceptance_rate*stack_activation,power_mw*hours_per_day,capacity_mwh))</f>
        <v/>
      </c>
      <c r="L361" s="42">
        <f>IF(K361&gt;=capacity_mwh-0.01,"yes","no")</f>
        <v/>
      </c>
      <c r="M361" s="13">
        <f>IF(C361="aFRR+",(MIN(DAMAS_Daily!C361*market_share_A*acceptance_rate*stack_activation,power_mw*hours_per_day,capacity_mwh))*DAMAS_Daily!E361*activation_mult_A,(MIN(DAMAS_Daily!D361*market_share_A*acceptance_rate*stack_activation,power_mw*hours_per_day,capacity_mwh))*DAMAS_Daily!F361*activation_mult_A)</f>
        <v/>
      </c>
      <c r="N361" s="14">
        <f>F361+M361</f>
        <v/>
      </c>
    </row>
    <row r="362">
      <c r="A362" s="41">
        <f>DAMAS_Daily!A362</f>
        <v/>
      </c>
      <c r="B362" s="42">
        <f>DAMAS_Daily!B362</f>
        <v/>
      </c>
      <c r="C362" s="42">
        <f>IF((power_mw*hours_per_day*damas_afrr_up*capacity_mult_A*stack_capacity*acceptance_rate+(MIN(DAMAS_Daily!C362*market_share_A*acceptance_rate*stack_activation,power_mw*hours_per_day,capacity_mwh))*DAMAS_Daily!E362*activation_mult_A)&gt;=(power_mw*hours_per_day*damas_afrr_down*capacity_mult_A*stack_capacity*acceptance_rate+(MIN(DAMAS_Daily!D362*market_share_A*acceptance_rate*stack_activation,power_mw*hours_per_day,capacity_mwh))*DAMAS_Daily!F362*activation_mult_A),"aFRR+","aFRR-")</f>
        <v/>
      </c>
      <c r="D362" s="43">
        <f>IF(C362="aFRR+",damas_afrr_up*capacity_mult_A,damas_afrr_down*capacity_mult_A)</f>
        <v/>
      </c>
      <c r="E362" s="44">
        <f>acceptance_rate</f>
        <v/>
      </c>
      <c r="F362" s="13">
        <f>IF(C362="aFRR+",power_mw*hours_per_day*damas_afrr_up*capacity_mult_A*stack_capacity*acceptance_rate,power_mw*hours_per_day*damas_afrr_down*capacity_mult_A*stack_capacity*acceptance_rate)</f>
        <v/>
      </c>
      <c r="G362" s="42">
        <f>IF(C362="aFRR+",DAMAS_Daily!I362,DAMAS_Daily!J362)</f>
        <v/>
      </c>
      <c r="H362" s="43">
        <f>IF(C362="aFRR+",DAMAS_Daily!E362,DAMAS_Daily!F362)</f>
        <v/>
      </c>
      <c r="I362" s="43">
        <f>IF(C362="aFRR+",DAMAS_Daily!G362,DAMAS_Daily!H362)</f>
        <v/>
      </c>
      <c r="J362" s="45">
        <f>IF(C362="aFRR+",DAMAS_Daily!C362,DAMAS_Daily!D362)</f>
        <v/>
      </c>
      <c r="K362" s="45">
        <f>IF(C362="aFRR+",MIN(DAMAS_Daily!C362*market_share_A*acceptance_rate*stack_activation,power_mw*hours_per_day,capacity_mwh),MIN(DAMAS_Daily!D362*market_share_A*acceptance_rate*stack_activation,power_mw*hours_per_day,capacity_mwh))</f>
        <v/>
      </c>
      <c r="L362" s="42">
        <f>IF(K362&gt;=capacity_mwh-0.01,"yes","no")</f>
        <v/>
      </c>
      <c r="M362" s="13">
        <f>IF(C362="aFRR+",(MIN(DAMAS_Daily!C362*market_share_A*acceptance_rate*stack_activation,power_mw*hours_per_day,capacity_mwh))*DAMAS_Daily!E362*activation_mult_A,(MIN(DAMAS_Daily!D362*market_share_A*acceptance_rate*stack_activation,power_mw*hours_per_day,capacity_mwh))*DAMAS_Daily!F362*activation_mult_A)</f>
        <v/>
      </c>
      <c r="N362" s="14">
        <f>F362+M362</f>
        <v/>
      </c>
    </row>
    <row r="363">
      <c r="A363" s="41">
        <f>DAMAS_Daily!A363</f>
        <v/>
      </c>
      <c r="B363" s="42">
        <f>DAMAS_Daily!B363</f>
        <v/>
      </c>
      <c r="C363" s="42">
        <f>IF((power_mw*hours_per_day*damas_afrr_up*capacity_mult_A*stack_capacity*acceptance_rate+(MIN(DAMAS_Daily!C363*market_share_A*acceptance_rate*stack_activation,power_mw*hours_per_day,capacity_mwh))*DAMAS_Daily!E363*activation_mult_A)&gt;=(power_mw*hours_per_day*damas_afrr_down*capacity_mult_A*stack_capacity*acceptance_rate+(MIN(DAMAS_Daily!D363*market_share_A*acceptance_rate*stack_activation,power_mw*hours_per_day,capacity_mwh))*DAMAS_Daily!F363*activation_mult_A),"aFRR+","aFRR-")</f>
        <v/>
      </c>
      <c r="D363" s="43">
        <f>IF(C363="aFRR+",damas_afrr_up*capacity_mult_A,damas_afrr_down*capacity_mult_A)</f>
        <v/>
      </c>
      <c r="E363" s="44">
        <f>acceptance_rate</f>
        <v/>
      </c>
      <c r="F363" s="13">
        <f>IF(C363="aFRR+",power_mw*hours_per_day*damas_afrr_up*capacity_mult_A*stack_capacity*acceptance_rate,power_mw*hours_per_day*damas_afrr_down*capacity_mult_A*stack_capacity*acceptance_rate)</f>
        <v/>
      </c>
      <c r="G363" s="42">
        <f>IF(C363="aFRR+",DAMAS_Daily!I363,DAMAS_Daily!J363)</f>
        <v/>
      </c>
      <c r="H363" s="43">
        <f>IF(C363="aFRR+",DAMAS_Daily!E363,DAMAS_Daily!F363)</f>
        <v/>
      </c>
      <c r="I363" s="43">
        <f>IF(C363="aFRR+",DAMAS_Daily!G363,DAMAS_Daily!H363)</f>
        <v/>
      </c>
      <c r="J363" s="45">
        <f>IF(C363="aFRR+",DAMAS_Daily!C363,DAMAS_Daily!D363)</f>
        <v/>
      </c>
      <c r="K363" s="45">
        <f>IF(C363="aFRR+",MIN(DAMAS_Daily!C363*market_share_A*acceptance_rate*stack_activation,power_mw*hours_per_day,capacity_mwh),MIN(DAMAS_Daily!D363*market_share_A*acceptance_rate*stack_activation,power_mw*hours_per_day,capacity_mwh))</f>
        <v/>
      </c>
      <c r="L363" s="42">
        <f>IF(K363&gt;=capacity_mwh-0.01,"yes","no")</f>
        <v/>
      </c>
      <c r="M363" s="13">
        <f>IF(C363="aFRR+",(MIN(DAMAS_Daily!C363*market_share_A*acceptance_rate*stack_activation,power_mw*hours_per_day,capacity_mwh))*DAMAS_Daily!E363*activation_mult_A,(MIN(DAMAS_Daily!D363*market_share_A*acceptance_rate*stack_activation,power_mw*hours_per_day,capacity_mwh))*DAMAS_Daily!F363*activation_mult_A)</f>
        <v/>
      </c>
      <c r="N363" s="14">
        <f>F363+M363</f>
        <v/>
      </c>
    </row>
    <row r="364">
      <c r="A364" s="41">
        <f>DAMAS_Daily!A364</f>
        <v/>
      </c>
      <c r="B364" s="42">
        <f>DAMAS_Daily!B364</f>
        <v/>
      </c>
      <c r="C364" s="42">
        <f>IF((power_mw*hours_per_day*damas_afrr_up*capacity_mult_A*stack_capacity*acceptance_rate+(MIN(DAMAS_Daily!C364*market_share_A*acceptance_rate*stack_activation,power_mw*hours_per_day,capacity_mwh))*DAMAS_Daily!E364*activation_mult_A)&gt;=(power_mw*hours_per_day*damas_afrr_down*capacity_mult_A*stack_capacity*acceptance_rate+(MIN(DAMAS_Daily!D364*market_share_A*acceptance_rate*stack_activation,power_mw*hours_per_day,capacity_mwh))*DAMAS_Daily!F364*activation_mult_A),"aFRR+","aFRR-")</f>
        <v/>
      </c>
      <c r="D364" s="43">
        <f>IF(C364="aFRR+",damas_afrr_up*capacity_mult_A,damas_afrr_down*capacity_mult_A)</f>
        <v/>
      </c>
      <c r="E364" s="44">
        <f>acceptance_rate</f>
        <v/>
      </c>
      <c r="F364" s="13">
        <f>IF(C364="aFRR+",power_mw*hours_per_day*damas_afrr_up*capacity_mult_A*stack_capacity*acceptance_rate,power_mw*hours_per_day*damas_afrr_down*capacity_mult_A*stack_capacity*acceptance_rate)</f>
        <v/>
      </c>
      <c r="G364" s="42">
        <f>IF(C364="aFRR+",DAMAS_Daily!I364,DAMAS_Daily!J364)</f>
        <v/>
      </c>
      <c r="H364" s="43">
        <f>IF(C364="aFRR+",DAMAS_Daily!E364,DAMAS_Daily!F364)</f>
        <v/>
      </c>
      <c r="I364" s="43">
        <f>IF(C364="aFRR+",DAMAS_Daily!G364,DAMAS_Daily!H364)</f>
        <v/>
      </c>
      <c r="J364" s="45">
        <f>IF(C364="aFRR+",DAMAS_Daily!C364,DAMAS_Daily!D364)</f>
        <v/>
      </c>
      <c r="K364" s="45">
        <f>IF(C364="aFRR+",MIN(DAMAS_Daily!C364*market_share_A*acceptance_rate*stack_activation,power_mw*hours_per_day,capacity_mwh),MIN(DAMAS_Daily!D364*market_share_A*acceptance_rate*stack_activation,power_mw*hours_per_day,capacity_mwh))</f>
        <v/>
      </c>
      <c r="L364" s="42">
        <f>IF(K364&gt;=capacity_mwh-0.01,"yes","no")</f>
        <v/>
      </c>
      <c r="M364" s="13">
        <f>IF(C364="aFRR+",(MIN(DAMAS_Daily!C364*market_share_A*acceptance_rate*stack_activation,power_mw*hours_per_day,capacity_mwh))*DAMAS_Daily!E364*activation_mult_A,(MIN(DAMAS_Daily!D364*market_share_A*acceptance_rate*stack_activation,power_mw*hours_per_day,capacity_mwh))*DAMAS_Daily!F364*activation_mult_A)</f>
        <v/>
      </c>
      <c r="N364" s="14">
        <f>F364+M364</f>
        <v/>
      </c>
    </row>
    <row r="365">
      <c r="A365" s="41">
        <f>DAMAS_Daily!A365</f>
        <v/>
      </c>
      <c r="B365" s="42">
        <f>DAMAS_Daily!B365</f>
        <v/>
      </c>
      <c r="C365" s="42">
        <f>IF((power_mw*hours_per_day*damas_afrr_up*capacity_mult_A*stack_capacity*acceptance_rate+(MIN(DAMAS_Daily!C365*market_share_A*acceptance_rate*stack_activation,power_mw*hours_per_day,capacity_mwh))*DAMAS_Daily!E365*activation_mult_A)&gt;=(power_mw*hours_per_day*damas_afrr_down*capacity_mult_A*stack_capacity*acceptance_rate+(MIN(DAMAS_Daily!D365*market_share_A*acceptance_rate*stack_activation,power_mw*hours_per_day,capacity_mwh))*DAMAS_Daily!F365*activation_mult_A),"aFRR+","aFRR-")</f>
        <v/>
      </c>
      <c r="D365" s="43">
        <f>IF(C365="aFRR+",damas_afrr_up*capacity_mult_A,damas_afrr_down*capacity_mult_A)</f>
        <v/>
      </c>
      <c r="E365" s="44">
        <f>acceptance_rate</f>
        <v/>
      </c>
      <c r="F365" s="13">
        <f>IF(C365="aFRR+",power_mw*hours_per_day*damas_afrr_up*capacity_mult_A*stack_capacity*acceptance_rate,power_mw*hours_per_day*damas_afrr_down*capacity_mult_A*stack_capacity*acceptance_rate)</f>
        <v/>
      </c>
      <c r="G365" s="42">
        <f>IF(C365="aFRR+",DAMAS_Daily!I365,DAMAS_Daily!J365)</f>
        <v/>
      </c>
      <c r="H365" s="43">
        <f>IF(C365="aFRR+",DAMAS_Daily!E365,DAMAS_Daily!F365)</f>
        <v/>
      </c>
      <c r="I365" s="43">
        <f>IF(C365="aFRR+",DAMAS_Daily!G365,DAMAS_Daily!H365)</f>
        <v/>
      </c>
      <c r="J365" s="45">
        <f>IF(C365="aFRR+",DAMAS_Daily!C365,DAMAS_Daily!D365)</f>
        <v/>
      </c>
      <c r="K365" s="45">
        <f>IF(C365="aFRR+",MIN(DAMAS_Daily!C365*market_share_A*acceptance_rate*stack_activation,power_mw*hours_per_day,capacity_mwh),MIN(DAMAS_Daily!D365*market_share_A*acceptance_rate*stack_activation,power_mw*hours_per_day,capacity_mwh))</f>
        <v/>
      </c>
      <c r="L365" s="42">
        <f>IF(K365&gt;=capacity_mwh-0.01,"yes","no")</f>
        <v/>
      </c>
      <c r="M365" s="13">
        <f>IF(C365="aFRR+",(MIN(DAMAS_Daily!C365*market_share_A*acceptance_rate*stack_activation,power_mw*hours_per_day,capacity_mwh))*DAMAS_Daily!E365*activation_mult_A,(MIN(DAMAS_Daily!D365*market_share_A*acceptance_rate*stack_activation,power_mw*hours_per_day,capacity_mwh))*DAMAS_Daily!F365*activation_mult_A)</f>
        <v/>
      </c>
      <c r="N365" s="14">
        <f>F365+M365</f>
        <v/>
      </c>
    </row>
    <row r="366">
      <c r="A366" s="41">
        <f>DAMAS_Daily!A366</f>
        <v/>
      </c>
      <c r="B366" s="42">
        <f>DAMAS_Daily!B366</f>
        <v/>
      </c>
      <c r="C366" s="42">
        <f>IF((power_mw*hours_per_day*damas_afrr_up*capacity_mult_A*stack_capacity*acceptance_rate+(MIN(DAMAS_Daily!C366*market_share_A*acceptance_rate*stack_activation,power_mw*hours_per_day,capacity_mwh))*DAMAS_Daily!E366*activation_mult_A)&gt;=(power_mw*hours_per_day*damas_afrr_down*capacity_mult_A*stack_capacity*acceptance_rate+(MIN(DAMAS_Daily!D366*market_share_A*acceptance_rate*stack_activation,power_mw*hours_per_day,capacity_mwh))*DAMAS_Daily!F366*activation_mult_A),"aFRR+","aFRR-")</f>
        <v/>
      </c>
      <c r="D366" s="43">
        <f>IF(C366="aFRR+",damas_afrr_up*capacity_mult_A,damas_afrr_down*capacity_mult_A)</f>
        <v/>
      </c>
      <c r="E366" s="44">
        <f>acceptance_rate</f>
        <v/>
      </c>
      <c r="F366" s="13">
        <f>IF(C366="aFRR+",power_mw*hours_per_day*damas_afrr_up*capacity_mult_A*stack_capacity*acceptance_rate,power_mw*hours_per_day*damas_afrr_down*capacity_mult_A*stack_capacity*acceptance_rate)</f>
        <v/>
      </c>
      <c r="G366" s="42">
        <f>IF(C366="aFRR+",DAMAS_Daily!I366,DAMAS_Daily!J366)</f>
        <v/>
      </c>
      <c r="H366" s="43">
        <f>IF(C366="aFRR+",DAMAS_Daily!E366,DAMAS_Daily!F366)</f>
        <v/>
      </c>
      <c r="I366" s="43">
        <f>IF(C366="aFRR+",DAMAS_Daily!G366,DAMAS_Daily!H366)</f>
        <v/>
      </c>
      <c r="J366" s="45">
        <f>IF(C366="aFRR+",DAMAS_Daily!C366,DAMAS_Daily!D366)</f>
        <v/>
      </c>
      <c r="K366" s="45">
        <f>IF(C366="aFRR+",MIN(DAMAS_Daily!C366*market_share_A*acceptance_rate*stack_activation,power_mw*hours_per_day,capacity_mwh),MIN(DAMAS_Daily!D366*market_share_A*acceptance_rate*stack_activation,power_mw*hours_per_day,capacity_mwh))</f>
        <v/>
      </c>
      <c r="L366" s="42">
        <f>IF(K366&gt;=capacity_mwh-0.01,"yes","no")</f>
        <v/>
      </c>
      <c r="M366" s="13">
        <f>IF(C366="aFRR+",(MIN(DAMAS_Daily!C366*market_share_A*acceptance_rate*stack_activation,power_mw*hours_per_day,capacity_mwh))*DAMAS_Daily!E366*activation_mult_A,(MIN(DAMAS_Daily!D366*market_share_A*acceptance_rate*stack_activation,power_mw*hours_per_day,capacity_mwh))*DAMAS_Daily!F366*activation_mult_A)</f>
        <v/>
      </c>
      <c r="N366" s="14">
        <f>F366+M366</f>
        <v/>
      </c>
    </row>
    <row r="367">
      <c r="A367" s="41">
        <f>DAMAS_Daily!A367</f>
        <v/>
      </c>
      <c r="B367" s="42">
        <f>DAMAS_Daily!B367</f>
        <v/>
      </c>
      <c r="C367" s="42">
        <f>IF((power_mw*hours_per_day*damas_afrr_up*capacity_mult_A*stack_capacity*acceptance_rate+(MIN(DAMAS_Daily!C367*market_share_A*acceptance_rate*stack_activation,power_mw*hours_per_day,capacity_mwh))*DAMAS_Daily!E367*activation_mult_A)&gt;=(power_mw*hours_per_day*damas_afrr_down*capacity_mult_A*stack_capacity*acceptance_rate+(MIN(DAMAS_Daily!D367*market_share_A*acceptance_rate*stack_activation,power_mw*hours_per_day,capacity_mwh))*DAMAS_Daily!F367*activation_mult_A),"aFRR+","aFRR-")</f>
        <v/>
      </c>
      <c r="D367" s="43">
        <f>IF(C367="aFRR+",damas_afrr_up*capacity_mult_A,damas_afrr_down*capacity_mult_A)</f>
        <v/>
      </c>
      <c r="E367" s="44">
        <f>acceptance_rate</f>
        <v/>
      </c>
      <c r="F367" s="13">
        <f>IF(C367="aFRR+",power_mw*hours_per_day*damas_afrr_up*capacity_mult_A*stack_capacity*acceptance_rate,power_mw*hours_per_day*damas_afrr_down*capacity_mult_A*stack_capacity*acceptance_rate)</f>
        <v/>
      </c>
      <c r="G367" s="42">
        <f>IF(C367="aFRR+",DAMAS_Daily!I367,DAMAS_Daily!J367)</f>
        <v/>
      </c>
      <c r="H367" s="43">
        <f>IF(C367="aFRR+",DAMAS_Daily!E367,DAMAS_Daily!F367)</f>
        <v/>
      </c>
      <c r="I367" s="43">
        <f>IF(C367="aFRR+",DAMAS_Daily!G367,DAMAS_Daily!H367)</f>
        <v/>
      </c>
      <c r="J367" s="45">
        <f>IF(C367="aFRR+",DAMAS_Daily!C367,DAMAS_Daily!D367)</f>
        <v/>
      </c>
      <c r="K367" s="45">
        <f>IF(C367="aFRR+",MIN(DAMAS_Daily!C367*market_share_A*acceptance_rate*stack_activation,power_mw*hours_per_day,capacity_mwh),MIN(DAMAS_Daily!D367*market_share_A*acceptance_rate*stack_activation,power_mw*hours_per_day,capacity_mwh))</f>
        <v/>
      </c>
      <c r="L367" s="42">
        <f>IF(K367&gt;=capacity_mwh-0.01,"yes","no")</f>
        <v/>
      </c>
      <c r="M367" s="13">
        <f>IF(C367="aFRR+",(MIN(DAMAS_Daily!C367*market_share_A*acceptance_rate*stack_activation,power_mw*hours_per_day,capacity_mwh))*DAMAS_Daily!E367*activation_mult_A,(MIN(DAMAS_Daily!D367*market_share_A*acceptance_rate*stack_activation,power_mw*hours_per_day,capacity_mwh))*DAMAS_Daily!F367*activation_mult_A)</f>
        <v/>
      </c>
      <c r="N367" s="14">
        <f>F367+M367</f>
        <v/>
      </c>
    </row>
    <row r="368">
      <c r="A368" s="46" t="inlineStr">
        <is>
          <t>TOTAL</t>
        </is>
      </c>
      <c r="B368" s="46" t="inlineStr">
        <is>
          <t>366 days</t>
        </is>
      </c>
      <c r="C368" s="46" t="inlineStr">
        <is>
          <t>—</t>
        </is>
      </c>
      <c r="D368" s="46" t="n"/>
      <c r="E368" s="46" t="n"/>
      <c r="F368" s="47">
        <f>SUM(F2:F367)</f>
        <v/>
      </c>
      <c r="G368" s="46">
        <f>SUM(G2:G367)</f>
        <v/>
      </c>
      <c r="H368" s="46" t="n"/>
      <c r="I368" s="46" t="n"/>
      <c r="J368" s="46" t="n"/>
      <c r="K368" s="48">
        <f>SUM(K2:K367)</f>
        <v/>
      </c>
      <c r="L368" s="46" t="n"/>
      <c r="M368" s="47">
        <f>SUM(M2:M367)</f>
        <v/>
      </c>
      <c r="N368" s="47">
        <f>SUM(N2:N367)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</cols>
  <sheetData>
    <row r="1" ht="42" customHeight="1">
      <c r="A1" s="40" t="inlineStr">
        <is>
          <t>Date</t>
        </is>
      </c>
      <c r="B1" s="40" t="inlineStr">
        <is>
          <t>Weekday</t>
        </is>
      </c>
      <c r="C1" s="40" t="inlineStr">
        <is>
          <t>Selected</t>
        </is>
      </c>
      <c r="D1" s="40" t="inlineStr">
        <is>
          <t>Recommended bid (€/MW/h)</t>
        </is>
      </c>
      <c r="E1" s="40" t="inlineStr">
        <is>
          <t>Acceptance rate</t>
        </is>
      </c>
      <c r="F1" s="40" t="inlineStr">
        <is>
          <t>Capacity revenue (€)</t>
        </is>
      </c>
      <c r="G1" s="40" t="inlineStr">
        <is>
          <t>Slots activated (#/96)</t>
        </is>
      </c>
      <c r="H1" s="40" t="inlineStr">
        <is>
          <t>Avg activation price (€/MWh)</t>
        </is>
      </c>
      <c r="I1" s="40" t="inlineStr">
        <is>
          <t>Max activation price (€/MWh)</t>
        </is>
      </c>
      <c r="J1" s="40" t="inlineStr">
        <is>
          <t>Market activations (MWh)</t>
        </is>
      </c>
      <c r="K1" s="40" t="inlineStr">
        <is>
          <t>Captured energy (MWh)</t>
        </is>
      </c>
      <c r="L1" s="40" t="inlineStr">
        <is>
          <t>Battery cap binding</t>
        </is>
      </c>
      <c r="M1" s="40" t="inlineStr">
        <is>
          <t>Activation revenue (€)</t>
        </is>
      </c>
      <c r="N1" s="40" t="inlineStr">
        <is>
          <t>Daily revenue (€)</t>
        </is>
      </c>
    </row>
    <row r="2">
      <c r="A2" s="41">
        <f>DAMAS_Daily!A2</f>
        <v/>
      </c>
      <c r="B2" s="42">
        <f>DAMAS_Daily!B2</f>
        <v/>
      </c>
      <c r="C2" s="42">
        <f>IF((power_mw*hours_per_day*damas_afrr_up*capacity_mult_B*stack_capacity*acceptance_rate+(MIN(DAMAS_Daily!C2*market_share_B*acceptance_rate*stack_activation,power_mw*hours_per_day,capacity_mwh))*DAMAS_Daily!E2*activation_mult_B)&gt;=(power_mw*hours_per_day*damas_afrr_down*capacity_mult_B*stack_capacity*acceptance_rate+(MIN(DAMAS_Daily!D2*market_share_B*acceptance_rate*stack_activation,power_mw*hours_per_day,capacity_mwh))*DAMAS_Daily!F2*activation_mult_B),"aFRR+","aFRR-")</f>
        <v/>
      </c>
      <c r="D2" s="43">
        <f>IF(C2="aFRR+",damas_afrr_up*capacity_mult_B,damas_afrr_down*capacity_mult_B)</f>
        <v/>
      </c>
      <c r="E2" s="44">
        <f>acceptance_rate</f>
        <v/>
      </c>
      <c r="F2" s="18">
        <f>IF(C2="aFRR+",power_mw*hours_per_day*damas_afrr_up*capacity_mult_B*stack_capacity*acceptance_rate,power_mw*hours_per_day*damas_afrr_down*capacity_mult_B*stack_capacity*acceptance_rate)</f>
        <v/>
      </c>
      <c r="G2" s="42">
        <f>IF(C2="aFRR+",DAMAS_Daily!I2,DAMAS_Daily!J2)</f>
        <v/>
      </c>
      <c r="H2" s="43">
        <f>IF(C2="aFRR+",DAMAS_Daily!E2,DAMAS_Daily!F2)</f>
        <v/>
      </c>
      <c r="I2" s="43">
        <f>IF(C2="aFRR+",DAMAS_Daily!G2,DAMAS_Daily!H2)</f>
        <v/>
      </c>
      <c r="J2" s="45">
        <f>IF(C2="aFRR+",DAMAS_Daily!C2,DAMAS_Daily!D2)</f>
        <v/>
      </c>
      <c r="K2" s="45">
        <f>IF(C2="aFRR+",MIN(DAMAS_Daily!C2*market_share_B*acceptance_rate*stack_activation,power_mw*hours_per_day,capacity_mwh),MIN(DAMAS_Daily!D2*market_share_B*acceptance_rate*stack_activation,power_mw*hours_per_day,capacity_mwh))</f>
        <v/>
      </c>
      <c r="L2" s="42">
        <f>IF(K2&gt;=capacity_mwh-0.01,"yes","no")</f>
        <v/>
      </c>
      <c r="M2" s="18">
        <f>IF(C2="aFRR+",(MIN(DAMAS_Daily!C2*market_share_B*acceptance_rate*stack_activation,power_mw*hours_per_day,capacity_mwh))*DAMAS_Daily!E2*activation_mult_B,(MIN(DAMAS_Daily!D2*market_share_B*acceptance_rate*stack_activation,power_mw*hours_per_day,capacity_mwh))*DAMAS_Daily!F2*activation_mult_B)</f>
        <v/>
      </c>
      <c r="N2" s="19">
        <f>F2+M2</f>
        <v/>
      </c>
    </row>
    <row r="3">
      <c r="A3" s="41">
        <f>DAMAS_Daily!A3</f>
        <v/>
      </c>
      <c r="B3" s="42">
        <f>DAMAS_Daily!B3</f>
        <v/>
      </c>
      <c r="C3" s="42">
        <f>IF((power_mw*hours_per_day*damas_afrr_up*capacity_mult_B*stack_capacity*acceptance_rate+(MIN(DAMAS_Daily!C3*market_share_B*acceptance_rate*stack_activation,power_mw*hours_per_day,capacity_mwh))*DAMAS_Daily!E3*activation_mult_B)&gt;=(power_mw*hours_per_day*damas_afrr_down*capacity_mult_B*stack_capacity*acceptance_rate+(MIN(DAMAS_Daily!D3*market_share_B*acceptance_rate*stack_activation,power_mw*hours_per_day,capacity_mwh))*DAMAS_Daily!F3*activation_mult_B),"aFRR+","aFRR-")</f>
        <v/>
      </c>
      <c r="D3" s="43">
        <f>IF(C3="aFRR+",damas_afrr_up*capacity_mult_B,damas_afrr_down*capacity_mult_B)</f>
        <v/>
      </c>
      <c r="E3" s="44">
        <f>acceptance_rate</f>
        <v/>
      </c>
      <c r="F3" s="18">
        <f>IF(C3="aFRR+",power_mw*hours_per_day*damas_afrr_up*capacity_mult_B*stack_capacity*acceptance_rate,power_mw*hours_per_day*damas_afrr_down*capacity_mult_B*stack_capacity*acceptance_rate)</f>
        <v/>
      </c>
      <c r="G3" s="42">
        <f>IF(C3="aFRR+",DAMAS_Daily!I3,DAMAS_Daily!J3)</f>
        <v/>
      </c>
      <c r="H3" s="43">
        <f>IF(C3="aFRR+",DAMAS_Daily!E3,DAMAS_Daily!F3)</f>
        <v/>
      </c>
      <c r="I3" s="43">
        <f>IF(C3="aFRR+",DAMAS_Daily!G3,DAMAS_Daily!H3)</f>
        <v/>
      </c>
      <c r="J3" s="45">
        <f>IF(C3="aFRR+",DAMAS_Daily!C3,DAMAS_Daily!D3)</f>
        <v/>
      </c>
      <c r="K3" s="45">
        <f>IF(C3="aFRR+",MIN(DAMAS_Daily!C3*market_share_B*acceptance_rate*stack_activation,power_mw*hours_per_day,capacity_mwh),MIN(DAMAS_Daily!D3*market_share_B*acceptance_rate*stack_activation,power_mw*hours_per_day,capacity_mwh))</f>
        <v/>
      </c>
      <c r="L3" s="42">
        <f>IF(K3&gt;=capacity_mwh-0.01,"yes","no")</f>
        <v/>
      </c>
      <c r="M3" s="18">
        <f>IF(C3="aFRR+",(MIN(DAMAS_Daily!C3*market_share_B*acceptance_rate*stack_activation,power_mw*hours_per_day,capacity_mwh))*DAMAS_Daily!E3*activation_mult_B,(MIN(DAMAS_Daily!D3*market_share_B*acceptance_rate*stack_activation,power_mw*hours_per_day,capacity_mwh))*DAMAS_Daily!F3*activation_mult_B)</f>
        <v/>
      </c>
      <c r="N3" s="19">
        <f>F3+M3</f>
        <v/>
      </c>
    </row>
    <row r="4">
      <c r="A4" s="41">
        <f>DAMAS_Daily!A4</f>
        <v/>
      </c>
      <c r="B4" s="42">
        <f>DAMAS_Daily!B4</f>
        <v/>
      </c>
      <c r="C4" s="42">
        <f>IF((power_mw*hours_per_day*damas_afrr_up*capacity_mult_B*stack_capacity*acceptance_rate+(MIN(DAMAS_Daily!C4*market_share_B*acceptance_rate*stack_activation,power_mw*hours_per_day,capacity_mwh))*DAMAS_Daily!E4*activation_mult_B)&gt;=(power_mw*hours_per_day*damas_afrr_down*capacity_mult_B*stack_capacity*acceptance_rate+(MIN(DAMAS_Daily!D4*market_share_B*acceptance_rate*stack_activation,power_mw*hours_per_day,capacity_mwh))*DAMAS_Daily!F4*activation_mult_B),"aFRR+","aFRR-")</f>
        <v/>
      </c>
      <c r="D4" s="43">
        <f>IF(C4="aFRR+",damas_afrr_up*capacity_mult_B,damas_afrr_down*capacity_mult_B)</f>
        <v/>
      </c>
      <c r="E4" s="44">
        <f>acceptance_rate</f>
        <v/>
      </c>
      <c r="F4" s="18">
        <f>IF(C4="aFRR+",power_mw*hours_per_day*damas_afrr_up*capacity_mult_B*stack_capacity*acceptance_rate,power_mw*hours_per_day*damas_afrr_down*capacity_mult_B*stack_capacity*acceptance_rate)</f>
        <v/>
      </c>
      <c r="G4" s="42">
        <f>IF(C4="aFRR+",DAMAS_Daily!I4,DAMAS_Daily!J4)</f>
        <v/>
      </c>
      <c r="H4" s="43">
        <f>IF(C4="aFRR+",DAMAS_Daily!E4,DAMAS_Daily!F4)</f>
        <v/>
      </c>
      <c r="I4" s="43">
        <f>IF(C4="aFRR+",DAMAS_Daily!G4,DAMAS_Daily!H4)</f>
        <v/>
      </c>
      <c r="J4" s="45">
        <f>IF(C4="aFRR+",DAMAS_Daily!C4,DAMAS_Daily!D4)</f>
        <v/>
      </c>
      <c r="K4" s="45">
        <f>IF(C4="aFRR+",MIN(DAMAS_Daily!C4*market_share_B*acceptance_rate*stack_activation,power_mw*hours_per_day,capacity_mwh),MIN(DAMAS_Daily!D4*market_share_B*acceptance_rate*stack_activation,power_mw*hours_per_day,capacity_mwh))</f>
        <v/>
      </c>
      <c r="L4" s="42">
        <f>IF(K4&gt;=capacity_mwh-0.01,"yes","no")</f>
        <v/>
      </c>
      <c r="M4" s="18">
        <f>IF(C4="aFRR+",(MIN(DAMAS_Daily!C4*market_share_B*acceptance_rate*stack_activation,power_mw*hours_per_day,capacity_mwh))*DAMAS_Daily!E4*activation_mult_B,(MIN(DAMAS_Daily!D4*market_share_B*acceptance_rate*stack_activation,power_mw*hours_per_day,capacity_mwh))*DAMAS_Daily!F4*activation_mult_B)</f>
        <v/>
      </c>
      <c r="N4" s="19">
        <f>F4+M4</f>
        <v/>
      </c>
    </row>
    <row r="5">
      <c r="A5" s="41">
        <f>DAMAS_Daily!A5</f>
        <v/>
      </c>
      <c r="B5" s="42">
        <f>DAMAS_Daily!B5</f>
        <v/>
      </c>
      <c r="C5" s="42">
        <f>IF((power_mw*hours_per_day*damas_afrr_up*capacity_mult_B*stack_capacity*acceptance_rate+(MIN(DAMAS_Daily!C5*market_share_B*acceptance_rate*stack_activation,power_mw*hours_per_day,capacity_mwh))*DAMAS_Daily!E5*activation_mult_B)&gt;=(power_mw*hours_per_day*damas_afrr_down*capacity_mult_B*stack_capacity*acceptance_rate+(MIN(DAMAS_Daily!D5*market_share_B*acceptance_rate*stack_activation,power_mw*hours_per_day,capacity_mwh))*DAMAS_Daily!F5*activation_mult_B),"aFRR+","aFRR-")</f>
        <v/>
      </c>
      <c r="D5" s="43">
        <f>IF(C5="aFRR+",damas_afrr_up*capacity_mult_B,damas_afrr_down*capacity_mult_B)</f>
        <v/>
      </c>
      <c r="E5" s="44">
        <f>acceptance_rate</f>
        <v/>
      </c>
      <c r="F5" s="18">
        <f>IF(C5="aFRR+",power_mw*hours_per_day*damas_afrr_up*capacity_mult_B*stack_capacity*acceptance_rate,power_mw*hours_per_day*damas_afrr_down*capacity_mult_B*stack_capacity*acceptance_rate)</f>
        <v/>
      </c>
      <c r="G5" s="42">
        <f>IF(C5="aFRR+",DAMAS_Daily!I5,DAMAS_Daily!J5)</f>
        <v/>
      </c>
      <c r="H5" s="43">
        <f>IF(C5="aFRR+",DAMAS_Daily!E5,DAMAS_Daily!F5)</f>
        <v/>
      </c>
      <c r="I5" s="43">
        <f>IF(C5="aFRR+",DAMAS_Daily!G5,DAMAS_Daily!H5)</f>
        <v/>
      </c>
      <c r="J5" s="45">
        <f>IF(C5="aFRR+",DAMAS_Daily!C5,DAMAS_Daily!D5)</f>
        <v/>
      </c>
      <c r="K5" s="45">
        <f>IF(C5="aFRR+",MIN(DAMAS_Daily!C5*market_share_B*acceptance_rate*stack_activation,power_mw*hours_per_day,capacity_mwh),MIN(DAMAS_Daily!D5*market_share_B*acceptance_rate*stack_activation,power_mw*hours_per_day,capacity_mwh))</f>
        <v/>
      </c>
      <c r="L5" s="42">
        <f>IF(K5&gt;=capacity_mwh-0.01,"yes","no")</f>
        <v/>
      </c>
      <c r="M5" s="18">
        <f>IF(C5="aFRR+",(MIN(DAMAS_Daily!C5*market_share_B*acceptance_rate*stack_activation,power_mw*hours_per_day,capacity_mwh))*DAMAS_Daily!E5*activation_mult_B,(MIN(DAMAS_Daily!D5*market_share_B*acceptance_rate*stack_activation,power_mw*hours_per_day,capacity_mwh))*DAMAS_Daily!F5*activation_mult_B)</f>
        <v/>
      </c>
      <c r="N5" s="19">
        <f>F5+M5</f>
        <v/>
      </c>
    </row>
    <row r="6">
      <c r="A6" s="41">
        <f>DAMAS_Daily!A6</f>
        <v/>
      </c>
      <c r="B6" s="42">
        <f>DAMAS_Daily!B6</f>
        <v/>
      </c>
      <c r="C6" s="42">
        <f>IF((power_mw*hours_per_day*damas_afrr_up*capacity_mult_B*stack_capacity*acceptance_rate+(MIN(DAMAS_Daily!C6*market_share_B*acceptance_rate*stack_activation,power_mw*hours_per_day,capacity_mwh))*DAMAS_Daily!E6*activation_mult_B)&gt;=(power_mw*hours_per_day*damas_afrr_down*capacity_mult_B*stack_capacity*acceptance_rate+(MIN(DAMAS_Daily!D6*market_share_B*acceptance_rate*stack_activation,power_mw*hours_per_day,capacity_mwh))*DAMAS_Daily!F6*activation_mult_B),"aFRR+","aFRR-")</f>
        <v/>
      </c>
      <c r="D6" s="43">
        <f>IF(C6="aFRR+",damas_afrr_up*capacity_mult_B,damas_afrr_down*capacity_mult_B)</f>
        <v/>
      </c>
      <c r="E6" s="44">
        <f>acceptance_rate</f>
        <v/>
      </c>
      <c r="F6" s="18">
        <f>IF(C6="aFRR+",power_mw*hours_per_day*damas_afrr_up*capacity_mult_B*stack_capacity*acceptance_rate,power_mw*hours_per_day*damas_afrr_down*capacity_mult_B*stack_capacity*acceptance_rate)</f>
        <v/>
      </c>
      <c r="G6" s="42">
        <f>IF(C6="aFRR+",DAMAS_Daily!I6,DAMAS_Daily!J6)</f>
        <v/>
      </c>
      <c r="H6" s="43">
        <f>IF(C6="aFRR+",DAMAS_Daily!E6,DAMAS_Daily!F6)</f>
        <v/>
      </c>
      <c r="I6" s="43">
        <f>IF(C6="aFRR+",DAMAS_Daily!G6,DAMAS_Daily!H6)</f>
        <v/>
      </c>
      <c r="J6" s="45">
        <f>IF(C6="aFRR+",DAMAS_Daily!C6,DAMAS_Daily!D6)</f>
        <v/>
      </c>
      <c r="K6" s="45">
        <f>IF(C6="aFRR+",MIN(DAMAS_Daily!C6*market_share_B*acceptance_rate*stack_activation,power_mw*hours_per_day,capacity_mwh),MIN(DAMAS_Daily!D6*market_share_B*acceptance_rate*stack_activation,power_mw*hours_per_day,capacity_mwh))</f>
        <v/>
      </c>
      <c r="L6" s="42">
        <f>IF(K6&gt;=capacity_mwh-0.01,"yes","no")</f>
        <v/>
      </c>
      <c r="M6" s="18">
        <f>IF(C6="aFRR+",(MIN(DAMAS_Daily!C6*market_share_B*acceptance_rate*stack_activation,power_mw*hours_per_day,capacity_mwh))*DAMAS_Daily!E6*activation_mult_B,(MIN(DAMAS_Daily!D6*market_share_B*acceptance_rate*stack_activation,power_mw*hours_per_day,capacity_mwh))*DAMAS_Daily!F6*activation_mult_B)</f>
        <v/>
      </c>
      <c r="N6" s="19">
        <f>F6+M6</f>
        <v/>
      </c>
    </row>
    <row r="7">
      <c r="A7" s="41">
        <f>DAMAS_Daily!A7</f>
        <v/>
      </c>
      <c r="B7" s="42">
        <f>DAMAS_Daily!B7</f>
        <v/>
      </c>
      <c r="C7" s="42">
        <f>IF((power_mw*hours_per_day*damas_afrr_up*capacity_mult_B*stack_capacity*acceptance_rate+(MIN(DAMAS_Daily!C7*market_share_B*acceptance_rate*stack_activation,power_mw*hours_per_day,capacity_mwh))*DAMAS_Daily!E7*activation_mult_B)&gt;=(power_mw*hours_per_day*damas_afrr_down*capacity_mult_B*stack_capacity*acceptance_rate+(MIN(DAMAS_Daily!D7*market_share_B*acceptance_rate*stack_activation,power_mw*hours_per_day,capacity_mwh))*DAMAS_Daily!F7*activation_mult_B),"aFRR+","aFRR-")</f>
        <v/>
      </c>
      <c r="D7" s="43">
        <f>IF(C7="aFRR+",damas_afrr_up*capacity_mult_B,damas_afrr_down*capacity_mult_B)</f>
        <v/>
      </c>
      <c r="E7" s="44">
        <f>acceptance_rate</f>
        <v/>
      </c>
      <c r="F7" s="18">
        <f>IF(C7="aFRR+",power_mw*hours_per_day*damas_afrr_up*capacity_mult_B*stack_capacity*acceptance_rate,power_mw*hours_per_day*damas_afrr_down*capacity_mult_B*stack_capacity*acceptance_rate)</f>
        <v/>
      </c>
      <c r="G7" s="42">
        <f>IF(C7="aFRR+",DAMAS_Daily!I7,DAMAS_Daily!J7)</f>
        <v/>
      </c>
      <c r="H7" s="43">
        <f>IF(C7="aFRR+",DAMAS_Daily!E7,DAMAS_Daily!F7)</f>
        <v/>
      </c>
      <c r="I7" s="43">
        <f>IF(C7="aFRR+",DAMAS_Daily!G7,DAMAS_Daily!H7)</f>
        <v/>
      </c>
      <c r="J7" s="45">
        <f>IF(C7="aFRR+",DAMAS_Daily!C7,DAMAS_Daily!D7)</f>
        <v/>
      </c>
      <c r="K7" s="45">
        <f>IF(C7="aFRR+",MIN(DAMAS_Daily!C7*market_share_B*acceptance_rate*stack_activation,power_mw*hours_per_day,capacity_mwh),MIN(DAMAS_Daily!D7*market_share_B*acceptance_rate*stack_activation,power_mw*hours_per_day,capacity_mwh))</f>
        <v/>
      </c>
      <c r="L7" s="42">
        <f>IF(K7&gt;=capacity_mwh-0.01,"yes","no")</f>
        <v/>
      </c>
      <c r="M7" s="18">
        <f>IF(C7="aFRR+",(MIN(DAMAS_Daily!C7*market_share_B*acceptance_rate*stack_activation,power_mw*hours_per_day,capacity_mwh))*DAMAS_Daily!E7*activation_mult_B,(MIN(DAMAS_Daily!D7*market_share_B*acceptance_rate*stack_activation,power_mw*hours_per_day,capacity_mwh))*DAMAS_Daily!F7*activation_mult_B)</f>
        <v/>
      </c>
      <c r="N7" s="19">
        <f>F7+M7</f>
        <v/>
      </c>
    </row>
    <row r="8">
      <c r="A8" s="41">
        <f>DAMAS_Daily!A8</f>
        <v/>
      </c>
      <c r="B8" s="42">
        <f>DAMAS_Daily!B8</f>
        <v/>
      </c>
      <c r="C8" s="42">
        <f>IF((power_mw*hours_per_day*damas_afrr_up*capacity_mult_B*stack_capacity*acceptance_rate+(MIN(DAMAS_Daily!C8*market_share_B*acceptance_rate*stack_activation,power_mw*hours_per_day,capacity_mwh))*DAMAS_Daily!E8*activation_mult_B)&gt;=(power_mw*hours_per_day*damas_afrr_down*capacity_mult_B*stack_capacity*acceptance_rate+(MIN(DAMAS_Daily!D8*market_share_B*acceptance_rate*stack_activation,power_mw*hours_per_day,capacity_mwh))*DAMAS_Daily!F8*activation_mult_B),"aFRR+","aFRR-")</f>
        <v/>
      </c>
      <c r="D8" s="43">
        <f>IF(C8="aFRR+",damas_afrr_up*capacity_mult_B,damas_afrr_down*capacity_mult_B)</f>
        <v/>
      </c>
      <c r="E8" s="44">
        <f>acceptance_rate</f>
        <v/>
      </c>
      <c r="F8" s="18">
        <f>IF(C8="aFRR+",power_mw*hours_per_day*damas_afrr_up*capacity_mult_B*stack_capacity*acceptance_rate,power_mw*hours_per_day*damas_afrr_down*capacity_mult_B*stack_capacity*acceptance_rate)</f>
        <v/>
      </c>
      <c r="G8" s="42">
        <f>IF(C8="aFRR+",DAMAS_Daily!I8,DAMAS_Daily!J8)</f>
        <v/>
      </c>
      <c r="H8" s="43">
        <f>IF(C8="aFRR+",DAMAS_Daily!E8,DAMAS_Daily!F8)</f>
        <v/>
      </c>
      <c r="I8" s="43">
        <f>IF(C8="aFRR+",DAMAS_Daily!G8,DAMAS_Daily!H8)</f>
        <v/>
      </c>
      <c r="J8" s="45">
        <f>IF(C8="aFRR+",DAMAS_Daily!C8,DAMAS_Daily!D8)</f>
        <v/>
      </c>
      <c r="K8" s="45">
        <f>IF(C8="aFRR+",MIN(DAMAS_Daily!C8*market_share_B*acceptance_rate*stack_activation,power_mw*hours_per_day,capacity_mwh),MIN(DAMAS_Daily!D8*market_share_B*acceptance_rate*stack_activation,power_mw*hours_per_day,capacity_mwh))</f>
        <v/>
      </c>
      <c r="L8" s="42">
        <f>IF(K8&gt;=capacity_mwh-0.01,"yes","no")</f>
        <v/>
      </c>
      <c r="M8" s="18">
        <f>IF(C8="aFRR+",(MIN(DAMAS_Daily!C8*market_share_B*acceptance_rate*stack_activation,power_mw*hours_per_day,capacity_mwh))*DAMAS_Daily!E8*activation_mult_B,(MIN(DAMAS_Daily!D8*market_share_B*acceptance_rate*stack_activation,power_mw*hours_per_day,capacity_mwh))*DAMAS_Daily!F8*activation_mult_B)</f>
        <v/>
      </c>
      <c r="N8" s="19">
        <f>F8+M8</f>
        <v/>
      </c>
    </row>
    <row r="9">
      <c r="A9" s="41">
        <f>DAMAS_Daily!A9</f>
        <v/>
      </c>
      <c r="B9" s="42">
        <f>DAMAS_Daily!B9</f>
        <v/>
      </c>
      <c r="C9" s="42">
        <f>IF((power_mw*hours_per_day*damas_afrr_up*capacity_mult_B*stack_capacity*acceptance_rate+(MIN(DAMAS_Daily!C9*market_share_B*acceptance_rate*stack_activation,power_mw*hours_per_day,capacity_mwh))*DAMAS_Daily!E9*activation_mult_B)&gt;=(power_mw*hours_per_day*damas_afrr_down*capacity_mult_B*stack_capacity*acceptance_rate+(MIN(DAMAS_Daily!D9*market_share_B*acceptance_rate*stack_activation,power_mw*hours_per_day,capacity_mwh))*DAMAS_Daily!F9*activation_mult_B),"aFRR+","aFRR-")</f>
        <v/>
      </c>
      <c r="D9" s="43">
        <f>IF(C9="aFRR+",damas_afrr_up*capacity_mult_B,damas_afrr_down*capacity_mult_B)</f>
        <v/>
      </c>
      <c r="E9" s="44">
        <f>acceptance_rate</f>
        <v/>
      </c>
      <c r="F9" s="18">
        <f>IF(C9="aFRR+",power_mw*hours_per_day*damas_afrr_up*capacity_mult_B*stack_capacity*acceptance_rate,power_mw*hours_per_day*damas_afrr_down*capacity_mult_B*stack_capacity*acceptance_rate)</f>
        <v/>
      </c>
      <c r="G9" s="42">
        <f>IF(C9="aFRR+",DAMAS_Daily!I9,DAMAS_Daily!J9)</f>
        <v/>
      </c>
      <c r="H9" s="43">
        <f>IF(C9="aFRR+",DAMAS_Daily!E9,DAMAS_Daily!F9)</f>
        <v/>
      </c>
      <c r="I9" s="43">
        <f>IF(C9="aFRR+",DAMAS_Daily!G9,DAMAS_Daily!H9)</f>
        <v/>
      </c>
      <c r="J9" s="45">
        <f>IF(C9="aFRR+",DAMAS_Daily!C9,DAMAS_Daily!D9)</f>
        <v/>
      </c>
      <c r="K9" s="45">
        <f>IF(C9="aFRR+",MIN(DAMAS_Daily!C9*market_share_B*acceptance_rate*stack_activation,power_mw*hours_per_day,capacity_mwh),MIN(DAMAS_Daily!D9*market_share_B*acceptance_rate*stack_activation,power_mw*hours_per_day,capacity_mwh))</f>
        <v/>
      </c>
      <c r="L9" s="42">
        <f>IF(K9&gt;=capacity_mwh-0.01,"yes","no")</f>
        <v/>
      </c>
      <c r="M9" s="18">
        <f>IF(C9="aFRR+",(MIN(DAMAS_Daily!C9*market_share_B*acceptance_rate*stack_activation,power_mw*hours_per_day,capacity_mwh))*DAMAS_Daily!E9*activation_mult_B,(MIN(DAMAS_Daily!D9*market_share_B*acceptance_rate*stack_activation,power_mw*hours_per_day,capacity_mwh))*DAMAS_Daily!F9*activation_mult_B)</f>
        <v/>
      </c>
      <c r="N9" s="19">
        <f>F9+M9</f>
        <v/>
      </c>
    </row>
    <row r="10">
      <c r="A10" s="41">
        <f>DAMAS_Daily!A10</f>
        <v/>
      </c>
      <c r="B10" s="42">
        <f>DAMAS_Daily!B10</f>
        <v/>
      </c>
      <c r="C10" s="42">
        <f>IF((power_mw*hours_per_day*damas_afrr_up*capacity_mult_B*stack_capacity*acceptance_rate+(MIN(DAMAS_Daily!C10*market_share_B*acceptance_rate*stack_activation,power_mw*hours_per_day,capacity_mwh))*DAMAS_Daily!E10*activation_mult_B)&gt;=(power_mw*hours_per_day*damas_afrr_down*capacity_mult_B*stack_capacity*acceptance_rate+(MIN(DAMAS_Daily!D10*market_share_B*acceptance_rate*stack_activation,power_mw*hours_per_day,capacity_mwh))*DAMAS_Daily!F10*activation_mult_B),"aFRR+","aFRR-")</f>
        <v/>
      </c>
      <c r="D10" s="43">
        <f>IF(C10="aFRR+",damas_afrr_up*capacity_mult_B,damas_afrr_down*capacity_mult_B)</f>
        <v/>
      </c>
      <c r="E10" s="44">
        <f>acceptance_rate</f>
        <v/>
      </c>
      <c r="F10" s="18">
        <f>IF(C10="aFRR+",power_mw*hours_per_day*damas_afrr_up*capacity_mult_B*stack_capacity*acceptance_rate,power_mw*hours_per_day*damas_afrr_down*capacity_mult_B*stack_capacity*acceptance_rate)</f>
        <v/>
      </c>
      <c r="G10" s="42">
        <f>IF(C10="aFRR+",DAMAS_Daily!I10,DAMAS_Daily!J10)</f>
        <v/>
      </c>
      <c r="H10" s="43">
        <f>IF(C10="aFRR+",DAMAS_Daily!E10,DAMAS_Daily!F10)</f>
        <v/>
      </c>
      <c r="I10" s="43">
        <f>IF(C10="aFRR+",DAMAS_Daily!G10,DAMAS_Daily!H10)</f>
        <v/>
      </c>
      <c r="J10" s="45">
        <f>IF(C10="aFRR+",DAMAS_Daily!C10,DAMAS_Daily!D10)</f>
        <v/>
      </c>
      <c r="K10" s="45">
        <f>IF(C10="aFRR+",MIN(DAMAS_Daily!C10*market_share_B*acceptance_rate*stack_activation,power_mw*hours_per_day,capacity_mwh),MIN(DAMAS_Daily!D10*market_share_B*acceptance_rate*stack_activation,power_mw*hours_per_day,capacity_mwh))</f>
        <v/>
      </c>
      <c r="L10" s="42">
        <f>IF(K10&gt;=capacity_mwh-0.01,"yes","no")</f>
        <v/>
      </c>
      <c r="M10" s="18">
        <f>IF(C10="aFRR+",(MIN(DAMAS_Daily!C10*market_share_B*acceptance_rate*stack_activation,power_mw*hours_per_day,capacity_mwh))*DAMAS_Daily!E10*activation_mult_B,(MIN(DAMAS_Daily!D10*market_share_B*acceptance_rate*stack_activation,power_mw*hours_per_day,capacity_mwh))*DAMAS_Daily!F10*activation_mult_B)</f>
        <v/>
      </c>
      <c r="N10" s="19">
        <f>F10+M10</f>
        <v/>
      </c>
    </row>
    <row r="11">
      <c r="A11" s="41">
        <f>DAMAS_Daily!A11</f>
        <v/>
      </c>
      <c r="B11" s="42">
        <f>DAMAS_Daily!B11</f>
        <v/>
      </c>
      <c r="C11" s="42">
        <f>IF((power_mw*hours_per_day*damas_afrr_up*capacity_mult_B*stack_capacity*acceptance_rate+(MIN(DAMAS_Daily!C11*market_share_B*acceptance_rate*stack_activation,power_mw*hours_per_day,capacity_mwh))*DAMAS_Daily!E11*activation_mult_B)&gt;=(power_mw*hours_per_day*damas_afrr_down*capacity_mult_B*stack_capacity*acceptance_rate+(MIN(DAMAS_Daily!D11*market_share_B*acceptance_rate*stack_activation,power_mw*hours_per_day,capacity_mwh))*DAMAS_Daily!F11*activation_mult_B),"aFRR+","aFRR-")</f>
        <v/>
      </c>
      <c r="D11" s="43">
        <f>IF(C11="aFRR+",damas_afrr_up*capacity_mult_B,damas_afrr_down*capacity_mult_B)</f>
        <v/>
      </c>
      <c r="E11" s="44">
        <f>acceptance_rate</f>
        <v/>
      </c>
      <c r="F11" s="18">
        <f>IF(C11="aFRR+",power_mw*hours_per_day*damas_afrr_up*capacity_mult_B*stack_capacity*acceptance_rate,power_mw*hours_per_day*damas_afrr_down*capacity_mult_B*stack_capacity*acceptance_rate)</f>
        <v/>
      </c>
      <c r="G11" s="42">
        <f>IF(C11="aFRR+",DAMAS_Daily!I11,DAMAS_Daily!J11)</f>
        <v/>
      </c>
      <c r="H11" s="43">
        <f>IF(C11="aFRR+",DAMAS_Daily!E11,DAMAS_Daily!F11)</f>
        <v/>
      </c>
      <c r="I11" s="43">
        <f>IF(C11="aFRR+",DAMAS_Daily!G11,DAMAS_Daily!H11)</f>
        <v/>
      </c>
      <c r="J11" s="45">
        <f>IF(C11="aFRR+",DAMAS_Daily!C11,DAMAS_Daily!D11)</f>
        <v/>
      </c>
      <c r="K11" s="45">
        <f>IF(C11="aFRR+",MIN(DAMAS_Daily!C11*market_share_B*acceptance_rate*stack_activation,power_mw*hours_per_day,capacity_mwh),MIN(DAMAS_Daily!D11*market_share_B*acceptance_rate*stack_activation,power_mw*hours_per_day,capacity_mwh))</f>
        <v/>
      </c>
      <c r="L11" s="42">
        <f>IF(K11&gt;=capacity_mwh-0.01,"yes","no")</f>
        <v/>
      </c>
      <c r="M11" s="18">
        <f>IF(C11="aFRR+",(MIN(DAMAS_Daily!C11*market_share_B*acceptance_rate*stack_activation,power_mw*hours_per_day,capacity_mwh))*DAMAS_Daily!E11*activation_mult_B,(MIN(DAMAS_Daily!D11*market_share_B*acceptance_rate*stack_activation,power_mw*hours_per_day,capacity_mwh))*DAMAS_Daily!F11*activation_mult_B)</f>
        <v/>
      </c>
      <c r="N11" s="19">
        <f>F11+M11</f>
        <v/>
      </c>
    </row>
    <row r="12">
      <c r="A12" s="41">
        <f>DAMAS_Daily!A12</f>
        <v/>
      </c>
      <c r="B12" s="42">
        <f>DAMAS_Daily!B12</f>
        <v/>
      </c>
      <c r="C12" s="42">
        <f>IF((power_mw*hours_per_day*damas_afrr_up*capacity_mult_B*stack_capacity*acceptance_rate+(MIN(DAMAS_Daily!C12*market_share_B*acceptance_rate*stack_activation,power_mw*hours_per_day,capacity_mwh))*DAMAS_Daily!E12*activation_mult_B)&gt;=(power_mw*hours_per_day*damas_afrr_down*capacity_mult_B*stack_capacity*acceptance_rate+(MIN(DAMAS_Daily!D12*market_share_B*acceptance_rate*stack_activation,power_mw*hours_per_day,capacity_mwh))*DAMAS_Daily!F12*activation_mult_B),"aFRR+","aFRR-")</f>
        <v/>
      </c>
      <c r="D12" s="43">
        <f>IF(C12="aFRR+",damas_afrr_up*capacity_mult_B,damas_afrr_down*capacity_mult_B)</f>
        <v/>
      </c>
      <c r="E12" s="44">
        <f>acceptance_rate</f>
        <v/>
      </c>
      <c r="F12" s="18">
        <f>IF(C12="aFRR+",power_mw*hours_per_day*damas_afrr_up*capacity_mult_B*stack_capacity*acceptance_rate,power_mw*hours_per_day*damas_afrr_down*capacity_mult_B*stack_capacity*acceptance_rate)</f>
        <v/>
      </c>
      <c r="G12" s="42">
        <f>IF(C12="aFRR+",DAMAS_Daily!I12,DAMAS_Daily!J12)</f>
        <v/>
      </c>
      <c r="H12" s="43">
        <f>IF(C12="aFRR+",DAMAS_Daily!E12,DAMAS_Daily!F12)</f>
        <v/>
      </c>
      <c r="I12" s="43">
        <f>IF(C12="aFRR+",DAMAS_Daily!G12,DAMAS_Daily!H12)</f>
        <v/>
      </c>
      <c r="J12" s="45">
        <f>IF(C12="aFRR+",DAMAS_Daily!C12,DAMAS_Daily!D12)</f>
        <v/>
      </c>
      <c r="K12" s="45">
        <f>IF(C12="aFRR+",MIN(DAMAS_Daily!C12*market_share_B*acceptance_rate*stack_activation,power_mw*hours_per_day,capacity_mwh),MIN(DAMAS_Daily!D12*market_share_B*acceptance_rate*stack_activation,power_mw*hours_per_day,capacity_mwh))</f>
        <v/>
      </c>
      <c r="L12" s="42">
        <f>IF(K12&gt;=capacity_mwh-0.01,"yes","no")</f>
        <v/>
      </c>
      <c r="M12" s="18">
        <f>IF(C12="aFRR+",(MIN(DAMAS_Daily!C12*market_share_B*acceptance_rate*stack_activation,power_mw*hours_per_day,capacity_mwh))*DAMAS_Daily!E12*activation_mult_B,(MIN(DAMAS_Daily!D12*market_share_B*acceptance_rate*stack_activation,power_mw*hours_per_day,capacity_mwh))*DAMAS_Daily!F12*activation_mult_B)</f>
        <v/>
      </c>
      <c r="N12" s="19">
        <f>F12+M12</f>
        <v/>
      </c>
    </row>
    <row r="13">
      <c r="A13" s="41">
        <f>DAMAS_Daily!A13</f>
        <v/>
      </c>
      <c r="B13" s="42">
        <f>DAMAS_Daily!B13</f>
        <v/>
      </c>
      <c r="C13" s="42">
        <f>IF((power_mw*hours_per_day*damas_afrr_up*capacity_mult_B*stack_capacity*acceptance_rate+(MIN(DAMAS_Daily!C13*market_share_B*acceptance_rate*stack_activation,power_mw*hours_per_day,capacity_mwh))*DAMAS_Daily!E13*activation_mult_B)&gt;=(power_mw*hours_per_day*damas_afrr_down*capacity_mult_B*stack_capacity*acceptance_rate+(MIN(DAMAS_Daily!D13*market_share_B*acceptance_rate*stack_activation,power_mw*hours_per_day,capacity_mwh))*DAMAS_Daily!F13*activation_mult_B),"aFRR+","aFRR-")</f>
        <v/>
      </c>
      <c r="D13" s="43">
        <f>IF(C13="aFRR+",damas_afrr_up*capacity_mult_B,damas_afrr_down*capacity_mult_B)</f>
        <v/>
      </c>
      <c r="E13" s="44">
        <f>acceptance_rate</f>
        <v/>
      </c>
      <c r="F13" s="18">
        <f>IF(C13="aFRR+",power_mw*hours_per_day*damas_afrr_up*capacity_mult_B*stack_capacity*acceptance_rate,power_mw*hours_per_day*damas_afrr_down*capacity_mult_B*stack_capacity*acceptance_rate)</f>
        <v/>
      </c>
      <c r="G13" s="42">
        <f>IF(C13="aFRR+",DAMAS_Daily!I13,DAMAS_Daily!J13)</f>
        <v/>
      </c>
      <c r="H13" s="43">
        <f>IF(C13="aFRR+",DAMAS_Daily!E13,DAMAS_Daily!F13)</f>
        <v/>
      </c>
      <c r="I13" s="43">
        <f>IF(C13="aFRR+",DAMAS_Daily!G13,DAMAS_Daily!H13)</f>
        <v/>
      </c>
      <c r="J13" s="45">
        <f>IF(C13="aFRR+",DAMAS_Daily!C13,DAMAS_Daily!D13)</f>
        <v/>
      </c>
      <c r="K13" s="45">
        <f>IF(C13="aFRR+",MIN(DAMAS_Daily!C13*market_share_B*acceptance_rate*stack_activation,power_mw*hours_per_day,capacity_mwh),MIN(DAMAS_Daily!D13*market_share_B*acceptance_rate*stack_activation,power_mw*hours_per_day,capacity_mwh))</f>
        <v/>
      </c>
      <c r="L13" s="42">
        <f>IF(K13&gt;=capacity_mwh-0.01,"yes","no")</f>
        <v/>
      </c>
      <c r="M13" s="18">
        <f>IF(C13="aFRR+",(MIN(DAMAS_Daily!C13*market_share_B*acceptance_rate*stack_activation,power_mw*hours_per_day,capacity_mwh))*DAMAS_Daily!E13*activation_mult_B,(MIN(DAMAS_Daily!D13*market_share_B*acceptance_rate*stack_activation,power_mw*hours_per_day,capacity_mwh))*DAMAS_Daily!F13*activation_mult_B)</f>
        <v/>
      </c>
      <c r="N13" s="19">
        <f>F13+M13</f>
        <v/>
      </c>
    </row>
    <row r="14">
      <c r="A14" s="41">
        <f>DAMAS_Daily!A14</f>
        <v/>
      </c>
      <c r="B14" s="42">
        <f>DAMAS_Daily!B14</f>
        <v/>
      </c>
      <c r="C14" s="42">
        <f>IF((power_mw*hours_per_day*damas_afrr_up*capacity_mult_B*stack_capacity*acceptance_rate+(MIN(DAMAS_Daily!C14*market_share_B*acceptance_rate*stack_activation,power_mw*hours_per_day,capacity_mwh))*DAMAS_Daily!E14*activation_mult_B)&gt;=(power_mw*hours_per_day*damas_afrr_down*capacity_mult_B*stack_capacity*acceptance_rate+(MIN(DAMAS_Daily!D14*market_share_B*acceptance_rate*stack_activation,power_mw*hours_per_day,capacity_mwh))*DAMAS_Daily!F14*activation_mult_B),"aFRR+","aFRR-")</f>
        <v/>
      </c>
      <c r="D14" s="43">
        <f>IF(C14="aFRR+",damas_afrr_up*capacity_mult_B,damas_afrr_down*capacity_mult_B)</f>
        <v/>
      </c>
      <c r="E14" s="44">
        <f>acceptance_rate</f>
        <v/>
      </c>
      <c r="F14" s="18">
        <f>IF(C14="aFRR+",power_mw*hours_per_day*damas_afrr_up*capacity_mult_B*stack_capacity*acceptance_rate,power_mw*hours_per_day*damas_afrr_down*capacity_mult_B*stack_capacity*acceptance_rate)</f>
        <v/>
      </c>
      <c r="G14" s="42">
        <f>IF(C14="aFRR+",DAMAS_Daily!I14,DAMAS_Daily!J14)</f>
        <v/>
      </c>
      <c r="H14" s="43">
        <f>IF(C14="aFRR+",DAMAS_Daily!E14,DAMAS_Daily!F14)</f>
        <v/>
      </c>
      <c r="I14" s="43">
        <f>IF(C14="aFRR+",DAMAS_Daily!G14,DAMAS_Daily!H14)</f>
        <v/>
      </c>
      <c r="J14" s="45">
        <f>IF(C14="aFRR+",DAMAS_Daily!C14,DAMAS_Daily!D14)</f>
        <v/>
      </c>
      <c r="K14" s="45">
        <f>IF(C14="aFRR+",MIN(DAMAS_Daily!C14*market_share_B*acceptance_rate*stack_activation,power_mw*hours_per_day,capacity_mwh),MIN(DAMAS_Daily!D14*market_share_B*acceptance_rate*stack_activation,power_mw*hours_per_day,capacity_mwh))</f>
        <v/>
      </c>
      <c r="L14" s="42">
        <f>IF(K14&gt;=capacity_mwh-0.01,"yes","no")</f>
        <v/>
      </c>
      <c r="M14" s="18">
        <f>IF(C14="aFRR+",(MIN(DAMAS_Daily!C14*market_share_B*acceptance_rate*stack_activation,power_mw*hours_per_day,capacity_mwh))*DAMAS_Daily!E14*activation_mult_B,(MIN(DAMAS_Daily!D14*market_share_B*acceptance_rate*stack_activation,power_mw*hours_per_day,capacity_mwh))*DAMAS_Daily!F14*activation_mult_B)</f>
        <v/>
      </c>
      <c r="N14" s="19">
        <f>F14+M14</f>
        <v/>
      </c>
    </row>
    <row r="15">
      <c r="A15" s="41">
        <f>DAMAS_Daily!A15</f>
        <v/>
      </c>
      <c r="B15" s="42">
        <f>DAMAS_Daily!B15</f>
        <v/>
      </c>
      <c r="C15" s="42">
        <f>IF((power_mw*hours_per_day*damas_afrr_up*capacity_mult_B*stack_capacity*acceptance_rate+(MIN(DAMAS_Daily!C15*market_share_B*acceptance_rate*stack_activation,power_mw*hours_per_day,capacity_mwh))*DAMAS_Daily!E15*activation_mult_B)&gt;=(power_mw*hours_per_day*damas_afrr_down*capacity_mult_B*stack_capacity*acceptance_rate+(MIN(DAMAS_Daily!D15*market_share_B*acceptance_rate*stack_activation,power_mw*hours_per_day,capacity_mwh))*DAMAS_Daily!F15*activation_mult_B),"aFRR+","aFRR-")</f>
        <v/>
      </c>
      <c r="D15" s="43">
        <f>IF(C15="aFRR+",damas_afrr_up*capacity_mult_B,damas_afrr_down*capacity_mult_B)</f>
        <v/>
      </c>
      <c r="E15" s="44">
        <f>acceptance_rate</f>
        <v/>
      </c>
      <c r="F15" s="18">
        <f>IF(C15="aFRR+",power_mw*hours_per_day*damas_afrr_up*capacity_mult_B*stack_capacity*acceptance_rate,power_mw*hours_per_day*damas_afrr_down*capacity_mult_B*stack_capacity*acceptance_rate)</f>
        <v/>
      </c>
      <c r="G15" s="42">
        <f>IF(C15="aFRR+",DAMAS_Daily!I15,DAMAS_Daily!J15)</f>
        <v/>
      </c>
      <c r="H15" s="43">
        <f>IF(C15="aFRR+",DAMAS_Daily!E15,DAMAS_Daily!F15)</f>
        <v/>
      </c>
      <c r="I15" s="43">
        <f>IF(C15="aFRR+",DAMAS_Daily!G15,DAMAS_Daily!H15)</f>
        <v/>
      </c>
      <c r="J15" s="45">
        <f>IF(C15="aFRR+",DAMAS_Daily!C15,DAMAS_Daily!D15)</f>
        <v/>
      </c>
      <c r="K15" s="45">
        <f>IF(C15="aFRR+",MIN(DAMAS_Daily!C15*market_share_B*acceptance_rate*stack_activation,power_mw*hours_per_day,capacity_mwh),MIN(DAMAS_Daily!D15*market_share_B*acceptance_rate*stack_activation,power_mw*hours_per_day,capacity_mwh))</f>
        <v/>
      </c>
      <c r="L15" s="42">
        <f>IF(K15&gt;=capacity_mwh-0.01,"yes","no")</f>
        <v/>
      </c>
      <c r="M15" s="18">
        <f>IF(C15="aFRR+",(MIN(DAMAS_Daily!C15*market_share_B*acceptance_rate*stack_activation,power_mw*hours_per_day,capacity_mwh))*DAMAS_Daily!E15*activation_mult_B,(MIN(DAMAS_Daily!D15*market_share_B*acceptance_rate*stack_activation,power_mw*hours_per_day,capacity_mwh))*DAMAS_Daily!F15*activation_mult_B)</f>
        <v/>
      </c>
      <c r="N15" s="19">
        <f>F15+M15</f>
        <v/>
      </c>
    </row>
    <row r="16">
      <c r="A16" s="41">
        <f>DAMAS_Daily!A16</f>
        <v/>
      </c>
      <c r="B16" s="42">
        <f>DAMAS_Daily!B16</f>
        <v/>
      </c>
      <c r="C16" s="42">
        <f>IF((power_mw*hours_per_day*damas_afrr_up*capacity_mult_B*stack_capacity*acceptance_rate+(MIN(DAMAS_Daily!C16*market_share_B*acceptance_rate*stack_activation,power_mw*hours_per_day,capacity_mwh))*DAMAS_Daily!E16*activation_mult_B)&gt;=(power_mw*hours_per_day*damas_afrr_down*capacity_mult_B*stack_capacity*acceptance_rate+(MIN(DAMAS_Daily!D16*market_share_B*acceptance_rate*stack_activation,power_mw*hours_per_day,capacity_mwh))*DAMAS_Daily!F16*activation_mult_B),"aFRR+","aFRR-")</f>
        <v/>
      </c>
      <c r="D16" s="43">
        <f>IF(C16="aFRR+",damas_afrr_up*capacity_mult_B,damas_afrr_down*capacity_mult_B)</f>
        <v/>
      </c>
      <c r="E16" s="44">
        <f>acceptance_rate</f>
        <v/>
      </c>
      <c r="F16" s="18">
        <f>IF(C16="aFRR+",power_mw*hours_per_day*damas_afrr_up*capacity_mult_B*stack_capacity*acceptance_rate,power_mw*hours_per_day*damas_afrr_down*capacity_mult_B*stack_capacity*acceptance_rate)</f>
        <v/>
      </c>
      <c r="G16" s="42">
        <f>IF(C16="aFRR+",DAMAS_Daily!I16,DAMAS_Daily!J16)</f>
        <v/>
      </c>
      <c r="H16" s="43">
        <f>IF(C16="aFRR+",DAMAS_Daily!E16,DAMAS_Daily!F16)</f>
        <v/>
      </c>
      <c r="I16" s="43">
        <f>IF(C16="aFRR+",DAMAS_Daily!G16,DAMAS_Daily!H16)</f>
        <v/>
      </c>
      <c r="J16" s="45">
        <f>IF(C16="aFRR+",DAMAS_Daily!C16,DAMAS_Daily!D16)</f>
        <v/>
      </c>
      <c r="K16" s="45">
        <f>IF(C16="aFRR+",MIN(DAMAS_Daily!C16*market_share_B*acceptance_rate*stack_activation,power_mw*hours_per_day,capacity_mwh),MIN(DAMAS_Daily!D16*market_share_B*acceptance_rate*stack_activation,power_mw*hours_per_day,capacity_mwh))</f>
        <v/>
      </c>
      <c r="L16" s="42">
        <f>IF(K16&gt;=capacity_mwh-0.01,"yes","no")</f>
        <v/>
      </c>
      <c r="M16" s="18">
        <f>IF(C16="aFRR+",(MIN(DAMAS_Daily!C16*market_share_B*acceptance_rate*stack_activation,power_mw*hours_per_day,capacity_mwh))*DAMAS_Daily!E16*activation_mult_B,(MIN(DAMAS_Daily!D16*market_share_B*acceptance_rate*stack_activation,power_mw*hours_per_day,capacity_mwh))*DAMAS_Daily!F16*activation_mult_B)</f>
        <v/>
      </c>
      <c r="N16" s="19">
        <f>F16+M16</f>
        <v/>
      </c>
    </row>
    <row r="17">
      <c r="A17" s="41">
        <f>DAMAS_Daily!A17</f>
        <v/>
      </c>
      <c r="B17" s="42">
        <f>DAMAS_Daily!B17</f>
        <v/>
      </c>
      <c r="C17" s="42">
        <f>IF((power_mw*hours_per_day*damas_afrr_up*capacity_mult_B*stack_capacity*acceptance_rate+(MIN(DAMAS_Daily!C17*market_share_B*acceptance_rate*stack_activation,power_mw*hours_per_day,capacity_mwh))*DAMAS_Daily!E17*activation_mult_B)&gt;=(power_mw*hours_per_day*damas_afrr_down*capacity_mult_B*stack_capacity*acceptance_rate+(MIN(DAMAS_Daily!D17*market_share_B*acceptance_rate*stack_activation,power_mw*hours_per_day,capacity_mwh))*DAMAS_Daily!F17*activation_mult_B),"aFRR+","aFRR-")</f>
        <v/>
      </c>
      <c r="D17" s="43">
        <f>IF(C17="aFRR+",damas_afrr_up*capacity_mult_B,damas_afrr_down*capacity_mult_B)</f>
        <v/>
      </c>
      <c r="E17" s="44">
        <f>acceptance_rate</f>
        <v/>
      </c>
      <c r="F17" s="18">
        <f>IF(C17="aFRR+",power_mw*hours_per_day*damas_afrr_up*capacity_mult_B*stack_capacity*acceptance_rate,power_mw*hours_per_day*damas_afrr_down*capacity_mult_B*stack_capacity*acceptance_rate)</f>
        <v/>
      </c>
      <c r="G17" s="42">
        <f>IF(C17="aFRR+",DAMAS_Daily!I17,DAMAS_Daily!J17)</f>
        <v/>
      </c>
      <c r="H17" s="43">
        <f>IF(C17="aFRR+",DAMAS_Daily!E17,DAMAS_Daily!F17)</f>
        <v/>
      </c>
      <c r="I17" s="43">
        <f>IF(C17="aFRR+",DAMAS_Daily!G17,DAMAS_Daily!H17)</f>
        <v/>
      </c>
      <c r="J17" s="45">
        <f>IF(C17="aFRR+",DAMAS_Daily!C17,DAMAS_Daily!D17)</f>
        <v/>
      </c>
      <c r="K17" s="45">
        <f>IF(C17="aFRR+",MIN(DAMAS_Daily!C17*market_share_B*acceptance_rate*stack_activation,power_mw*hours_per_day,capacity_mwh),MIN(DAMAS_Daily!D17*market_share_B*acceptance_rate*stack_activation,power_mw*hours_per_day,capacity_mwh))</f>
        <v/>
      </c>
      <c r="L17" s="42">
        <f>IF(K17&gt;=capacity_mwh-0.01,"yes","no")</f>
        <v/>
      </c>
      <c r="M17" s="18">
        <f>IF(C17="aFRR+",(MIN(DAMAS_Daily!C17*market_share_B*acceptance_rate*stack_activation,power_mw*hours_per_day,capacity_mwh))*DAMAS_Daily!E17*activation_mult_B,(MIN(DAMAS_Daily!D17*market_share_B*acceptance_rate*stack_activation,power_mw*hours_per_day,capacity_mwh))*DAMAS_Daily!F17*activation_mult_B)</f>
        <v/>
      </c>
      <c r="N17" s="19">
        <f>F17+M17</f>
        <v/>
      </c>
    </row>
    <row r="18">
      <c r="A18" s="41">
        <f>DAMAS_Daily!A18</f>
        <v/>
      </c>
      <c r="B18" s="42">
        <f>DAMAS_Daily!B18</f>
        <v/>
      </c>
      <c r="C18" s="42">
        <f>IF((power_mw*hours_per_day*damas_afrr_up*capacity_mult_B*stack_capacity*acceptance_rate+(MIN(DAMAS_Daily!C18*market_share_B*acceptance_rate*stack_activation,power_mw*hours_per_day,capacity_mwh))*DAMAS_Daily!E18*activation_mult_B)&gt;=(power_mw*hours_per_day*damas_afrr_down*capacity_mult_B*stack_capacity*acceptance_rate+(MIN(DAMAS_Daily!D18*market_share_B*acceptance_rate*stack_activation,power_mw*hours_per_day,capacity_mwh))*DAMAS_Daily!F18*activation_mult_B),"aFRR+","aFRR-")</f>
        <v/>
      </c>
      <c r="D18" s="43">
        <f>IF(C18="aFRR+",damas_afrr_up*capacity_mult_B,damas_afrr_down*capacity_mult_B)</f>
        <v/>
      </c>
      <c r="E18" s="44">
        <f>acceptance_rate</f>
        <v/>
      </c>
      <c r="F18" s="18">
        <f>IF(C18="aFRR+",power_mw*hours_per_day*damas_afrr_up*capacity_mult_B*stack_capacity*acceptance_rate,power_mw*hours_per_day*damas_afrr_down*capacity_mult_B*stack_capacity*acceptance_rate)</f>
        <v/>
      </c>
      <c r="G18" s="42">
        <f>IF(C18="aFRR+",DAMAS_Daily!I18,DAMAS_Daily!J18)</f>
        <v/>
      </c>
      <c r="H18" s="43">
        <f>IF(C18="aFRR+",DAMAS_Daily!E18,DAMAS_Daily!F18)</f>
        <v/>
      </c>
      <c r="I18" s="43">
        <f>IF(C18="aFRR+",DAMAS_Daily!G18,DAMAS_Daily!H18)</f>
        <v/>
      </c>
      <c r="J18" s="45">
        <f>IF(C18="aFRR+",DAMAS_Daily!C18,DAMAS_Daily!D18)</f>
        <v/>
      </c>
      <c r="K18" s="45">
        <f>IF(C18="aFRR+",MIN(DAMAS_Daily!C18*market_share_B*acceptance_rate*stack_activation,power_mw*hours_per_day,capacity_mwh),MIN(DAMAS_Daily!D18*market_share_B*acceptance_rate*stack_activation,power_mw*hours_per_day,capacity_mwh))</f>
        <v/>
      </c>
      <c r="L18" s="42">
        <f>IF(K18&gt;=capacity_mwh-0.01,"yes","no")</f>
        <v/>
      </c>
      <c r="M18" s="18">
        <f>IF(C18="aFRR+",(MIN(DAMAS_Daily!C18*market_share_B*acceptance_rate*stack_activation,power_mw*hours_per_day,capacity_mwh))*DAMAS_Daily!E18*activation_mult_B,(MIN(DAMAS_Daily!D18*market_share_B*acceptance_rate*stack_activation,power_mw*hours_per_day,capacity_mwh))*DAMAS_Daily!F18*activation_mult_B)</f>
        <v/>
      </c>
      <c r="N18" s="19">
        <f>F18+M18</f>
        <v/>
      </c>
    </row>
    <row r="19">
      <c r="A19" s="41">
        <f>DAMAS_Daily!A19</f>
        <v/>
      </c>
      <c r="B19" s="42">
        <f>DAMAS_Daily!B19</f>
        <v/>
      </c>
      <c r="C19" s="42">
        <f>IF((power_mw*hours_per_day*damas_afrr_up*capacity_mult_B*stack_capacity*acceptance_rate+(MIN(DAMAS_Daily!C19*market_share_B*acceptance_rate*stack_activation,power_mw*hours_per_day,capacity_mwh))*DAMAS_Daily!E19*activation_mult_B)&gt;=(power_mw*hours_per_day*damas_afrr_down*capacity_mult_B*stack_capacity*acceptance_rate+(MIN(DAMAS_Daily!D19*market_share_B*acceptance_rate*stack_activation,power_mw*hours_per_day,capacity_mwh))*DAMAS_Daily!F19*activation_mult_B),"aFRR+","aFRR-")</f>
        <v/>
      </c>
      <c r="D19" s="43">
        <f>IF(C19="aFRR+",damas_afrr_up*capacity_mult_B,damas_afrr_down*capacity_mult_B)</f>
        <v/>
      </c>
      <c r="E19" s="44">
        <f>acceptance_rate</f>
        <v/>
      </c>
      <c r="F19" s="18">
        <f>IF(C19="aFRR+",power_mw*hours_per_day*damas_afrr_up*capacity_mult_B*stack_capacity*acceptance_rate,power_mw*hours_per_day*damas_afrr_down*capacity_mult_B*stack_capacity*acceptance_rate)</f>
        <v/>
      </c>
      <c r="G19" s="42">
        <f>IF(C19="aFRR+",DAMAS_Daily!I19,DAMAS_Daily!J19)</f>
        <v/>
      </c>
      <c r="H19" s="43">
        <f>IF(C19="aFRR+",DAMAS_Daily!E19,DAMAS_Daily!F19)</f>
        <v/>
      </c>
      <c r="I19" s="43">
        <f>IF(C19="aFRR+",DAMAS_Daily!G19,DAMAS_Daily!H19)</f>
        <v/>
      </c>
      <c r="J19" s="45">
        <f>IF(C19="aFRR+",DAMAS_Daily!C19,DAMAS_Daily!D19)</f>
        <v/>
      </c>
      <c r="K19" s="45">
        <f>IF(C19="aFRR+",MIN(DAMAS_Daily!C19*market_share_B*acceptance_rate*stack_activation,power_mw*hours_per_day,capacity_mwh),MIN(DAMAS_Daily!D19*market_share_B*acceptance_rate*stack_activation,power_mw*hours_per_day,capacity_mwh))</f>
        <v/>
      </c>
      <c r="L19" s="42">
        <f>IF(K19&gt;=capacity_mwh-0.01,"yes","no")</f>
        <v/>
      </c>
      <c r="M19" s="18">
        <f>IF(C19="aFRR+",(MIN(DAMAS_Daily!C19*market_share_B*acceptance_rate*stack_activation,power_mw*hours_per_day,capacity_mwh))*DAMAS_Daily!E19*activation_mult_B,(MIN(DAMAS_Daily!D19*market_share_B*acceptance_rate*stack_activation,power_mw*hours_per_day,capacity_mwh))*DAMAS_Daily!F19*activation_mult_B)</f>
        <v/>
      </c>
      <c r="N19" s="19">
        <f>F19+M19</f>
        <v/>
      </c>
    </row>
    <row r="20">
      <c r="A20" s="41">
        <f>DAMAS_Daily!A20</f>
        <v/>
      </c>
      <c r="B20" s="42">
        <f>DAMAS_Daily!B20</f>
        <v/>
      </c>
      <c r="C20" s="42">
        <f>IF((power_mw*hours_per_day*damas_afrr_up*capacity_mult_B*stack_capacity*acceptance_rate+(MIN(DAMAS_Daily!C20*market_share_B*acceptance_rate*stack_activation,power_mw*hours_per_day,capacity_mwh))*DAMAS_Daily!E20*activation_mult_B)&gt;=(power_mw*hours_per_day*damas_afrr_down*capacity_mult_B*stack_capacity*acceptance_rate+(MIN(DAMAS_Daily!D20*market_share_B*acceptance_rate*stack_activation,power_mw*hours_per_day,capacity_mwh))*DAMAS_Daily!F20*activation_mult_B),"aFRR+","aFRR-")</f>
        <v/>
      </c>
      <c r="D20" s="43">
        <f>IF(C20="aFRR+",damas_afrr_up*capacity_mult_B,damas_afrr_down*capacity_mult_B)</f>
        <v/>
      </c>
      <c r="E20" s="44">
        <f>acceptance_rate</f>
        <v/>
      </c>
      <c r="F20" s="18">
        <f>IF(C20="aFRR+",power_mw*hours_per_day*damas_afrr_up*capacity_mult_B*stack_capacity*acceptance_rate,power_mw*hours_per_day*damas_afrr_down*capacity_mult_B*stack_capacity*acceptance_rate)</f>
        <v/>
      </c>
      <c r="G20" s="42">
        <f>IF(C20="aFRR+",DAMAS_Daily!I20,DAMAS_Daily!J20)</f>
        <v/>
      </c>
      <c r="H20" s="43">
        <f>IF(C20="aFRR+",DAMAS_Daily!E20,DAMAS_Daily!F20)</f>
        <v/>
      </c>
      <c r="I20" s="43">
        <f>IF(C20="aFRR+",DAMAS_Daily!G20,DAMAS_Daily!H20)</f>
        <v/>
      </c>
      <c r="J20" s="45">
        <f>IF(C20="aFRR+",DAMAS_Daily!C20,DAMAS_Daily!D20)</f>
        <v/>
      </c>
      <c r="K20" s="45">
        <f>IF(C20="aFRR+",MIN(DAMAS_Daily!C20*market_share_B*acceptance_rate*stack_activation,power_mw*hours_per_day,capacity_mwh),MIN(DAMAS_Daily!D20*market_share_B*acceptance_rate*stack_activation,power_mw*hours_per_day,capacity_mwh))</f>
        <v/>
      </c>
      <c r="L20" s="42">
        <f>IF(K20&gt;=capacity_mwh-0.01,"yes","no")</f>
        <v/>
      </c>
      <c r="M20" s="18">
        <f>IF(C20="aFRR+",(MIN(DAMAS_Daily!C20*market_share_B*acceptance_rate*stack_activation,power_mw*hours_per_day,capacity_mwh))*DAMAS_Daily!E20*activation_mult_B,(MIN(DAMAS_Daily!D20*market_share_B*acceptance_rate*stack_activation,power_mw*hours_per_day,capacity_mwh))*DAMAS_Daily!F20*activation_mult_B)</f>
        <v/>
      </c>
      <c r="N20" s="19">
        <f>F20+M20</f>
        <v/>
      </c>
    </row>
    <row r="21">
      <c r="A21" s="41">
        <f>DAMAS_Daily!A21</f>
        <v/>
      </c>
      <c r="B21" s="42">
        <f>DAMAS_Daily!B21</f>
        <v/>
      </c>
      <c r="C21" s="42">
        <f>IF((power_mw*hours_per_day*damas_afrr_up*capacity_mult_B*stack_capacity*acceptance_rate+(MIN(DAMAS_Daily!C21*market_share_B*acceptance_rate*stack_activation,power_mw*hours_per_day,capacity_mwh))*DAMAS_Daily!E21*activation_mult_B)&gt;=(power_mw*hours_per_day*damas_afrr_down*capacity_mult_B*stack_capacity*acceptance_rate+(MIN(DAMAS_Daily!D21*market_share_B*acceptance_rate*stack_activation,power_mw*hours_per_day,capacity_mwh))*DAMAS_Daily!F21*activation_mult_B),"aFRR+","aFRR-")</f>
        <v/>
      </c>
      <c r="D21" s="43">
        <f>IF(C21="aFRR+",damas_afrr_up*capacity_mult_B,damas_afrr_down*capacity_mult_B)</f>
        <v/>
      </c>
      <c r="E21" s="44">
        <f>acceptance_rate</f>
        <v/>
      </c>
      <c r="F21" s="18">
        <f>IF(C21="aFRR+",power_mw*hours_per_day*damas_afrr_up*capacity_mult_B*stack_capacity*acceptance_rate,power_mw*hours_per_day*damas_afrr_down*capacity_mult_B*stack_capacity*acceptance_rate)</f>
        <v/>
      </c>
      <c r="G21" s="42">
        <f>IF(C21="aFRR+",DAMAS_Daily!I21,DAMAS_Daily!J21)</f>
        <v/>
      </c>
      <c r="H21" s="43">
        <f>IF(C21="aFRR+",DAMAS_Daily!E21,DAMAS_Daily!F21)</f>
        <v/>
      </c>
      <c r="I21" s="43">
        <f>IF(C21="aFRR+",DAMAS_Daily!G21,DAMAS_Daily!H21)</f>
        <v/>
      </c>
      <c r="J21" s="45">
        <f>IF(C21="aFRR+",DAMAS_Daily!C21,DAMAS_Daily!D21)</f>
        <v/>
      </c>
      <c r="K21" s="45">
        <f>IF(C21="aFRR+",MIN(DAMAS_Daily!C21*market_share_B*acceptance_rate*stack_activation,power_mw*hours_per_day,capacity_mwh),MIN(DAMAS_Daily!D21*market_share_B*acceptance_rate*stack_activation,power_mw*hours_per_day,capacity_mwh))</f>
        <v/>
      </c>
      <c r="L21" s="42">
        <f>IF(K21&gt;=capacity_mwh-0.01,"yes","no")</f>
        <v/>
      </c>
      <c r="M21" s="18">
        <f>IF(C21="aFRR+",(MIN(DAMAS_Daily!C21*market_share_B*acceptance_rate*stack_activation,power_mw*hours_per_day,capacity_mwh))*DAMAS_Daily!E21*activation_mult_B,(MIN(DAMAS_Daily!D21*market_share_B*acceptance_rate*stack_activation,power_mw*hours_per_day,capacity_mwh))*DAMAS_Daily!F21*activation_mult_B)</f>
        <v/>
      </c>
      <c r="N21" s="19">
        <f>F21+M21</f>
        <v/>
      </c>
    </row>
    <row r="22">
      <c r="A22" s="41">
        <f>DAMAS_Daily!A22</f>
        <v/>
      </c>
      <c r="B22" s="42">
        <f>DAMAS_Daily!B22</f>
        <v/>
      </c>
      <c r="C22" s="42">
        <f>IF((power_mw*hours_per_day*damas_afrr_up*capacity_mult_B*stack_capacity*acceptance_rate+(MIN(DAMAS_Daily!C22*market_share_B*acceptance_rate*stack_activation,power_mw*hours_per_day,capacity_mwh))*DAMAS_Daily!E22*activation_mult_B)&gt;=(power_mw*hours_per_day*damas_afrr_down*capacity_mult_B*stack_capacity*acceptance_rate+(MIN(DAMAS_Daily!D22*market_share_B*acceptance_rate*stack_activation,power_mw*hours_per_day,capacity_mwh))*DAMAS_Daily!F22*activation_mult_B),"aFRR+","aFRR-")</f>
        <v/>
      </c>
      <c r="D22" s="43">
        <f>IF(C22="aFRR+",damas_afrr_up*capacity_mult_B,damas_afrr_down*capacity_mult_B)</f>
        <v/>
      </c>
      <c r="E22" s="44">
        <f>acceptance_rate</f>
        <v/>
      </c>
      <c r="F22" s="18">
        <f>IF(C22="aFRR+",power_mw*hours_per_day*damas_afrr_up*capacity_mult_B*stack_capacity*acceptance_rate,power_mw*hours_per_day*damas_afrr_down*capacity_mult_B*stack_capacity*acceptance_rate)</f>
        <v/>
      </c>
      <c r="G22" s="42">
        <f>IF(C22="aFRR+",DAMAS_Daily!I22,DAMAS_Daily!J22)</f>
        <v/>
      </c>
      <c r="H22" s="43">
        <f>IF(C22="aFRR+",DAMAS_Daily!E22,DAMAS_Daily!F22)</f>
        <v/>
      </c>
      <c r="I22" s="43">
        <f>IF(C22="aFRR+",DAMAS_Daily!G22,DAMAS_Daily!H22)</f>
        <v/>
      </c>
      <c r="J22" s="45">
        <f>IF(C22="aFRR+",DAMAS_Daily!C22,DAMAS_Daily!D22)</f>
        <v/>
      </c>
      <c r="K22" s="45">
        <f>IF(C22="aFRR+",MIN(DAMAS_Daily!C22*market_share_B*acceptance_rate*stack_activation,power_mw*hours_per_day,capacity_mwh),MIN(DAMAS_Daily!D22*market_share_B*acceptance_rate*stack_activation,power_mw*hours_per_day,capacity_mwh))</f>
        <v/>
      </c>
      <c r="L22" s="42">
        <f>IF(K22&gt;=capacity_mwh-0.01,"yes","no")</f>
        <v/>
      </c>
      <c r="M22" s="18">
        <f>IF(C22="aFRR+",(MIN(DAMAS_Daily!C22*market_share_B*acceptance_rate*stack_activation,power_mw*hours_per_day,capacity_mwh))*DAMAS_Daily!E22*activation_mult_B,(MIN(DAMAS_Daily!D22*market_share_B*acceptance_rate*stack_activation,power_mw*hours_per_day,capacity_mwh))*DAMAS_Daily!F22*activation_mult_B)</f>
        <v/>
      </c>
      <c r="N22" s="19">
        <f>F22+M22</f>
        <v/>
      </c>
    </row>
    <row r="23">
      <c r="A23" s="41">
        <f>DAMAS_Daily!A23</f>
        <v/>
      </c>
      <c r="B23" s="42">
        <f>DAMAS_Daily!B23</f>
        <v/>
      </c>
      <c r="C23" s="42">
        <f>IF((power_mw*hours_per_day*damas_afrr_up*capacity_mult_B*stack_capacity*acceptance_rate+(MIN(DAMAS_Daily!C23*market_share_B*acceptance_rate*stack_activation,power_mw*hours_per_day,capacity_mwh))*DAMAS_Daily!E23*activation_mult_B)&gt;=(power_mw*hours_per_day*damas_afrr_down*capacity_mult_B*stack_capacity*acceptance_rate+(MIN(DAMAS_Daily!D23*market_share_B*acceptance_rate*stack_activation,power_mw*hours_per_day,capacity_mwh))*DAMAS_Daily!F23*activation_mult_B),"aFRR+","aFRR-")</f>
        <v/>
      </c>
      <c r="D23" s="43">
        <f>IF(C23="aFRR+",damas_afrr_up*capacity_mult_B,damas_afrr_down*capacity_mult_B)</f>
        <v/>
      </c>
      <c r="E23" s="44">
        <f>acceptance_rate</f>
        <v/>
      </c>
      <c r="F23" s="18">
        <f>IF(C23="aFRR+",power_mw*hours_per_day*damas_afrr_up*capacity_mult_B*stack_capacity*acceptance_rate,power_mw*hours_per_day*damas_afrr_down*capacity_mult_B*stack_capacity*acceptance_rate)</f>
        <v/>
      </c>
      <c r="G23" s="42">
        <f>IF(C23="aFRR+",DAMAS_Daily!I23,DAMAS_Daily!J23)</f>
        <v/>
      </c>
      <c r="H23" s="43">
        <f>IF(C23="aFRR+",DAMAS_Daily!E23,DAMAS_Daily!F23)</f>
        <v/>
      </c>
      <c r="I23" s="43">
        <f>IF(C23="aFRR+",DAMAS_Daily!G23,DAMAS_Daily!H23)</f>
        <v/>
      </c>
      <c r="J23" s="45">
        <f>IF(C23="aFRR+",DAMAS_Daily!C23,DAMAS_Daily!D23)</f>
        <v/>
      </c>
      <c r="K23" s="45">
        <f>IF(C23="aFRR+",MIN(DAMAS_Daily!C23*market_share_B*acceptance_rate*stack_activation,power_mw*hours_per_day,capacity_mwh),MIN(DAMAS_Daily!D23*market_share_B*acceptance_rate*stack_activation,power_mw*hours_per_day,capacity_mwh))</f>
        <v/>
      </c>
      <c r="L23" s="42">
        <f>IF(K23&gt;=capacity_mwh-0.01,"yes","no")</f>
        <v/>
      </c>
      <c r="M23" s="18">
        <f>IF(C23="aFRR+",(MIN(DAMAS_Daily!C23*market_share_B*acceptance_rate*stack_activation,power_mw*hours_per_day,capacity_mwh))*DAMAS_Daily!E23*activation_mult_B,(MIN(DAMAS_Daily!D23*market_share_B*acceptance_rate*stack_activation,power_mw*hours_per_day,capacity_mwh))*DAMAS_Daily!F23*activation_mult_B)</f>
        <v/>
      </c>
      <c r="N23" s="19">
        <f>F23+M23</f>
        <v/>
      </c>
    </row>
    <row r="24">
      <c r="A24" s="41">
        <f>DAMAS_Daily!A24</f>
        <v/>
      </c>
      <c r="B24" s="42">
        <f>DAMAS_Daily!B24</f>
        <v/>
      </c>
      <c r="C24" s="42">
        <f>IF((power_mw*hours_per_day*damas_afrr_up*capacity_mult_B*stack_capacity*acceptance_rate+(MIN(DAMAS_Daily!C24*market_share_B*acceptance_rate*stack_activation,power_mw*hours_per_day,capacity_mwh))*DAMAS_Daily!E24*activation_mult_B)&gt;=(power_mw*hours_per_day*damas_afrr_down*capacity_mult_B*stack_capacity*acceptance_rate+(MIN(DAMAS_Daily!D24*market_share_B*acceptance_rate*stack_activation,power_mw*hours_per_day,capacity_mwh))*DAMAS_Daily!F24*activation_mult_B),"aFRR+","aFRR-")</f>
        <v/>
      </c>
      <c r="D24" s="43">
        <f>IF(C24="aFRR+",damas_afrr_up*capacity_mult_B,damas_afrr_down*capacity_mult_B)</f>
        <v/>
      </c>
      <c r="E24" s="44">
        <f>acceptance_rate</f>
        <v/>
      </c>
      <c r="F24" s="18">
        <f>IF(C24="aFRR+",power_mw*hours_per_day*damas_afrr_up*capacity_mult_B*stack_capacity*acceptance_rate,power_mw*hours_per_day*damas_afrr_down*capacity_mult_B*stack_capacity*acceptance_rate)</f>
        <v/>
      </c>
      <c r="G24" s="42">
        <f>IF(C24="aFRR+",DAMAS_Daily!I24,DAMAS_Daily!J24)</f>
        <v/>
      </c>
      <c r="H24" s="43">
        <f>IF(C24="aFRR+",DAMAS_Daily!E24,DAMAS_Daily!F24)</f>
        <v/>
      </c>
      <c r="I24" s="43">
        <f>IF(C24="aFRR+",DAMAS_Daily!G24,DAMAS_Daily!H24)</f>
        <v/>
      </c>
      <c r="J24" s="45">
        <f>IF(C24="aFRR+",DAMAS_Daily!C24,DAMAS_Daily!D24)</f>
        <v/>
      </c>
      <c r="K24" s="45">
        <f>IF(C24="aFRR+",MIN(DAMAS_Daily!C24*market_share_B*acceptance_rate*stack_activation,power_mw*hours_per_day,capacity_mwh),MIN(DAMAS_Daily!D24*market_share_B*acceptance_rate*stack_activation,power_mw*hours_per_day,capacity_mwh))</f>
        <v/>
      </c>
      <c r="L24" s="42">
        <f>IF(K24&gt;=capacity_mwh-0.01,"yes","no")</f>
        <v/>
      </c>
      <c r="M24" s="18">
        <f>IF(C24="aFRR+",(MIN(DAMAS_Daily!C24*market_share_B*acceptance_rate*stack_activation,power_mw*hours_per_day,capacity_mwh))*DAMAS_Daily!E24*activation_mult_B,(MIN(DAMAS_Daily!D24*market_share_B*acceptance_rate*stack_activation,power_mw*hours_per_day,capacity_mwh))*DAMAS_Daily!F24*activation_mult_B)</f>
        <v/>
      </c>
      <c r="N24" s="19">
        <f>F24+M24</f>
        <v/>
      </c>
    </row>
    <row r="25">
      <c r="A25" s="41">
        <f>DAMAS_Daily!A25</f>
        <v/>
      </c>
      <c r="B25" s="42">
        <f>DAMAS_Daily!B25</f>
        <v/>
      </c>
      <c r="C25" s="42">
        <f>IF((power_mw*hours_per_day*damas_afrr_up*capacity_mult_B*stack_capacity*acceptance_rate+(MIN(DAMAS_Daily!C25*market_share_B*acceptance_rate*stack_activation,power_mw*hours_per_day,capacity_mwh))*DAMAS_Daily!E25*activation_mult_B)&gt;=(power_mw*hours_per_day*damas_afrr_down*capacity_mult_B*stack_capacity*acceptance_rate+(MIN(DAMAS_Daily!D25*market_share_B*acceptance_rate*stack_activation,power_mw*hours_per_day,capacity_mwh))*DAMAS_Daily!F25*activation_mult_B),"aFRR+","aFRR-")</f>
        <v/>
      </c>
      <c r="D25" s="43">
        <f>IF(C25="aFRR+",damas_afrr_up*capacity_mult_B,damas_afrr_down*capacity_mult_B)</f>
        <v/>
      </c>
      <c r="E25" s="44">
        <f>acceptance_rate</f>
        <v/>
      </c>
      <c r="F25" s="18">
        <f>IF(C25="aFRR+",power_mw*hours_per_day*damas_afrr_up*capacity_mult_B*stack_capacity*acceptance_rate,power_mw*hours_per_day*damas_afrr_down*capacity_mult_B*stack_capacity*acceptance_rate)</f>
        <v/>
      </c>
      <c r="G25" s="42">
        <f>IF(C25="aFRR+",DAMAS_Daily!I25,DAMAS_Daily!J25)</f>
        <v/>
      </c>
      <c r="H25" s="43">
        <f>IF(C25="aFRR+",DAMAS_Daily!E25,DAMAS_Daily!F25)</f>
        <v/>
      </c>
      <c r="I25" s="43">
        <f>IF(C25="aFRR+",DAMAS_Daily!G25,DAMAS_Daily!H25)</f>
        <v/>
      </c>
      <c r="J25" s="45">
        <f>IF(C25="aFRR+",DAMAS_Daily!C25,DAMAS_Daily!D25)</f>
        <v/>
      </c>
      <c r="K25" s="45">
        <f>IF(C25="aFRR+",MIN(DAMAS_Daily!C25*market_share_B*acceptance_rate*stack_activation,power_mw*hours_per_day,capacity_mwh),MIN(DAMAS_Daily!D25*market_share_B*acceptance_rate*stack_activation,power_mw*hours_per_day,capacity_mwh))</f>
        <v/>
      </c>
      <c r="L25" s="42">
        <f>IF(K25&gt;=capacity_mwh-0.01,"yes","no")</f>
        <v/>
      </c>
      <c r="M25" s="18">
        <f>IF(C25="aFRR+",(MIN(DAMAS_Daily!C25*market_share_B*acceptance_rate*stack_activation,power_mw*hours_per_day,capacity_mwh))*DAMAS_Daily!E25*activation_mult_B,(MIN(DAMAS_Daily!D25*market_share_B*acceptance_rate*stack_activation,power_mw*hours_per_day,capacity_mwh))*DAMAS_Daily!F25*activation_mult_B)</f>
        <v/>
      </c>
      <c r="N25" s="19">
        <f>F25+M25</f>
        <v/>
      </c>
    </row>
    <row r="26">
      <c r="A26" s="41">
        <f>DAMAS_Daily!A26</f>
        <v/>
      </c>
      <c r="B26" s="42">
        <f>DAMAS_Daily!B26</f>
        <v/>
      </c>
      <c r="C26" s="42">
        <f>IF((power_mw*hours_per_day*damas_afrr_up*capacity_mult_B*stack_capacity*acceptance_rate+(MIN(DAMAS_Daily!C26*market_share_B*acceptance_rate*stack_activation,power_mw*hours_per_day,capacity_mwh))*DAMAS_Daily!E26*activation_mult_B)&gt;=(power_mw*hours_per_day*damas_afrr_down*capacity_mult_B*stack_capacity*acceptance_rate+(MIN(DAMAS_Daily!D26*market_share_B*acceptance_rate*stack_activation,power_mw*hours_per_day,capacity_mwh))*DAMAS_Daily!F26*activation_mult_B),"aFRR+","aFRR-")</f>
        <v/>
      </c>
      <c r="D26" s="43">
        <f>IF(C26="aFRR+",damas_afrr_up*capacity_mult_B,damas_afrr_down*capacity_mult_B)</f>
        <v/>
      </c>
      <c r="E26" s="44">
        <f>acceptance_rate</f>
        <v/>
      </c>
      <c r="F26" s="18">
        <f>IF(C26="aFRR+",power_mw*hours_per_day*damas_afrr_up*capacity_mult_B*stack_capacity*acceptance_rate,power_mw*hours_per_day*damas_afrr_down*capacity_mult_B*stack_capacity*acceptance_rate)</f>
        <v/>
      </c>
      <c r="G26" s="42">
        <f>IF(C26="aFRR+",DAMAS_Daily!I26,DAMAS_Daily!J26)</f>
        <v/>
      </c>
      <c r="H26" s="43">
        <f>IF(C26="aFRR+",DAMAS_Daily!E26,DAMAS_Daily!F26)</f>
        <v/>
      </c>
      <c r="I26" s="43">
        <f>IF(C26="aFRR+",DAMAS_Daily!G26,DAMAS_Daily!H26)</f>
        <v/>
      </c>
      <c r="J26" s="45">
        <f>IF(C26="aFRR+",DAMAS_Daily!C26,DAMAS_Daily!D26)</f>
        <v/>
      </c>
      <c r="K26" s="45">
        <f>IF(C26="aFRR+",MIN(DAMAS_Daily!C26*market_share_B*acceptance_rate*stack_activation,power_mw*hours_per_day,capacity_mwh),MIN(DAMAS_Daily!D26*market_share_B*acceptance_rate*stack_activation,power_mw*hours_per_day,capacity_mwh))</f>
        <v/>
      </c>
      <c r="L26" s="42">
        <f>IF(K26&gt;=capacity_mwh-0.01,"yes","no")</f>
        <v/>
      </c>
      <c r="M26" s="18">
        <f>IF(C26="aFRR+",(MIN(DAMAS_Daily!C26*market_share_B*acceptance_rate*stack_activation,power_mw*hours_per_day,capacity_mwh))*DAMAS_Daily!E26*activation_mult_B,(MIN(DAMAS_Daily!D26*market_share_B*acceptance_rate*stack_activation,power_mw*hours_per_day,capacity_mwh))*DAMAS_Daily!F26*activation_mult_B)</f>
        <v/>
      </c>
      <c r="N26" s="19">
        <f>F26+M26</f>
        <v/>
      </c>
    </row>
    <row r="27">
      <c r="A27" s="41">
        <f>DAMAS_Daily!A27</f>
        <v/>
      </c>
      <c r="B27" s="42">
        <f>DAMAS_Daily!B27</f>
        <v/>
      </c>
      <c r="C27" s="42">
        <f>IF((power_mw*hours_per_day*damas_afrr_up*capacity_mult_B*stack_capacity*acceptance_rate+(MIN(DAMAS_Daily!C27*market_share_B*acceptance_rate*stack_activation,power_mw*hours_per_day,capacity_mwh))*DAMAS_Daily!E27*activation_mult_B)&gt;=(power_mw*hours_per_day*damas_afrr_down*capacity_mult_B*stack_capacity*acceptance_rate+(MIN(DAMAS_Daily!D27*market_share_B*acceptance_rate*stack_activation,power_mw*hours_per_day,capacity_mwh))*DAMAS_Daily!F27*activation_mult_B),"aFRR+","aFRR-")</f>
        <v/>
      </c>
      <c r="D27" s="43">
        <f>IF(C27="aFRR+",damas_afrr_up*capacity_mult_B,damas_afrr_down*capacity_mult_B)</f>
        <v/>
      </c>
      <c r="E27" s="44">
        <f>acceptance_rate</f>
        <v/>
      </c>
      <c r="F27" s="18">
        <f>IF(C27="aFRR+",power_mw*hours_per_day*damas_afrr_up*capacity_mult_B*stack_capacity*acceptance_rate,power_mw*hours_per_day*damas_afrr_down*capacity_mult_B*stack_capacity*acceptance_rate)</f>
        <v/>
      </c>
      <c r="G27" s="42">
        <f>IF(C27="aFRR+",DAMAS_Daily!I27,DAMAS_Daily!J27)</f>
        <v/>
      </c>
      <c r="H27" s="43">
        <f>IF(C27="aFRR+",DAMAS_Daily!E27,DAMAS_Daily!F27)</f>
        <v/>
      </c>
      <c r="I27" s="43">
        <f>IF(C27="aFRR+",DAMAS_Daily!G27,DAMAS_Daily!H27)</f>
        <v/>
      </c>
      <c r="J27" s="45">
        <f>IF(C27="aFRR+",DAMAS_Daily!C27,DAMAS_Daily!D27)</f>
        <v/>
      </c>
      <c r="K27" s="45">
        <f>IF(C27="aFRR+",MIN(DAMAS_Daily!C27*market_share_B*acceptance_rate*stack_activation,power_mw*hours_per_day,capacity_mwh),MIN(DAMAS_Daily!D27*market_share_B*acceptance_rate*stack_activation,power_mw*hours_per_day,capacity_mwh))</f>
        <v/>
      </c>
      <c r="L27" s="42">
        <f>IF(K27&gt;=capacity_mwh-0.01,"yes","no")</f>
        <v/>
      </c>
      <c r="M27" s="18">
        <f>IF(C27="aFRR+",(MIN(DAMAS_Daily!C27*market_share_B*acceptance_rate*stack_activation,power_mw*hours_per_day,capacity_mwh))*DAMAS_Daily!E27*activation_mult_B,(MIN(DAMAS_Daily!D27*market_share_B*acceptance_rate*stack_activation,power_mw*hours_per_day,capacity_mwh))*DAMAS_Daily!F27*activation_mult_B)</f>
        <v/>
      </c>
      <c r="N27" s="19">
        <f>F27+M27</f>
        <v/>
      </c>
    </row>
    <row r="28">
      <c r="A28" s="41">
        <f>DAMAS_Daily!A28</f>
        <v/>
      </c>
      <c r="B28" s="42">
        <f>DAMAS_Daily!B28</f>
        <v/>
      </c>
      <c r="C28" s="42">
        <f>IF((power_mw*hours_per_day*damas_afrr_up*capacity_mult_B*stack_capacity*acceptance_rate+(MIN(DAMAS_Daily!C28*market_share_B*acceptance_rate*stack_activation,power_mw*hours_per_day,capacity_mwh))*DAMAS_Daily!E28*activation_mult_B)&gt;=(power_mw*hours_per_day*damas_afrr_down*capacity_mult_B*stack_capacity*acceptance_rate+(MIN(DAMAS_Daily!D28*market_share_B*acceptance_rate*stack_activation,power_mw*hours_per_day,capacity_mwh))*DAMAS_Daily!F28*activation_mult_B),"aFRR+","aFRR-")</f>
        <v/>
      </c>
      <c r="D28" s="43">
        <f>IF(C28="aFRR+",damas_afrr_up*capacity_mult_B,damas_afrr_down*capacity_mult_B)</f>
        <v/>
      </c>
      <c r="E28" s="44">
        <f>acceptance_rate</f>
        <v/>
      </c>
      <c r="F28" s="18">
        <f>IF(C28="aFRR+",power_mw*hours_per_day*damas_afrr_up*capacity_mult_B*stack_capacity*acceptance_rate,power_mw*hours_per_day*damas_afrr_down*capacity_mult_B*stack_capacity*acceptance_rate)</f>
        <v/>
      </c>
      <c r="G28" s="42">
        <f>IF(C28="aFRR+",DAMAS_Daily!I28,DAMAS_Daily!J28)</f>
        <v/>
      </c>
      <c r="H28" s="43">
        <f>IF(C28="aFRR+",DAMAS_Daily!E28,DAMAS_Daily!F28)</f>
        <v/>
      </c>
      <c r="I28" s="43">
        <f>IF(C28="aFRR+",DAMAS_Daily!G28,DAMAS_Daily!H28)</f>
        <v/>
      </c>
      <c r="J28" s="45">
        <f>IF(C28="aFRR+",DAMAS_Daily!C28,DAMAS_Daily!D28)</f>
        <v/>
      </c>
      <c r="K28" s="45">
        <f>IF(C28="aFRR+",MIN(DAMAS_Daily!C28*market_share_B*acceptance_rate*stack_activation,power_mw*hours_per_day,capacity_mwh),MIN(DAMAS_Daily!D28*market_share_B*acceptance_rate*stack_activation,power_mw*hours_per_day,capacity_mwh))</f>
        <v/>
      </c>
      <c r="L28" s="42">
        <f>IF(K28&gt;=capacity_mwh-0.01,"yes","no")</f>
        <v/>
      </c>
      <c r="M28" s="18">
        <f>IF(C28="aFRR+",(MIN(DAMAS_Daily!C28*market_share_B*acceptance_rate*stack_activation,power_mw*hours_per_day,capacity_mwh))*DAMAS_Daily!E28*activation_mult_B,(MIN(DAMAS_Daily!D28*market_share_B*acceptance_rate*stack_activation,power_mw*hours_per_day,capacity_mwh))*DAMAS_Daily!F28*activation_mult_B)</f>
        <v/>
      </c>
      <c r="N28" s="19">
        <f>F28+M28</f>
        <v/>
      </c>
    </row>
    <row r="29">
      <c r="A29" s="41">
        <f>DAMAS_Daily!A29</f>
        <v/>
      </c>
      <c r="B29" s="42">
        <f>DAMAS_Daily!B29</f>
        <v/>
      </c>
      <c r="C29" s="42">
        <f>IF((power_mw*hours_per_day*damas_afrr_up*capacity_mult_B*stack_capacity*acceptance_rate+(MIN(DAMAS_Daily!C29*market_share_B*acceptance_rate*stack_activation,power_mw*hours_per_day,capacity_mwh))*DAMAS_Daily!E29*activation_mult_B)&gt;=(power_mw*hours_per_day*damas_afrr_down*capacity_mult_B*stack_capacity*acceptance_rate+(MIN(DAMAS_Daily!D29*market_share_B*acceptance_rate*stack_activation,power_mw*hours_per_day,capacity_mwh))*DAMAS_Daily!F29*activation_mult_B),"aFRR+","aFRR-")</f>
        <v/>
      </c>
      <c r="D29" s="43">
        <f>IF(C29="aFRR+",damas_afrr_up*capacity_mult_B,damas_afrr_down*capacity_mult_B)</f>
        <v/>
      </c>
      <c r="E29" s="44">
        <f>acceptance_rate</f>
        <v/>
      </c>
      <c r="F29" s="18">
        <f>IF(C29="aFRR+",power_mw*hours_per_day*damas_afrr_up*capacity_mult_B*stack_capacity*acceptance_rate,power_mw*hours_per_day*damas_afrr_down*capacity_mult_B*stack_capacity*acceptance_rate)</f>
        <v/>
      </c>
      <c r="G29" s="42">
        <f>IF(C29="aFRR+",DAMAS_Daily!I29,DAMAS_Daily!J29)</f>
        <v/>
      </c>
      <c r="H29" s="43">
        <f>IF(C29="aFRR+",DAMAS_Daily!E29,DAMAS_Daily!F29)</f>
        <v/>
      </c>
      <c r="I29" s="43">
        <f>IF(C29="aFRR+",DAMAS_Daily!G29,DAMAS_Daily!H29)</f>
        <v/>
      </c>
      <c r="J29" s="45">
        <f>IF(C29="aFRR+",DAMAS_Daily!C29,DAMAS_Daily!D29)</f>
        <v/>
      </c>
      <c r="K29" s="45">
        <f>IF(C29="aFRR+",MIN(DAMAS_Daily!C29*market_share_B*acceptance_rate*stack_activation,power_mw*hours_per_day,capacity_mwh),MIN(DAMAS_Daily!D29*market_share_B*acceptance_rate*stack_activation,power_mw*hours_per_day,capacity_mwh))</f>
        <v/>
      </c>
      <c r="L29" s="42">
        <f>IF(K29&gt;=capacity_mwh-0.01,"yes","no")</f>
        <v/>
      </c>
      <c r="M29" s="18">
        <f>IF(C29="aFRR+",(MIN(DAMAS_Daily!C29*market_share_B*acceptance_rate*stack_activation,power_mw*hours_per_day,capacity_mwh))*DAMAS_Daily!E29*activation_mult_B,(MIN(DAMAS_Daily!D29*market_share_B*acceptance_rate*stack_activation,power_mw*hours_per_day,capacity_mwh))*DAMAS_Daily!F29*activation_mult_B)</f>
        <v/>
      </c>
      <c r="N29" s="19">
        <f>F29+M29</f>
        <v/>
      </c>
    </row>
    <row r="30">
      <c r="A30" s="41">
        <f>DAMAS_Daily!A30</f>
        <v/>
      </c>
      <c r="B30" s="42">
        <f>DAMAS_Daily!B30</f>
        <v/>
      </c>
      <c r="C30" s="42">
        <f>IF((power_mw*hours_per_day*damas_afrr_up*capacity_mult_B*stack_capacity*acceptance_rate+(MIN(DAMAS_Daily!C30*market_share_B*acceptance_rate*stack_activation,power_mw*hours_per_day,capacity_mwh))*DAMAS_Daily!E30*activation_mult_B)&gt;=(power_mw*hours_per_day*damas_afrr_down*capacity_mult_B*stack_capacity*acceptance_rate+(MIN(DAMAS_Daily!D30*market_share_B*acceptance_rate*stack_activation,power_mw*hours_per_day,capacity_mwh))*DAMAS_Daily!F30*activation_mult_B),"aFRR+","aFRR-")</f>
        <v/>
      </c>
      <c r="D30" s="43">
        <f>IF(C30="aFRR+",damas_afrr_up*capacity_mult_B,damas_afrr_down*capacity_mult_B)</f>
        <v/>
      </c>
      <c r="E30" s="44">
        <f>acceptance_rate</f>
        <v/>
      </c>
      <c r="F30" s="18">
        <f>IF(C30="aFRR+",power_mw*hours_per_day*damas_afrr_up*capacity_mult_B*stack_capacity*acceptance_rate,power_mw*hours_per_day*damas_afrr_down*capacity_mult_B*stack_capacity*acceptance_rate)</f>
        <v/>
      </c>
      <c r="G30" s="42">
        <f>IF(C30="aFRR+",DAMAS_Daily!I30,DAMAS_Daily!J30)</f>
        <v/>
      </c>
      <c r="H30" s="43">
        <f>IF(C30="aFRR+",DAMAS_Daily!E30,DAMAS_Daily!F30)</f>
        <v/>
      </c>
      <c r="I30" s="43">
        <f>IF(C30="aFRR+",DAMAS_Daily!G30,DAMAS_Daily!H30)</f>
        <v/>
      </c>
      <c r="J30" s="45">
        <f>IF(C30="aFRR+",DAMAS_Daily!C30,DAMAS_Daily!D30)</f>
        <v/>
      </c>
      <c r="K30" s="45">
        <f>IF(C30="aFRR+",MIN(DAMAS_Daily!C30*market_share_B*acceptance_rate*stack_activation,power_mw*hours_per_day,capacity_mwh),MIN(DAMAS_Daily!D30*market_share_B*acceptance_rate*stack_activation,power_mw*hours_per_day,capacity_mwh))</f>
        <v/>
      </c>
      <c r="L30" s="42">
        <f>IF(K30&gt;=capacity_mwh-0.01,"yes","no")</f>
        <v/>
      </c>
      <c r="M30" s="18">
        <f>IF(C30="aFRR+",(MIN(DAMAS_Daily!C30*market_share_B*acceptance_rate*stack_activation,power_mw*hours_per_day,capacity_mwh))*DAMAS_Daily!E30*activation_mult_B,(MIN(DAMAS_Daily!D30*market_share_B*acceptance_rate*stack_activation,power_mw*hours_per_day,capacity_mwh))*DAMAS_Daily!F30*activation_mult_B)</f>
        <v/>
      </c>
      <c r="N30" s="19">
        <f>F30+M30</f>
        <v/>
      </c>
    </row>
    <row r="31">
      <c r="A31" s="41">
        <f>DAMAS_Daily!A31</f>
        <v/>
      </c>
      <c r="B31" s="42">
        <f>DAMAS_Daily!B31</f>
        <v/>
      </c>
      <c r="C31" s="42">
        <f>IF((power_mw*hours_per_day*damas_afrr_up*capacity_mult_B*stack_capacity*acceptance_rate+(MIN(DAMAS_Daily!C31*market_share_B*acceptance_rate*stack_activation,power_mw*hours_per_day,capacity_mwh))*DAMAS_Daily!E31*activation_mult_B)&gt;=(power_mw*hours_per_day*damas_afrr_down*capacity_mult_B*stack_capacity*acceptance_rate+(MIN(DAMAS_Daily!D31*market_share_B*acceptance_rate*stack_activation,power_mw*hours_per_day,capacity_mwh))*DAMAS_Daily!F31*activation_mult_B),"aFRR+","aFRR-")</f>
        <v/>
      </c>
      <c r="D31" s="43">
        <f>IF(C31="aFRR+",damas_afrr_up*capacity_mult_B,damas_afrr_down*capacity_mult_B)</f>
        <v/>
      </c>
      <c r="E31" s="44">
        <f>acceptance_rate</f>
        <v/>
      </c>
      <c r="F31" s="18">
        <f>IF(C31="aFRR+",power_mw*hours_per_day*damas_afrr_up*capacity_mult_B*stack_capacity*acceptance_rate,power_mw*hours_per_day*damas_afrr_down*capacity_mult_B*stack_capacity*acceptance_rate)</f>
        <v/>
      </c>
      <c r="G31" s="42">
        <f>IF(C31="aFRR+",DAMAS_Daily!I31,DAMAS_Daily!J31)</f>
        <v/>
      </c>
      <c r="H31" s="43">
        <f>IF(C31="aFRR+",DAMAS_Daily!E31,DAMAS_Daily!F31)</f>
        <v/>
      </c>
      <c r="I31" s="43">
        <f>IF(C31="aFRR+",DAMAS_Daily!G31,DAMAS_Daily!H31)</f>
        <v/>
      </c>
      <c r="J31" s="45">
        <f>IF(C31="aFRR+",DAMAS_Daily!C31,DAMAS_Daily!D31)</f>
        <v/>
      </c>
      <c r="K31" s="45">
        <f>IF(C31="aFRR+",MIN(DAMAS_Daily!C31*market_share_B*acceptance_rate*stack_activation,power_mw*hours_per_day,capacity_mwh),MIN(DAMAS_Daily!D31*market_share_B*acceptance_rate*stack_activation,power_mw*hours_per_day,capacity_mwh))</f>
        <v/>
      </c>
      <c r="L31" s="42">
        <f>IF(K31&gt;=capacity_mwh-0.01,"yes","no")</f>
        <v/>
      </c>
      <c r="M31" s="18">
        <f>IF(C31="aFRR+",(MIN(DAMAS_Daily!C31*market_share_B*acceptance_rate*stack_activation,power_mw*hours_per_day,capacity_mwh))*DAMAS_Daily!E31*activation_mult_B,(MIN(DAMAS_Daily!D31*market_share_B*acceptance_rate*stack_activation,power_mw*hours_per_day,capacity_mwh))*DAMAS_Daily!F31*activation_mult_B)</f>
        <v/>
      </c>
      <c r="N31" s="19">
        <f>F31+M31</f>
        <v/>
      </c>
    </row>
    <row r="32">
      <c r="A32" s="41">
        <f>DAMAS_Daily!A32</f>
        <v/>
      </c>
      <c r="B32" s="42">
        <f>DAMAS_Daily!B32</f>
        <v/>
      </c>
      <c r="C32" s="42">
        <f>IF((power_mw*hours_per_day*damas_afrr_up*capacity_mult_B*stack_capacity*acceptance_rate+(MIN(DAMAS_Daily!C32*market_share_B*acceptance_rate*stack_activation,power_mw*hours_per_day,capacity_mwh))*DAMAS_Daily!E32*activation_mult_B)&gt;=(power_mw*hours_per_day*damas_afrr_down*capacity_mult_B*stack_capacity*acceptance_rate+(MIN(DAMAS_Daily!D32*market_share_B*acceptance_rate*stack_activation,power_mw*hours_per_day,capacity_mwh))*DAMAS_Daily!F32*activation_mult_B),"aFRR+","aFRR-")</f>
        <v/>
      </c>
      <c r="D32" s="43">
        <f>IF(C32="aFRR+",damas_afrr_up*capacity_mult_B,damas_afrr_down*capacity_mult_B)</f>
        <v/>
      </c>
      <c r="E32" s="44">
        <f>acceptance_rate</f>
        <v/>
      </c>
      <c r="F32" s="18">
        <f>IF(C32="aFRR+",power_mw*hours_per_day*damas_afrr_up*capacity_mult_B*stack_capacity*acceptance_rate,power_mw*hours_per_day*damas_afrr_down*capacity_mult_B*stack_capacity*acceptance_rate)</f>
        <v/>
      </c>
      <c r="G32" s="42">
        <f>IF(C32="aFRR+",DAMAS_Daily!I32,DAMAS_Daily!J32)</f>
        <v/>
      </c>
      <c r="H32" s="43">
        <f>IF(C32="aFRR+",DAMAS_Daily!E32,DAMAS_Daily!F32)</f>
        <v/>
      </c>
      <c r="I32" s="43">
        <f>IF(C32="aFRR+",DAMAS_Daily!G32,DAMAS_Daily!H32)</f>
        <v/>
      </c>
      <c r="J32" s="45">
        <f>IF(C32="aFRR+",DAMAS_Daily!C32,DAMAS_Daily!D32)</f>
        <v/>
      </c>
      <c r="K32" s="45">
        <f>IF(C32="aFRR+",MIN(DAMAS_Daily!C32*market_share_B*acceptance_rate*stack_activation,power_mw*hours_per_day,capacity_mwh),MIN(DAMAS_Daily!D32*market_share_B*acceptance_rate*stack_activation,power_mw*hours_per_day,capacity_mwh))</f>
        <v/>
      </c>
      <c r="L32" s="42">
        <f>IF(K32&gt;=capacity_mwh-0.01,"yes","no")</f>
        <v/>
      </c>
      <c r="M32" s="18">
        <f>IF(C32="aFRR+",(MIN(DAMAS_Daily!C32*market_share_B*acceptance_rate*stack_activation,power_mw*hours_per_day,capacity_mwh))*DAMAS_Daily!E32*activation_mult_B,(MIN(DAMAS_Daily!D32*market_share_B*acceptance_rate*stack_activation,power_mw*hours_per_day,capacity_mwh))*DAMAS_Daily!F32*activation_mult_B)</f>
        <v/>
      </c>
      <c r="N32" s="19">
        <f>F32+M32</f>
        <v/>
      </c>
    </row>
    <row r="33">
      <c r="A33" s="41">
        <f>DAMAS_Daily!A33</f>
        <v/>
      </c>
      <c r="B33" s="42">
        <f>DAMAS_Daily!B33</f>
        <v/>
      </c>
      <c r="C33" s="42">
        <f>IF((power_mw*hours_per_day*damas_afrr_up*capacity_mult_B*stack_capacity*acceptance_rate+(MIN(DAMAS_Daily!C33*market_share_B*acceptance_rate*stack_activation,power_mw*hours_per_day,capacity_mwh))*DAMAS_Daily!E33*activation_mult_B)&gt;=(power_mw*hours_per_day*damas_afrr_down*capacity_mult_B*stack_capacity*acceptance_rate+(MIN(DAMAS_Daily!D33*market_share_B*acceptance_rate*stack_activation,power_mw*hours_per_day,capacity_mwh))*DAMAS_Daily!F33*activation_mult_B),"aFRR+","aFRR-")</f>
        <v/>
      </c>
      <c r="D33" s="43">
        <f>IF(C33="aFRR+",damas_afrr_up*capacity_mult_B,damas_afrr_down*capacity_mult_B)</f>
        <v/>
      </c>
      <c r="E33" s="44">
        <f>acceptance_rate</f>
        <v/>
      </c>
      <c r="F33" s="18">
        <f>IF(C33="aFRR+",power_mw*hours_per_day*damas_afrr_up*capacity_mult_B*stack_capacity*acceptance_rate,power_mw*hours_per_day*damas_afrr_down*capacity_mult_B*stack_capacity*acceptance_rate)</f>
        <v/>
      </c>
      <c r="G33" s="42">
        <f>IF(C33="aFRR+",DAMAS_Daily!I33,DAMAS_Daily!J33)</f>
        <v/>
      </c>
      <c r="H33" s="43">
        <f>IF(C33="aFRR+",DAMAS_Daily!E33,DAMAS_Daily!F33)</f>
        <v/>
      </c>
      <c r="I33" s="43">
        <f>IF(C33="aFRR+",DAMAS_Daily!G33,DAMAS_Daily!H33)</f>
        <v/>
      </c>
      <c r="J33" s="45">
        <f>IF(C33="aFRR+",DAMAS_Daily!C33,DAMAS_Daily!D33)</f>
        <v/>
      </c>
      <c r="K33" s="45">
        <f>IF(C33="aFRR+",MIN(DAMAS_Daily!C33*market_share_B*acceptance_rate*stack_activation,power_mw*hours_per_day,capacity_mwh),MIN(DAMAS_Daily!D33*market_share_B*acceptance_rate*stack_activation,power_mw*hours_per_day,capacity_mwh))</f>
        <v/>
      </c>
      <c r="L33" s="42">
        <f>IF(K33&gt;=capacity_mwh-0.01,"yes","no")</f>
        <v/>
      </c>
      <c r="M33" s="18">
        <f>IF(C33="aFRR+",(MIN(DAMAS_Daily!C33*market_share_B*acceptance_rate*stack_activation,power_mw*hours_per_day,capacity_mwh))*DAMAS_Daily!E33*activation_mult_B,(MIN(DAMAS_Daily!D33*market_share_B*acceptance_rate*stack_activation,power_mw*hours_per_day,capacity_mwh))*DAMAS_Daily!F33*activation_mult_B)</f>
        <v/>
      </c>
      <c r="N33" s="19">
        <f>F33+M33</f>
        <v/>
      </c>
    </row>
    <row r="34">
      <c r="A34" s="41">
        <f>DAMAS_Daily!A34</f>
        <v/>
      </c>
      <c r="B34" s="42">
        <f>DAMAS_Daily!B34</f>
        <v/>
      </c>
      <c r="C34" s="42">
        <f>IF((power_mw*hours_per_day*damas_afrr_up*capacity_mult_B*stack_capacity*acceptance_rate+(MIN(DAMAS_Daily!C34*market_share_B*acceptance_rate*stack_activation,power_mw*hours_per_day,capacity_mwh))*DAMAS_Daily!E34*activation_mult_B)&gt;=(power_mw*hours_per_day*damas_afrr_down*capacity_mult_B*stack_capacity*acceptance_rate+(MIN(DAMAS_Daily!D34*market_share_B*acceptance_rate*stack_activation,power_mw*hours_per_day,capacity_mwh))*DAMAS_Daily!F34*activation_mult_B),"aFRR+","aFRR-")</f>
        <v/>
      </c>
      <c r="D34" s="43">
        <f>IF(C34="aFRR+",damas_afrr_up*capacity_mult_B,damas_afrr_down*capacity_mult_B)</f>
        <v/>
      </c>
      <c r="E34" s="44">
        <f>acceptance_rate</f>
        <v/>
      </c>
      <c r="F34" s="18">
        <f>IF(C34="aFRR+",power_mw*hours_per_day*damas_afrr_up*capacity_mult_B*stack_capacity*acceptance_rate,power_mw*hours_per_day*damas_afrr_down*capacity_mult_B*stack_capacity*acceptance_rate)</f>
        <v/>
      </c>
      <c r="G34" s="42">
        <f>IF(C34="aFRR+",DAMAS_Daily!I34,DAMAS_Daily!J34)</f>
        <v/>
      </c>
      <c r="H34" s="43">
        <f>IF(C34="aFRR+",DAMAS_Daily!E34,DAMAS_Daily!F34)</f>
        <v/>
      </c>
      <c r="I34" s="43">
        <f>IF(C34="aFRR+",DAMAS_Daily!G34,DAMAS_Daily!H34)</f>
        <v/>
      </c>
      <c r="J34" s="45">
        <f>IF(C34="aFRR+",DAMAS_Daily!C34,DAMAS_Daily!D34)</f>
        <v/>
      </c>
      <c r="K34" s="45">
        <f>IF(C34="aFRR+",MIN(DAMAS_Daily!C34*market_share_B*acceptance_rate*stack_activation,power_mw*hours_per_day,capacity_mwh),MIN(DAMAS_Daily!D34*market_share_B*acceptance_rate*stack_activation,power_mw*hours_per_day,capacity_mwh))</f>
        <v/>
      </c>
      <c r="L34" s="42">
        <f>IF(K34&gt;=capacity_mwh-0.01,"yes","no")</f>
        <v/>
      </c>
      <c r="M34" s="18">
        <f>IF(C34="aFRR+",(MIN(DAMAS_Daily!C34*market_share_B*acceptance_rate*stack_activation,power_mw*hours_per_day,capacity_mwh))*DAMAS_Daily!E34*activation_mult_B,(MIN(DAMAS_Daily!D34*market_share_B*acceptance_rate*stack_activation,power_mw*hours_per_day,capacity_mwh))*DAMAS_Daily!F34*activation_mult_B)</f>
        <v/>
      </c>
      <c r="N34" s="19">
        <f>F34+M34</f>
        <v/>
      </c>
    </row>
    <row r="35">
      <c r="A35" s="41">
        <f>DAMAS_Daily!A35</f>
        <v/>
      </c>
      <c r="B35" s="42">
        <f>DAMAS_Daily!B35</f>
        <v/>
      </c>
      <c r="C35" s="42">
        <f>IF((power_mw*hours_per_day*damas_afrr_up*capacity_mult_B*stack_capacity*acceptance_rate+(MIN(DAMAS_Daily!C35*market_share_B*acceptance_rate*stack_activation,power_mw*hours_per_day,capacity_mwh))*DAMAS_Daily!E35*activation_mult_B)&gt;=(power_mw*hours_per_day*damas_afrr_down*capacity_mult_B*stack_capacity*acceptance_rate+(MIN(DAMAS_Daily!D35*market_share_B*acceptance_rate*stack_activation,power_mw*hours_per_day,capacity_mwh))*DAMAS_Daily!F35*activation_mult_B),"aFRR+","aFRR-")</f>
        <v/>
      </c>
      <c r="D35" s="43">
        <f>IF(C35="aFRR+",damas_afrr_up*capacity_mult_B,damas_afrr_down*capacity_mult_B)</f>
        <v/>
      </c>
      <c r="E35" s="44">
        <f>acceptance_rate</f>
        <v/>
      </c>
      <c r="F35" s="18">
        <f>IF(C35="aFRR+",power_mw*hours_per_day*damas_afrr_up*capacity_mult_B*stack_capacity*acceptance_rate,power_mw*hours_per_day*damas_afrr_down*capacity_mult_B*stack_capacity*acceptance_rate)</f>
        <v/>
      </c>
      <c r="G35" s="42">
        <f>IF(C35="aFRR+",DAMAS_Daily!I35,DAMAS_Daily!J35)</f>
        <v/>
      </c>
      <c r="H35" s="43">
        <f>IF(C35="aFRR+",DAMAS_Daily!E35,DAMAS_Daily!F35)</f>
        <v/>
      </c>
      <c r="I35" s="43">
        <f>IF(C35="aFRR+",DAMAS_Daily!G35,DAMAS_Daily!H35)</f>
        <v/>
      </c>
      <c r="J35" s="45">
        <f>IF(C35="aFRR+",DAMAS_Daily!C35,DAMAS_Daily!D35)</f>
        <v/>
      </c>
      <c r="K35" s="45">
        <f>IF(C35="aFRR+",MIN(DAMAS_Daily!C35*market_share_B*acceptance_rate*stack_activation,power_mw*hours_per_day,capacity_mwh),MIN(DAMAS_Daily!D35*market_share_B*acceptance_rate*stack_activation,power_mw*hours_per_day,capacity_mwh))</f>
        <v/>
      </c>
      <c r="L35" s="42">
        <f>IF(K35&gt;=capacity_mwh-0.01,"yes","no")</f>
        <v/>
      </c>
      <c r="M35" s="18">
        <f>IF(C35="aFRR+",(MIN(DAMAS_Daily!C35*market_share_B*acceptance_rate*stack_activation,power_mw*hours_per_day,capacity_mwh))*DAMAS_Daily!E35*activation_mult_B,(MIN(DAMAS_Daily!D35*market_share_B*acceptance_rate*stack_activation,power_mw*hours_per_day,capacity_mwh))*DAMAS_Daily!F35*activation_mult_B)</f>
        <v/>
      </c>
      <c r="N35" s="19">
        <f>F35+M35</f>
        <v/>
      </c>
    </row>
    <row r="36">
      <c r="A36" s="41">
        <f>DAMAS_Daily!A36</f>
        <v/>
      </c>
      <c r="B36" s="42">
        <f>DAMAS_Daily!B36</f>
        <v/>
      </c>
      <c r="C36" s="42">
        <f>IF((power_mw*hours_per_day*damas_afrr_up*capacity_mult_B*stack_capacity*acceptance_rate+(MIN(DAMAS_Daily!C36*market_share_B*acceptance_rate*stack_activation,power_mw*hours_per_day,capacity_mwh))*DAMAS_Daily!E36*activation_mult_B)&gt;=(power_mw*hours_per_day*damas_afrr_down*capacity_mult_B*stack_capacity*acceptance_rate+(MIN(DAMAS_Daily!D36*market_share_B*acceptance_rate*stack_activation,power_mw*hours_per_day,capacity_mwh))*DAMAS_Daily!F36*activation_mult_B),"aFRR+","aFRR-")</f>
        <v/>
      </c>
      <c r="D36" s="43">
        <f>IF(C36="aFRR+",damas_afrr_up*capacity_mult_B,damas_afrr_down*capacity_mult_B)</f>
        <v/>
      </c>
      <c r="E36" s="44">
        <f>acceptance_rate</f>
        <v/>
      </c>
      <c r="F36" s="18">
        <f>IF(C36="aFRR+",power_mw*hours_per_day*damas_afrr_up*capacity_mult_B*stack_capacity*acceptance_rate,power_mw*hours_per_day*damas_afrr_down*capacity_mult_B*stack_capacity*acceptance_rate)</f>
        <v/>
      </c>
      <c r="G36" s="42">
        <f>IF(C36="aFRR+",DAMAS_Daily!I36,DAMAS_Daily!J36)</f>
        <v/>
      </c>
      <c r="H36" s="43">
        <f>IF(C36="aFRR+",DAMAS_Daily!E36,DAMAS_Daily!F36)</f>
        <v/>
      </c>
      <c r="I36" s="43">
        <f>IF(C36="aFRR+",DAMAS_Daily!G36,DAMAS_Daily!H36)</f>
        <v/>
      </c>
      <c r="J36" s="45">
        <f>IF(C36="aFRR+",DAMAS_Daily!C36,DAMAS_Daily!D36)</f>
        <v/>
      </c>
      <c r="K36" s="45">
        <f>IF(C36="aFRR+",MIN(DAMAS_Daily!C36*market_share_B*acceptance_rate*stack_activation,power_mw*hours_per_day,capacity_mwh),MIN(DAMAS_Daily!D36*market_share_B*acceptance_rate*stack_activation,power_mw*hours_per_day,capacity_mwh))</f>
        <v/>
      </c>
      <c r="L36" s="42">
        <f>IF(K36&gt;=capacity_mwh-0.01,"yes","no")</f>
        <v/>
      </c>
      <c r="M36" s="18">
        <f>IF(C36="aFRR+",(MIN(DAMAS_Daily!C36*market_share_B*acceptance_rate*stack_activation,power_mw*hours_per_day,capacity_mwh))*DAMAS_Daily!E36*activation_mult_B,(MIN(DAMAS_Daily!D36*market_share_B*acceptance_rate*stack_activation,power_mw*hours_per_day,capacity_mwh))*DAMAS_Daily!F36*activation_mult_B)</f>
        <v/>
      </c>
      <c r="N36" s="19">
        <f>F36+M36</f>
        <v/>
      </c>
    </row>
    <row r="37">
      <c r="A37" s="41">
        <f>DAMAS_Daily!A37</f>
        <v/>
      </c>
      <c r="B37" s="42">
        <f>DAMAS_Daily!B37</f>
        <v/>
      </c>
      <c r="C37" s="42">
        <f>IF((power_mw*hours_per_day*damas_afrr_up*capacity_mult_B*stack_capacity*acceptance_rate+(MIN(DAMAS_Daily!C37*market_share_B*acceptance_rate*stack_activation,power_mw*hours_per_day,capacity_mwh))*DAMAS_Daily!E37*activation_mult_B)&gt;=(power_mw*hours_per_day*damas_afrr_down*capacity_mult_B*stack_capacity*acceptance_rate+(MIN(DAMAS_Daily!D37*market_share_B*acceptance_rate*stack_activation,power_mw*hours_per_day,capacity_mwh))*DAMAS_Daily!F37*activation_mult_B),"aFRR+","aFRR-")</f>
        <v/>
      </c>
      <c r="D37" s="43">
        <f>IF(C37="aFRR+",damas_afrr_up*capacity_mult_B,damas_afrr_down*capacity_mult_B)</f>
        <v/>
      </c>
      <c r="E37" s="44">
        <f>acceptance_rate</f>
        <v/>
      </c>
      <c r="F37" s="18">
        <f>IF(C37="aFRR+",power_mw*hours_per_day*damas_afrr_up*capacity_mult_B*stack_capacity*acceptance_rate,power_mw*hours_per_day*damas_afrr_down*capacity_mult_B*stack_capacity*acceptance_rate)</f>
        <v/>
      </c>
      <c r="G37" s="42">
        <f>IF(C37="aFRR+",DAMAS_Daily!I37,DAMAS_Daily!J37)</f>
        <v/>
      </c>
      <c r="H37" s="43">
        <f>IF(C37="aFRR+",DAMAS_Daily!E37,DAMAS_Daily!F37)</f>
        <v/>
      </c>
      <c r="I37" s="43">
        <f>IF(C37="aFRR+",DAMAS_Daily!G37,DAMAS_Daily!H37)</f>
        <v/>
      </c>
      <c r="J37" s="45">
        <f>IF(C37="aFRR+",DAMAS_Daily!C37,DAMAS_Daily!D37)</f>
        <v/>
      </c>
      <c r="K37" s="45">
        <f>IF(C37="aFRR+",MIN(DAMAS_Daily!C37*market_share_B*acceptance_rate*stack_activation,power_mw*hours_per_day,capacity_mwh),MIN(DAMAS_Daily!D37*market_share_B*acceptance_rate*stack_activation,power_mw*hours_per_day,capacity_mwh))</f>
        <v/>
      </c>
      <c r="L37" s="42">
        <f>IF(K37&gt;=capacity_mwh-0.01,"yes","no")</f>
        <v/>
      </c>
      <c r="M37" s="18">
        <f>IF(C37="aFRR+",(MIN(DAMAS_Daily!C37*market_share_B*acceptance_rate*stack_activation,power_mw*hours_per_day,capacity_mwh))*DAMAS_Daily!E37*activation_mult_B,(MIN(DAMAS_Daily!D37*market_share_B*acceptance_rate*stack_activation,power_mw*hours_per_day,capacity_mwh))*DAMAS_Daily!F37*activation_mult_B)</f>
        <v/>
      </c>
      <c r="N37" s="19">
        <f>F37+M37</f>
        <v/>
      </c>
    </row>
    <row r="38">
      <c r="A38" s="41">
        <f>DAMAS_Daily!A38</f>
        <v/>
      </c>
      <c r="B38" s="42">
        <f>DAMAS_Daily!B38</f>
        <v/>
      </c>
      <c r="C38" s="42">
        <f>IF((power_mw*hours_per_day*damas_afrr_up*capacity_mult_B*stack_capacity*acceptance_rate+(MIN(DAMAS_Daily!C38*market_share_B*acceptance_rate*stack_activation,power_mw*hours_per_day,capacity_mwh))*DAMAS_Daily!E38*activation_mult_B)&gt;=(power_mw*hours_per_day*damas_afrr_down*capacity_mult_B*stack_capacity*acceptance_rate+(MIN(DAMAS_Daily!D38*market_share_B*acceptance_rate*stack_activation,power_mw*hours_per_day,capacity_mwh))*DAMAS_Daily!F38*activation_mult_B),"aFRR+","aFRR-")</f>
        <v/>
      </c>
      <c r="D38" s="43">
        <f>IF(C38="aFRR+",damas_afrr_up*capacity_mult_B,damas_afrr_down*capacity_mult_B)</f>
        <v/>
      </c>
      <c r="E38" s="44">
        <f>acceptance_rate</f>
        <v/>
      </c>
      <c r="F38" s="18">
        <f>IF(C38="aFRR+",power_mw*hours_per_day*damas_afrr_up*capacity_mult_B*stack_capacity*acceptance_rate,power_mw*hours_per_day*damas_afrr_down*capacity_mult_B*stack_capacity*acceptance_rate)</f>
        <v/>
      </c>
      <c r="G38" s="42">
        <f>IF(C38="aFRR+",DAMAS_Daily!I38,DAMAS_Daily!J38)</f>
        <v/>
      </c>
      <c r="H38" s="43">
        <f>IF(C38="aFRR+",DAMAS_Daily!E38,DAMAS_Daily!F38)</f>
        <v/>
      </c>
      <c r="I38" s="43">
        <f>IF(C38="aFRR+",DAMAS_Daily!G38,DAMAS_Daily!H38)</f>
        <v/>
      </c>
      <c r="J38" s="45">
        <f>IF(C38="aFRR+",DAMAS_Daily!C38,DAMAS_Daily!D38)</f>
        <v/>
      </c>
      <c r="K38" s="45">
        <f>IF(C38="aFRR+",MIN(DAMAS_Daily!C38*market_share_B*acceptance_rate*stack_activation,power_mw*hours_per_day,capacity_mwh),MIN(DAMAS_Daily!D38*market_share_B*acceptance_rate*stack_activation,power_mw*hours_per_day,capacity_mwh))</f>
        <v/>
      </c>
      <c r="L38" s="42">
        <f>IF(K38&gt;=capacity_mwh-0.01,"yes","no")</f>
        <v/>
      </c>
      <c r="M38" s="18">
        <f>IF(C38="aFRR+",(MIN(DAMAS_Daily!C38*market_share_B*acceptance_rate*stack_activation,power_mw*hours_per_day,capacity_mwh))*DAMAS_Daily!E38*activation_mult_B,(MIN(DAMAS_Daily!D38*market_share_B*acceptance_rate*stack_activation,power_mw*hours_per_day,capacity_mwh))*DAMAS_Daily!F38*activation_mult_B)</f>
        <v/>
      </c>
      <c r="N38" s="19">
        <f>F38+M38</f>
        <v/>
      </c>
    </row>
    <row r="39">
      <c r="A39" s="41">
        <f>DAMAS_Daily!A39</f>
        <v/>
      </c>
      <c r="B39" s="42">
        <f>DAMAS_Daily!B39</f>
        <v/>
      </c>
      <c r="C39" s="42">
        <f>IF((power_mw*hours_per_day*damas_afrr_up*capacity_mult_B*stack_capacity*acceptance_rate+(MIN(DAMAS_Daily!C39*market_share_B*acceptance_rate*stack_activation,power_mw*hours_per_day,capacity_mwh))*DAMAS_Daily!E39*activation_mult_B)&gt;=(power_mw*hours_per_day*damas_afrr_down*capacity_mult_B*stack_capacity*acceptance_rate+(MIN(DAMAS_Daily!D39*market_share_B*acceptance_rate*stack_activation,power_mw*hours_per_day,capacity_mwh))*DAMAS_Daily!F39*activation_mult_B),"aFRR+","aFRR-")</f>
        <v/>
      </c>
      <c r="D39" s="43">
        <f>IF(C39="aFRR+",damas_afrr_up*capacity_mult_B,damas_afrr_down*capacity_mult_B)</f>
        <v/>
      </c>
      <c r="E39" s="44">
        <f>acceptance_rate</f>
        <v/>
      </c>
      <c r="F39" s="18">
        <f>IF(C39="aFRR+",power_mw*hours_per_day*damas_afrr_up*capacity_mult_B*stack_capacity*acceptance_rate,power_mw*hours_per_day*damas_afrr_down*capacity_mult_B*stack_capacity*acceptance_rate)</f>
        <v/>
      </c>
      <c r="G39" s="42">
        <f>IF(C39="aFRR+",DAMAS_Daily!I39,DAMAS_Daily!J39)</f>
        <v/>
      </c>
      <c r="H39" s="43">
        <f>IF(C39="aFRR+",DAMAS_Daily!E39,DAMAS_Daily!F39)</f>
        <v/>
      </c>
      <c r="I39" s="43">
        <f>IF(C39="aFRR+",DAMAS_Daily!G39,DAMAS_Daily!H39)</f>
        <v/>
      </c>
      <c r="J39" s="45">
        <f>IF(C39="aFRR+",DAMAS_Daily!C39,DAMAS_Daily!D39)</f>
        <v/>
      </c>
      <c r="K39" s="45">
        <f>IF(C39="aFRR+",MIN(DAMAS_Daily!C39*market_share_B*acceptance_rate*stack_activation,power_mw*hours_per_day,capacity_mwh),MIN(DAMAS_Daily!D39*market_share_B*acceptance_rate*stack_activation,power_mw*hours_per_day,capacity_mwh))</f>
        <v/>
      </c>
      <c r="L39" s="42">
        <f>IF(K39&gt;=capacity_mwh-0.01,"yes","no")</f>
        <v/>
      </c>
      <c r="M39" s="18">
        <f>IF(C39="aFRR+",(MIN(DAMAS_Daily!C39*market_share_B*acceptance_rate*stack_activation,power_mw*hours_per_day,capacity_mwh))*DAMAS_Daily!E39*activation_mult_B,(MIN(DAMAS_Daily!D39*market_share_B*acceptance_rate*stack_activation,power_mw*hours_per_day,capacity_mwh))*DAMAS_Daily!F39*activation_mult_B)</f>
        <v/>
      </c>
      <c r="N39" s="19">
        <f>F39+M39</f>
        <v/>
      </c>
    </row>
    <row r="40">
      <c r="A40" s="41">
        <f>DAMAS_Daily!A40</f>
        <v/>
      </c>
      <c r="B40" s="42">
        <f>DAMAS_Daily!B40</f>
        <v/>
      </c>
      <c r="C40" s="42">
        <f>IF((power_mw*hours_per_day*damas_afrr_up*capacity_mult_B*stack_capacity*acceptance_rate+(MIN(DAMAS_Daily!C40*market_share_B*acceptance_rate*stack_activation,power_mw*hours_per_day,capacity_mwh))*DAMAS_Daily!E40*activation_mult_B)&gt;=(power_mw*hours_per_day*damas_afrr_down*capacity_mult_B*stack_capacity*acceptance_rate+(MIN(DAMAS_Daily!D40*market_share_B*acceptance_rate*stack_activation,power_mw*hours_per_day,capacity_mwh))*DAMAS_Daily!F40*activation_mult_B),"aFRR+","aFRR-")</f>
        <v/>
      </c>
      <c r="D40" s="43">
        <f>IF(C40="aFRR+",damas_afrr_up*capacity_mult_B,damas_afrr_down*capacity_mult_B)</f>
        <v/>
      </c>
      <c r="E40" s="44">
        <f>acceptance_rate</f>
        <v/>
      </c>
      <c r="F40" s="18">
        <f>IF(C40="aFRR+",power_mw*hours_per_day*damas_afrr_up*capacity_mult_B*stack_capacity*acceptance_rate,power_mw*hours_per_day*damas_afrr_down*capacity_mult_B*stack_capacity*acceptance_rate)</f>
        <v/>
      </c>
      <c r="G40" s="42">
        <f>IF(C40="aFRR+",DAMAS_Daily!I40,DAMAS_Daily!J40)</f>
        <v/>
      </c>
      <c r="H40" s="43">
        <f>IF(C40="aFRR+",DAMAS_Daily!E40,DAMAS_Daily!F40)</f>
        <v/>
      </c>
      <c r="I40" s="43">
        <f>IF(C40="aFRR+",DAMAS_Daily!G40,DAMAS_Daily!H40)</f>
        <v/>
      </c>
      <c r="J40" s="45">
        <f>IF(C40="aFRR+",DAMAS_Daily!C40,DAMAS_Daily!D40)</f>
        <v/>
      </c>
      <c r="K40" s="45">
        <f>IF(C40="aFRR+",MIN(DAMAS_Daily!C40*market_share_B*acceptance_rate*stack_activation,power_mw*hours_per_day,capacity_mwh),MIN(DAMAS_Daily!D40*market_share_B*acceptance_rate*stack_activation,power_mw*hours_per_day,capacity_mwh))</f>
        <v/>
      </c>
      <c r="L40" s="42">
        <f>IF(K40&gt;=capacity_mwh-0.01,"yes","no")</f>
        <v/>
      </c>
      <c r="M40" s="18">
        <f>IF(C40="aFRR+",(MIN(DAMAS_Daily!C40*market_share_B*acceptance_rate*stack_activation,power_mw*hours_per_day,capacity_mwh))*DAMAS_Daily!E40*activation_mult_B,(MIN(DAMAS_Daily!D40*market_share_B*acceptance_rate*stack_activation,power_mw*hours_per_day,capacity_mwh))*DAMAS_Daily!F40*activation_mult_B)</f>
        <v/>
      </c>
      <c r="N40" s="19">
        <f>F40+M40</f>
        <v/>
      </c>
    </row>
    <row r="41">
      <c r="A41" s="41">
        <f>DAMAS_Daily!A41</f>
        <v/>
      </c>
      <c r="B41" s="42">
        <f>DAMAS_Daily!B41</f>
        <v/>
      </c>
      <c r="C41" s="42">
        <f>IF((power_mw*hours_per_day*damas_afrr_up*capacity_mult_B*stack_capacity*acceptance_rate+(MIN(DAMAS_Daily!C41*market_share_B*acceptance_rate*stack_activation,power_mw*hours_per_day,capacity_mwh))*DAMAS_Daily!E41*activation_mult_B)&gt;=(power_mw*hours_per_day*damas_afrr_down*capacity_mult_B*stack_capacity*acceptance_rate+(MIN(DAMAS_Daily!D41*market_share_B*acceptance_rate*stack_activation,power_mw*hours_per_day,capacity_mwh))*DAMAS_Daily!F41*activation_mult_B),"aFRR+","aFRR-")</f>
        <v/>
      </c>
      <c r="D41" s="43">
        <f>IF(C41="aFRR+",damas_afrr_up*capacity_mult_B,damas_afrr_down*capacity_mult_B)</f>
        <v/>
      </c>
      <c r="E41" s="44">
        <f>acceptance_rate</f>
        <v/>
      </c>
      <c r="F41" s="18">
        <f>IF(C41="aFRR+",power_mw*hours_per_day*damas_afrr_up*capacity_mult_B*stack_capacity*acceptance_rate,power_mw*hours_per_day*damas_afrr_down*capacity_mult_B*stack_capacity*acceptance_rate)</f>
        <v/>
      </c>
      <c r="G41" s="42">
        <f>IF(C41="aFRR+",DAMAS_Daily!I41,DAMAS_Daily!J41)</f>
        <v/>
      </c>
      <c r="H41" s="43">
        <f>IF(C41="aFRR+",DAMAS_Daily!E41,DAMAS_Daily!F41)</f>
        <v/>
      </c>
      <c r="I41" s="43">
        <f>IF(C41="aFRR+",DAMAS_Daily!G41,DAMAS_Daily!H41)</f>
        <v/>
      </c>
      <c r="J41" s="45">
        <f>IF(C41="aFRR+",DAMAS_Daily!C41,DAMAS_Daily!D41)</f>
        <v/>
      </c>
      <c r="K41" s="45">
        <f>IF(C41="aFRR+",MIN(DAMAS_Daily!C41*market_share_B*acceptance_rate*stack_activation,power_mw*hours_per_day,capacity_mwh),MIN(DAMAS_Daily!D41*market_share_B*acceptance_rate*stack_activation,power_mw*hours_per_day,capacity_mwh))</f>
        <v/>
      </c>
      <c r="L41" s="42">
        <f>IF(K41&gt;=capacity_mwh-0.01,"yes","no")</f>
        <v/>
      </c>
      <c r="M41" s="18">
        <f>IF(C41="aFRR+",(MIN(DAMAS_Daily!C41*market_share_B*acceptance_rate*stack_activation,power_mw*hours_per_day,capacity_mwh))*DAMAS_Daily!E41*activation_mult_B,(MIN(DAMAS_Daily!D41*market_share_B*acceptance_rate*stack_activation,power_mw*hours_per_day,capacity_mwh))*DAMAS_Daily!F41*activation_mult_B)</f>
        <v/>
      </c>
      <c r="N41" s="19">
        <f>F41+M41</f>
        <v/>
      </c>
    </row>
    <row r="42">
      <c r="A42" s="41">
        <f>DAMAS_Daily!A42</f>
        <v/>
      </c>
      <c r="B42" s="42">
        <f>DAMAS_Daily!B42</f>
        <v/>
      </c>
      <c r="C42" s="42">
        <f>IF((power_mw*hours_per_day*damas_afrr_up*capacity_mult_B*stack_capacity*acceptance_rate+(MIN(DAMAS_Daily!C42*market_share_B*acceptance_rate*stack_activation,power_mw*hours_per_day,capacity_mwh))*DAMAS_Daily!E42*activation_mult_B)&gt;=(power_mw*hours_per_day*damas_afrr_down*capacity_mult_B*stack_capacity*acceptance_rate+(MIN(DAMAS_Daily!D42*market_share_B*acceptance_rate*stack_activation,power_mw*hours_per_day,capacity_mwh))*DAMAS_Daily!F42*activation_mult_B),"aFRR+","aFRR-")</f>
        <v/>
      </c>
      <c r="D42" s="43">
        <f>IF(C42="aFRR+",damas_afrr_up*capacity_mult_B,damas_afrr_down*capacity_mult_B)</f>
        <v/>
      </c>
      <c r="E42" s="44">
        <f>acceptance_rate</f>
        <v/>
      </c>
      <c r="F42" s="18">
        <f>IF(C42="aFRR+",power_mw*hours_per_day*damas_afrr_up*capacity_mult_B*stack_capacity*acceptance_rate,power_mw*hours_per_day*damas_afrr_down*capacity_mult_B*stack_capacity*acceptance_rate)</f>
        <v/>
      </c>
      <c r="G42" s="42">
        <f>IF(C42="aFRR+",DAMAS_Daily!I42,DAMAS_Daily!J42)</f>
        <v/>
      </c>
      <c r="H42" s="43">
        <f>IF(C42="aFRR+",DAMAS_Daily!E42,DAMAS_Daily!F42)</f>
        <v/>
      </c>
      <c r="I42" s="43">
        <f>IF(C42="aFRR+",DAMAS_Daily!G42,DAMAS_Daily!H42)</f>
        <v/>
      </c>
      <c r="J42" s="45">
        <f>IF(C42="aFRR+",DAMAS_Daily!C42,DAMAS_Daily!D42)</f>
        <v/>
      </c>
      <c r="K42" s="45">
        <f>IF(C42="aFRR+",MIN(DAMAS_Daily!C42*market_share_B*acceptance_rate*stack_activation,power_mw*hours_per_day,capacity_mwh),MIN(DAMAS_Daily!D42*market_share_B*acceptance_rate*stack_activation,power_mw*hours_per_day,capacity_mwh))</f>
        <v/>
      </c>
      <c r="L42" s="42">
        <f>IF(K42&gt;=capacity_mwh-0.01,"yes","no")</f>
        <v/>
      </c>
      <c r="M42" s="18">
        <f>IF(C42="aFRR+",(MIN(DAMAS_Daily!C42*market_share_B*acceptance_rate*stack_activation,power_mw*hours_per_day,capacity_mwh))*DAMAS_Daily!E42*activation_mult_B,(MIN(DAMAS_Daily!D42*market_share_B*acceptance_rate*stack_activation,power_mw*hours_per_day,capacity_mwh))*DAMAS_Daily!F42*activation_mult_B)</f>
        <v/>
      </c>
      <c r="N42" s="19">
        <f>F42+M42</f>
        <v/>
      </c>
    </row>
    <row r="43">
      <c r="A43" s="41">
        <f>DAMAS_Daily!A43</f>
        <v/>
      </c>
      <c r="B43" s="42">
        <f>DAMAS_Daily!B43</f>
        <v/>
      </c>
      <c r="C43" s="42">
        <f>IF((power_mw*hours_per_day*damas_afrr_up*capacity_mult_B*stack_capacity*acceptance_rate+(MIN(DAMAS_Daily!C43*market_share_B*acceptance_rate*stack_activation,power_mw*hours_per_day,capacity_mwh))*DAMAS_Daily!E43*activation_mult_B)&gt;=(power_mw*hours_per_day*damas_afrr_down*capacity_mult_B*stack_capacity*acceptance_rate+(MIN(DAMAS_Daily!D43*market_share_B*acceptance_rate*stack_activation,power_mw*hours_per_day,capacity_mwh))*DAMAS_Daily!F43*activation_mult_B),"aFRR+","aFRR-")</f>
        <v/>
      </c>
      <c r="D43" s="43">
        <f>IF(C43="aFRR+",damas_afrr_up*capacity_mult_B,damas_afrr_down*capacity_mult_B)</f>
        <v/>
      </c>
      <c r="E43" s="44">
        <f>acceptance_rate</f>
        <v/>
      </c>
      <c r="F43" s="18">
        <f>IF(C43="aFRR+",power_mw*hours_per_day*damas_afrr_up*capacity_mult_B*stack_capacity*acceptance_rate,power_mw*hours_per_day*damas_afrr_down*capacity_mult_B*stack_capacity*acceptance_rate)</f>
        <v/>
      </c>
      <c r="G43" s="42">
        <f>IF(C43="aFRR+",DAMAS_Daily!I43,DAMAS_Daily!J43)</f>
        <v/>
      </c>
      <c r="H43" s="43">
        <f>IF(C43="aFRR+",DAMAS_Daily!E43,DAMAS_Daily!F43)</f>
        <v/>
      </c>
      <c r="I43" s="43">
        <f>IF(C43="aFRR+",DAMAS_Daily!G43,DAMAS_Daily!H43)</f>
        <v/>
      </c>
      <c r="J43" s="45">
        <f>IF(C43="aFRR+",DAMAS_Daily!C43,DAMAS_Daily!D43)</f>
        <v/>
      </c>
      <c r="K43" s="45">
        <f>IF(C43="aFRR+",MIN(DAMAS_Daily!C43*market_share_B*acceptance_rate*stack_activation,power_mw*hours_per_day,capacity_mwh),MIN(DAMAS_Daily!D43*market_share_B*acceptance_rate*stack_activation,power_mw*hours_per_day,capacity_mwh))</f>
        <v/>
      </c>
      <c r="L43" s="42">
        <f>IF(K43&gt;=capacity_mwh-0.01,"yes","no")</f>
        <v/>
      </c>
      <c r="M43" s="18">
        <f>IF(C43="aFRR+",(MIN(DAMAS_Daily!C43*market_share_B*acceptance_rate*stack_activation,power_mw*hours_per_day,capacity_mwh))*DAMAS_Daily!E43*activation_mult_B,(MIN(DAMAS_Daily!D43*market_share_B*acceptance_rate*stack_activation,power_mw*hours_per_day,capacity_mwh))*DAMAS_Daily!F43*activation_mult_B)</f>
        <v/>
      </c>
      <c r="N43" s="19">
        <f>F43+M43</f>
        <v/>
      </c>
    </row>
    <row r="44">
      <c r="A44" s="41">
        <f>DAMAS_Daily!A44</f>
        <v/>
      </c>
      <c r="B44" s="42">
        <f>DAMAS_Daily!B44</f>
        <v/>
      </c>
      <c r="C44" s="42">
        <f>IF((power_mw*hours_per_day*damas_afrr_up*capacity_mult_B*stack_capacity*acceptance_rate+(MIN(DAMAS_Daily!C44*market_share_B*acceptance_rate*stack_activation,power_mw*hours_per_day,capacity_mwh))*DAMAS_Daily!E44*activation_mult_B)&gt;=(power_mw*hours_per_day*damas_afrr_down*capacity_mult_B*stack_capacity*acceptance_rate+(MIN(DAMAS_Daily!D44*market_share_B*acceptance_rate*stack_activation,power_mw*hours_per_day,capacity_mwh))*DAMAS_Daily!F44*activation_mult_B),"aFRR+","aFRR-")</f>
        <v/>
      </c>
      <c r="D44" s="43">
        <f>IF(C44="aFRR+",damas_afrr_up*capacity_mult_B,damas_afrr_down*capacity_mult_B)</f>
        <v/>
      </c>
      <c r="E44" s="44">
        <f>acceptance_rate</f>
        <v/>
      </c>
      <c r="F44" s="18">
        <f>IF(C44="aFRR+",power_mw*hours_per_day*damas_afrr_up*capacity_mult_B*stack_capacity*acceptance_rate,power_mw*hours_per_day*damas_afrr_down*capacity_mult_B*stack_capacity*acceptance_rate)</f>
        <v/>
      </c>
      <c r="G44" s="42">
        <f>IF(C44="aFRR+",DAMAS_Daily!I44,DAMAS_Daily!J44)</f>
        <v/>
      </c>
      <c r="H44" s="43">
        <f>IF(C44="aFRR+",DAMAS_Daily!E44,DAMAS_Daily!F44)</f>
        <v/>
      </c>
      <c r="I44" s="43">
        <f>IF(C44="aFRR+",DAMAS_Daily!G44,DAMAS_Daily!H44)</f>
        <v/>
      </c>
      <c r="J44" s="45">
        <f>IF(C44="aFRR+",DAMAS_Daily!C44,DAMAS_Daily!D44)</f>
        <v/>
      </c>
      <c r="K44" s="45">
        <f>IF(C44="aFRR+",MIN(DAMAS_Daily!C44*market_share_B*acceptance_rate*stack_activation,power_mw*hours_per_day,capacity_mwh),MIN(DAMAS_Daily!D44*market_share_B*acceptance_rate*stack_activation,power_mw*hours_per_day,capacity_mwh))</f>
        <v/>
      </c>
      <c r="L44" s="42">
        <f>IF(K44&gt;=capacity_mwh-0.01,"yes","no")</f>
        <v/>
      </c>
      <c r="M44" s="18">
        <f>IF(C44="aFRR+",(MIN(DAMAS_Daily!C44*market_share_B*acceptance_rate*stack_activation,power_mw*hours_per_day,capacity_mwh))*DAMAS_Daily!E44*activation_mult_B,(MIN(DAMAS_Daily!D44*market_share_B*acceptance_rate*stack_activation,power_mw*hours_per_day,capacity_mwh))*DAMAS_Daily!F44*activation_mult_B)</f>
        <v/>
      </c>
      <c r="N44" s="19">
        <f>F44+M44</f>
        <v/>
      </c>
    </row>
    <row r="45">
      <c r="A45" s="41">
        <f>DAMAS_Daily!A45</f>
        <v/>
      </c>
      <c r="B45" s="42">
        <f>DAMAS_Daily!B45</f>
        <v/>
      </c>
      <c r="C45" s="42">
        <f>IF((power_mw*hours_per_day*damas_afrr_up*capacity_mult_B*stack_capacity*acceptance_rate+(MIN(DAMAS_Daily!C45*market_share_B*acceptance_rate*stack_activation,power_mw*hours_per_day,capacity_mwh))*DAMAS_Daily!E45*activation_mult_B)&gt;=(power_mw*hours_per_day*damas_afrr_down*capacity_mult_B*stack_capacity*acceptance_rate+(MIN(DAMAS_Daily!D45*market_share_B*acceptance_rate*stack_activation,power_mw*hours_per_day,capacity_mwh))*DAMAS_Daily!F45*activation_mult_B),"aFRR+","aFRR-")</f>
        <v/>
      </c>
      <c r="D45" s="43">
        <f>IF(C45="aFRR+",damas_afrr_up*capacity_mult_B,damas_afrr_down*capacity_mult_B)</f>
        <v/>
      </c>
      <c r="E45" s="44">
        <f>acceptance_rate</f>
        <v/>
      </c>
      <c r="F45" s="18">
        <f>IF(C45="aFRR+",power_mw*hours_per_day*damas_afrr_up*capacity_mult_B*stack_capacity*acceptance_rate,power_mw*hours_per_day*damas_afrr_down*capacity_mult_B*stack_capacity*acceptance_rate)</f>
        <v/>
      </c>
      <c r="G45" s="42">
        <f>IF(C45="aFRR+",DAMAS_Daily!I45,DAMAS_Daily!J45)</f>
        <v/>
      </c>
      <c r="H45" s="43">
        <f>IF(C45="aFRR+",DAMAS_Daily!E45,DAMAS_Daily!F45)</f>
        <v/>
      </c>
      <c r="I45" s="43">
        <f>IF(C45="aFRR+",DAMAS_Daily!G45,DAMAS_Daily!H45)</f>
        <v/>
      </c>
      <c r="J45" s="45">
        <f>IF(C45="aFRR+",DAMAS_Daily!C45,DAMAS_Daily!D45)</f>
        <v/>
      </c>
      <c r="K45" s="45">
        <f>IF(C45="aFRR+",MIN(DAMAS_Daily!C45*market_share_B*acceptance_rate*stack_activation,power_mw*hours_per_day,capacity_mwh),MIN(DAMAS_Daily!D45*market_share_B*acceptance_rate*stack_activation,power_mw*hours_per_day,capacity_mwh))</f>
        <v/>
      </c>
      <c r="L45" s="42">
        <f>IF(K45&gt;=capacity_mwh-0.01,"yes","no")</f>
        <v/>
      </c>
      <c r="M45" s="18">
        <f>IF(C45="aFRR+",(MIN(DAMAS_Daily!C45*market_share_B*acceptance_rate*stack_activation,power_mw*hours_per_day,capacity_mwh))*DAMAS_Daily!E45*activation_mult_B,(MIN(DAMAS_Daily!D45*market_share_B*acceptance_rate*stack_activation,power_mw*hours_per_day,capacity_mwh))*DAMAS_Daily!F45*activation_mult_B)</f>
        <v/>
      </c>
      <c r="N45" s="19">
        <f>F45+M45</f>
        <v/>
      </c>
    </row>
    <row r="46">
      <c r="A46" s="41">
        <f>DAMAS_Daily!A46</f>
        <v/>
      </c>
      <c r="B46" s="42">
        <f>DAMAS_Daily!B46</f>
        <v/>
      </c>
      <c r="C46" s="42">
        <f>IF((power_mw*hours_per_day*damas_afrr_up*capacity_mult_B*stack_capacity*acceptance_rate+(MIN(DAMAS_Daily!C46*market_share_B*acceptance_rate*stack_activation,power_mw*hours_per_day,capacity_mwh))*DAMAS_Daily!E46*activation_mult_B)&gt;=(power_mw*hours_per_day*damas_afrr_down*capacity_mult_B*stack_capacity*acceptance_rate+(MIN(DAMAS_Daily!D46*market_share_B*acceptance_rate*stack_activation,power_mw*hours_per_day,capacity_mwh))*DAMAS_Daily!F46*activation_mult_B),"aFRR+","aFRR-")</f>
        <v/>
      </c>
      <c r="D46" s="43">
        <f>IF(C46="aFRR+",damas_afrr_up*capacity_mult_B,damas_afrr_down*capacity_mult_B)</f>
        <v/>
      </c>
      <c r="E46" s="44">
        <f>acceptance_rate</f>
        <v/>
      </c>
      <c r="F46" s="18">
        <f>IF(C46="aFRR+",power_mw*hours_per_day*damas_afrr_up*capacity_mult_B*stack_capacity*acceptance_rate,power_mw*hours_per_day*damas_afrr_down*capacity_mult_B*stack_capacity*acceptance_rate)</f>
        <v/>
      </c>
      <c r="G46" s="42">
        <f>IF(C46="aFRR+",DAMAS_Daily!I46,DAMAS_Daily!J46)</f>
        <v/>
      </c>
      <c r="H46" s="43">
        <f>IF(C46="aFRR+",DAMAS_Daily!E46,DAMAS_Daily!F46)</f>
        <v/>
      </c>
      <c r="I46" s="43">
        <f>IF(C46="aFRR+",DAMAS_Daily!G46,DAMAS_Daily!H46)</f>
        <v/>
      </c>
      <c r="J46" s="45">
        <f>IF(C46="aFRR+",DAMAS_Daily!C46,DAMAS_Daily!D46)</f>
        <v/>
      </c>
      <c r="K46" s="45">
        <f>IF(C46="aFRR+",MIN(DAMAS_Daily!C46*market_share_B*acceptance_rate*stack_activation,power_mw*hours_per_day,capacity_mwh),MIN(DAMAS_Daily!D46*market_share_B*acceptance_rate*stack_activation,power_mw*hours_per_day,capacity_mwh))</f>
        <v/>
      </c>
      <c r="L46" s="42">
        <f>IF(K46&gt;=capacity_mwh-0.01,"yes","no")</f>
        <v/>
      </c>
      <c r="M46" s="18">
        <f>IF(C46="aFRR+",(MIN(DAMAS_Daily!C46*market_share_B*acceptance_rate*stack_activation,power_mw*hours_per_day,capacity_mwh))*DAMAS_Daily!E46*activation_mult_B,(MIN(DAMAS_Daily!D46*market_share_B*acceptance_rate*stack_activation,power_mw*hours_per_day,capacity_mwh))*DAMAS_Daily!F46*activation_mult_B)</f>
        <v/>
      </c>
      <c r="N46" s="19">
        <f>F46+M46</f>
        <v/>
      </c>
    </row>
    <row r="47">
      <c r="A47" s="41">
        <f>DAMAS_Daily!A47</f>
        <v/>
      </c>
      <c r="B47" s="42">
        <f>DAMAS_Daily!B47</f>
        <v/>
      </c>
      <c r="C47" s="42">
        <f>IF((power_mw*hours_per_day*damas_afrr_up*capacity_mult_B*stack_capacity*acceptance_rate+(MIN(DAMAS_Daily!C47*market_share_B*acceptance_rate*stack_activation,power_mw*hours_per_day,capacity_mwh))*DAMAS_Daily!E47*activation_mult_B)&gt;=(power_mw*hours_per_day*damas_afrr_down*capacity_mult_B*stack_capacity*acceptance_rate+(MIN(DAMAS_Daily!D47*market_share_B*acceptance_rate*stack_activation,power_mw*hours_per_day,capacity_mwh))*DAMAS_Daily!F47*activation_mult_B),"aFRR+","aFRR-")</f>
        <v/>
      </c>
      <c r="D47" s="43">
        <f>IF(C47="aFRR+",damas_afrr_up*capacity_mult_B,damas_afrr_down*capacity_mult_B)</f>
        <v/>
      </c>
      <c r="E47" s="44">
        <f>acceptance_rate</f>
        <v/>
      </c>
      <c r="F47" s="18">
        <f>IF(C47="aFRR+",power_mw*hours_per_day*damas_afrr_up*capacity_mult_B*stack_capacity*acceptance_rate,power_mw*hours_per_day*damas_afrr_down*capacity_mult_B*stack_capacity*acceptance_rate)</f>
        <v/>
      </c>
      <c r="G47" s="42">
        <f>IF(C47="aFRR+",DAMAS_Daily!I47,DAMAS_Daily!J47)</f>
        <v/>
      </c>
      <c r="H47" s="43">
        <f>IF(C47="aFRR+",DAMAS_Daily!E47,DAMAS_Daily!F47)</f>
        <v/>
      </c>
      <c r="I47" s="43">
        <f>IF(C47="aFRR+",DAMAS_Daily!G47,DAMAS_Daily!H47)</f>
        <v/>
      </c>
      <c r="J47" s="45">
        <f>IF(C47="aFRR+",DAMAS_Daily!C47,DAMAS_Daily!D47)</f>
        <v/>
      </c>
      <c r="K47" s="45">
        <f>IF(C47="aFRR+",MIN(DAMAS_Daily!C47*market_share_B*acceptance_rate*stack_activation,power_mw*hours_per_day,capacity_mwh),MIN(DAMAS_Daily!D47*market_share_B*acceptance_rate*stack_activation,power_mw*hours_per_day,capacity_mwh))</f>
        <v/>
      </c>
      <c r="L47" s="42">
        <f>IF(K47&gt;=capacity_mwh-0.01,"yes","no")</f>
        <v/>
      </c>
      <c r="M47" s="18">
        <f>IF(C47="aFRR+",(MIN(DAMAS_Daily!C47*market_share_B*acceptance_rate*stack_activation,power_mw*hours_per_day,capacity_mwh))*DAMAS_Daily!E47*activation_mult_B,(MIN(DAMAS_Daily!D47*market_share_B*acceptance_rate*stack_activation,power_mw*hours_per_day,capacity_mwh))*DAMAS_Daily!F47*activation_mult_B)</f>
        <v/>
      </c>
      <c r="N47" s="19">
        <f>F47+M47</f>
        <v/>
      </c>
    </row>
    <row r="48">
      <c r="A48" s="41">
        <f>DAMAS_Daily!A48</f>
        <v/>
      </c>
      <c r="B48" s="42">
        <f>DAMAS_Daily!B48</f>
        <v/>
      </c>
      <c r="C48" s="42">
        <f>IF((power_mw*hours_per_day*damas_afrr_up*capacity_mult_B*stack_capacity*acceptance_rate+(MIN(DAMAS_Daily!C48*market_share_B*acceptance_rate*stack_activation,power_mw*hours_per_day,capacity_mwh))*DAMAS_Daily!E48*activation_mult_B)&gt;=(power_mw*hours_per_day*damas_afrr_down*capacity_mult_B*stack_capacity*acceptance_rate+(MIN(DAMAS_Daily!D48*market_share_B*acceptance_rate*stack_activation,power_mw*hours_per_day,capacity_mwh))*DAMAS_Daily!F48*activation_mult_B),"aFRR+","aFRR-")</f>
        <v/>
      </c>
      <c r="D48" s="43">
        <f>IF(C48="aFRR+",damas_afrr_up*capacity_mult_B,damas_afrr_down*capacity_mult_B)</f>
        <v/>
      </c>
      <c r="E48" s="44">
        <f>acceptance_rate</f>
        <v/>
      </c>
      <c r="F48" s="18">
        <f>IF(C48="aFRR+",power_mw*hours_per_day*damas_afrr_up*capacity_mult_B*stack_capacity*acceptance_rate,power_mw*hours_per_day*damas_afrr_down*capacity_mult_B*stack_capacity*acceptance_rate)</f>
        <v/>
      </c>
      <c r="G48" s="42">
        <f>IF(C48="aFRR+",DAMAS_Daily!I48,DAMAS_Daily!J48)</f>
        <v/>
      </c>
      <c r="H48" s="43">
        <f>IF(C48="aFRR+",DAMAS_Daily!E48,DAMAS_Daily!F48)</f>
        <v/>
      </c>
      <c r="I48" s="43">
        <f>IF(C48="aFRR+",DAMAS_Daily!G48,DAMAS_Daily!H48)</f>
        <v/>
      </c>
      <c r="J48" s="45">
        <f>IF(C48="aFRR+",DAMAS_Daily!C48,DAMAS_Daily!D48)</f>
        <v/>
      </c>
      <c r="K48" s="45">
        <f>IF(C48="aFRR+",MIN(DAMAS_Daily!C48*market_share_B*acceptance_rate*stack_activation,power_mw*hours_per_day,capacity_mwh),MIN(DAMAS_Daily!D48*market_share_B*acceptance_rate*stack_activation,power_mw*hours_per_day,capacity_mwh))</f>
        <v/>
      </c>
      <c r="L48" s="42">
        <f>IF(K48&gt;=capacity_mwh-0.01,"yes","no")</f>
        <v/>
      </c>
      <c r="M48" s="18">
        <f>IF(C48="aFRR+",(MIN(DAMAS_Daily!C48*market_share_B*acceptance_rate*stack_activation,power_mw*hours_per_day,capacity_mwh))*DAMAS_Daily!E48*activation_mult_B,(MIN(DAMAS_Daily!D48*market_share_B*acceptance_rate*stack_activation,power_mw*hours_per_day,capacity_mwh))*DAMAS_Daily!F48*activation_mult_B)</f>
        <v/>
      </c>
      <c r="N48" s="19">
        <f>F48+M48</f>
        <v/>
      </c>
    </row>
    <row r="49">
      <c r="A49" s="41">
        <f>DAMAS_Daily!A49</f>
        <v/>
      </c>
      <c r="B49" s="42">
        <f>DAMAS_Daily!B49</f>
        <v/>
      </c>
      <c r="C49" s="42">
        <f>IF((power_mw*hours_per_day*damas_afrr_up*capacity_mult_B*stack_capacity*acceptance_rate+(MIN(DAMAS_Daily!C49*market_share_B*acceptance_rate*stack_activation,power_mw*hours_per_day,capacity_mwh))*DAMAS_Daily!E49*activation_mult_B)&gt;=(power_mw*hours_per_day*damas_afrr_down*capacity_mult_B*stack_capacity*acceptance_rate+(MIN(DAMAS_Daily!D49*market_share_B*acceptance_rate*stack_activation,power_mw*hours_per_day,capacity_mwh))*DAMAS_Daily!F49*activation_mult_B),"aFRR+","aFRR-")</f>
        <v/>
      </c>
      <c r="D49" s="43">
        <f>IF(C49="aFRR+",damas_afrr_up*capacity_mult_B,damas_afrr_down*capacity_mult_B)</f>
        <v/>
      </c>
      <c r="E49" s="44">
        <f>acceptance_rate</f>
        <v/>
      </c>
      <c r="F49" s="18">
        <f>IF(C49="aFRR+",power_mw*hours_per_day*damas_afrr_up*capacity_mult_B*stack_capacity*acceptance_rate,power_mw*hours_per_day*damas_afrr_down*capacity_mult_B*stack_capacity*acceptance_rate)</f>
        <v/>
      </c>
      <c r="G49" s="42">
        <f>IF(C49="aFRR+",DAMAS_Daily!I49,DAMAS_Daily!J49)</f>
        <v/>
      </c>
      <c r="H49" s="43">
        <f>IF(C49="aFRR+",DAMAS_Daily!E49,DAMAS_Daily!F49)</f>
        <v/>
      </c>
      <c r="I49" s="43">
        <f>IF(C49="aFRR+",DAMAS_Daily!G49,DAMAS_Daily!H49)</f>
        <v/>
      </c>
      <c r="J49" s="45">
        <f>IF(C49="aFRR+",DAMAS_Daily!C49,DAMAS_Daily!D49)</f>
        <v/>
      </c>
      <c r="K49" s="45">
        <f>IF(C49="aFRR+",MIN(DAMAS_Daily!C49*market_share_B*acceptance_rate*stack_activation,power_mw*hours_per_day,capacity_mwh),MIN(DAMAS_Daily!D49*market_share_B*acceptance_rate*stack_activation,power_mw*hours_per_day,capacity_mwh))</f>
        <v/>
      </c>
      <c r="L49" s="42">
        <f>IF(K49&gt;=capacity_mwh-0.01,"yes","no")</f>
        <v/>
      </c>
      <c r="M49" s="18">
        <f>IF(C49="aFRR+",(MIN(DAMAS_Daily!C49*market_share_B*acceptance_rate*stack_activation,power_mw*hours_per_day,capacity_mwh))*DAMAS_Daily!E49*activation_mult_B,(MIN(DAMAS_Daily!D49*market_share_B*acceptance_rate*stack_activation,power_mw*hours_per_day,capacity_mwh))*DAMAS_Daily!F49*activation_mult_B)</f>
        <v/>
      </c>
      <c r="N49" s="19">
        <f>F49+M49</f>
        <v/>
      </c>
    </row>
    <row r="50">
      <c r="A50" s="41">
        <f>DAMAS_Daily!A50</f>
        <v/>
      </c>
      <c r="B50" s="42">
        <f>DAMAS_Daily!B50</f>
        <v/>
      </c>
      <c r="C50" s="42">
        <f>IF((power_mw*hours_per_day*damas_afrr_up*capacity_mult_B*stack_capacity*acceptance_rate+(MIN(DAMAS_Daily!C50*market_share_B*acceptance_rate*stack_activation,power_mw*hours_per_day,capacity_mwh))*DAMAS_Daily!E50*activation_mult_B)&gt;=(power_mw*hours_per_day*damas_afrr_down*capacity_mult_B*stack_capacity*acceptance_rate+(MIN(DAMAS_Daily!D50*market_share_B*acceptance_rate*stack_activation,power_mw*hours_per_day,capacity_mwh))*DAMAS_Daily!F50*activation_mult_B),"aFRR+","aFRR-")</f>
        <v/>
      </c>
      <c r="D50" s="43">
        <f>IF(C50="aFRR+",damas_afrr_up*capacity_mult_B,damas_afrr_down*capacity_mult_B)</f>
        <v/>
      </c>
      <c r="E50" s="44">
        <f>acceptance_rate</f>
        <v/>
      </c>
      <c r="F50" s="18">
        <f>IF(C50="aFRR+",power_mw*hours_per_day*damas_afrr_up*capacity_mult_B*stack_capacity*acceptance_rate,power_mw*hours_per_day*damas_afrr_down*capacity_mult_B*stack_capacity*acceptance_rate)</f>
        <v/>
      </c>
      <c r="G50" s="42">
        <f>IF(C50="aFRR+",DAMAS_Daily!I50,DAMAS_Daily!J50)</f>
        <v/>
      </c>
      <c r="H50" s="43">
        <f>IF(C50="aFRR+",DAMAS_Daily!E50,DAMAS_Daily!F50)</f>
        <v/>
      </c>
      <c r="I50" s="43">
        <f>IF(C50="aFRR+",DAMAS_Daily!G50,DAMAS_Daily!H50)</f>
        <v/>
      </c>
      <c r="J50" s="45">
        <f>IF(C50="aFRR+",DAMAS_Daily!C50,DAMAS_Daily!D50)</f>
        <v/>
      </c>
      <c r="K50" s="45">
        <f>IF(C50="aFRR+",MIN(DAMAS_Daily!C50*market_share_B*acceptance_rate*stack_activation,power_mw*hours_per_day,capacity_mwh),MIN(DAMAS_Daily!D50*market_share_B*acceptance_rate*stack_activation,power_mw*hours_per_day,capacity_mwh))</f>
        <v/>
      </c>
      <c r="L50" s="42">
        <f>IF(K50&gt;=capacity_mwh-0.01,"yes","no")</f>
        <v/>
      </c>
      <c r="M50" s="18">
        <f>IF(C50="aFRR+",(MIN(DAMAS_Daily!C50*market_share_B*acceptance_rate*stack_activation,power_mw*hours_per_day,capacity_mwh))*DAMAS_Daily!E50*activation_mult_B,(MIN(DAMAS_Daily!D50*market_share_B*acceptance_rate*stack_activation,power_mw*hours_per_day,capacity_mwh))*DAMAS_Daily!F50*activation_mult_B)</f>
        <v/>
      </c>
      <c r="N50" s="19">
        <f>F50+M50</f>
        <v/>
      </c>
    </row>
    <row r="51">
      <c r="A51" s="41">
        <f>DAMAS_Daily!A51</f>
        <v/>
      </c>
      <c r="B51" s="42">
        <f>DAMAS_Daily!B51</f>
        <v/>
      </c>
      <c r="C51" s="42">
        <f>IF((power_mw*hours_per_day*damas_afrr_up*capacity_mult_B*stack_capacity*acceptance_rate+(MIN(DAMAS_Daily!C51*market_share_B*acceptance_rate*stack_activation,power_mw*hours_per_day,capacity_mwh))*DAMAS_Daily!E51*activation_mult_B)&gt;=(power_mw*hours_per_day*damas_afrr_down*capacity_mult_B*stack_capacity*acceptance_rate+(MIN(DAMAS_Daily!D51*market_share_B*acceptance_rate*stack_activation,power_mw*hours_per_day,capacity_mwh))*DAMAS_Daily!F51*activation_mult_B),"aFRR+","aFRR-")</f>
        <v/>
      </c>
      <c r="D51" s="43">
        <f>IF(C51="aFRR+",damas_afrr_up*capacity_mult_B,damas_afrr_down*capacity_mult_B)</f>
        <v/>
      </c>
      <c r="E51" s="44">
        <f>acceptance_rate</f>
        <v/>
      </c>
      <c r="F51" s="18">
        <f>IF(C51="aFRR+",power_mw*hours_per_day*damas_afrr_up*capacity_mult_B*stack_capacity*acceptance_rate,power_mw*hours_per_day*damas_afrr_down*capacity_mult_B*stack_capacity*acceptance_rate)</f>
        <v/>
      </c>
      <c r="G51" s="42">
        <f>IF(C51="aFRR+",DAMAS_Daily!I51,DAMAS_Daily!J51)</f>
        <v/>
      </c>
      <c r="H51" s="43">
        <f>IF(C51="aFRR+",DAMAS_Daily!E51,DAMAS_Daily!F51)</f>
        <v/>
      </c>
      <c r="I51" s="43">
        <f>IF(C51="aFRR+",DAMAS_Daily!G51,DAMAS_Daily!H51)</f>
        <v/>
      </c>
      <c r="J51" s="45">
        <f>IF(C51="aFRR+",DAMAS_Daily!C51,DAMAS_Daily!D51)</f>
        <v/>
      </c>
      <c r="K51" s="45">
        <f>IF(C51="aFRR+",MIN(DAMAS_Daily!C51*market_share_B*acceptance_rate*stack_activation,power_mw*hours_per_day,capacity_mwh),MIN(DAMAS_Daily!D51*market_share_B*acceptance_rate*stack_activation,power_mw*hours_per_day,capacity_mwh))</f>
        <v/>
      </c>
      <c r="L51" s="42">
        <f>IF(K51&gt;=capacity_mwh-0.01,"yes","no")</f>
        <v/>
      </c>
      <c r="M51" s="18">
        <f>IF(C51="aFRR+",(MIN(DAMAS_Daily!C51*market_share_B*acceptance_rate*stack_activation,power_mw*hours_per_day,capacity_mwh))*DAMAS_Daily!E51*activation_mult_B,(MIN(DAMAS_Daily!D51*market_share_B*acceptance_rate*stack_activation,power_mw*hours_per_day,capacity_mwh))*DAMAS_Daily!F51*activation_mult_B)</f>
        <v/>
      </c>
      <c r="N51" s="19">
        <f>F51+M51</f>
        <v/>
      </c>
    </row>
    <row r="52">
      <c r="A52" s="41">
        <f>DAMAS_Daily!A52</f>
        <v/>
      </c>
      <c r="B52" s="42">
        <f>DAMAS_Daily!B52</f>
        <v/>
      </c>
      <c r="C52" s="42">
        <f>IF((power_mw*hours_per_day*damas_afrr_up*capacity_mult_B*stack_capacity*acceptance_rate+(MIN(DAMAS_Daily!C52*market_share_B*acceptance_rate*stack_activation,power_mw*hours_per_day,capacity_mwh))*DAMAS_Daily!E52*activation_mult_B)&gt;=(power_mw*hours_per_day*damas_afrr_down*capacity_mult_B*stack_capacity*acceptance_rate+(MIN(DAMAS_Daily!D52*market_share_B*acceptance_rate*stack_activation,power_mw*hours_per_day,capacity_mwh))*DAMAS_Daily!F52*activation_mult_B),"aFRR+","aFRR-")</f>
        <v/>
      </c>
      <c r="D52" s="43">
        <f>IF(C52="aFRR+",damas_afrr_up*capacity_mult_B,damas_afrr_down*capacity_mult_B)</f>
        <v/>
      </c>
      <c r="E52" s="44">
        <f>acceptance_rate</f>
        <v/>
      </c>
      <c r="F52" s="18">
        <f>IF(C52="aFRR+",power_mw*hours_per_day*damas_afrr_up*capacity_mult_B*stack_capacity*acceptance_rate,power_mw*hours_per_day*damas_afrr_down*capacity_mult_B*stack_capacity*acceptance_rate)</f>
        <v/>
      </c>
      <c r="G52" s="42">
        <f>IF(C52="aFRR+",DAMAS_Daily!I52,DAMAS_Daily!J52)</f>
        <v/>
      </c>
      <c r="H52" s="43">
        <f>IF(C52="aFRR+",DAMAS_Daily!E52,DAMAS_Daily!F52)</f>
        <v/>
      </c>
      <c r="I52" s="43">
        <f>IF(C52="aFRR+",DAMAS_Daily!G52,DAMAS_Daily!H52)</f>
        <v/>
      </c>
      <c r="J52" s="45">
        <f>IF(C52="aFRR+",DAMAS_Daily!C52,DAMAS_Daily!D52)</f>
        <v/>
      </c>
      <c r="K52" s="45">
        <f>IF(C52="aFRR+",MIN(DAMAS_Daily!C52*market_share_B*acceptance_rate*stack_activation,power_mw*hours_per_day,capacity_mwh),MIN(DAMAS_Daily!D52*market_share_B*acceptance_rate*stack_activation,power_mw*hours_per_day,capacity_mwh))</f>
        <v/>
      </c>
      <c r="L52" s="42">
        <f>IF(K52&gt;=capacity_mwh-0.01,"yes","no")</f>
        <v/>
      </c>
      <c r="M52" s="18">
        <f>IF(C52="aFRR+",(MIN(DAMAS_Daily!C52*market_share_B*acceptance_rate*stack_activation,power_mw*hours_per_day,capacity_mwh))*DAMAS_Daily!E52*activation_mult_B,(MIN(DAMAS_Daily!D52*market_share_B*acceptance_rate*stack_activation,power_mw*hours_per_day,capacity_mwh))*DAMAS_Daily!F52*activation_mult_B)</f>
        <v/>
      </c>
      <c r="N52" s="19">
        <f>F52+M52</f>
        <v/>
      </c>
    </row>
    <row r="53">
      <c r="A53" s="41">
        <f>DAMAS_Daily!A53</f>
        <v/>
      </c>
      <c r="B53" s="42">
        <f>DAMAS_Daily!B53</f>
        <v/>
      </c>
      <c r="C53" s="42">
        <f>IF((power_mw*hours_per_day*damas_afrr_up*capacity_mult_B*stack_capacity*acceptance_rate+(MIN(DAMAS_Daily!C53*market_share_B*acceptance_rate*stack_activation,power_mw*hours_per_day,capacity_mwh))*DAMAS_Daily!E53*activation_mult_B)&gt;=(power_mw*hours_per_day*damas_afrr_down*capacity_mult_B*stack_capacity*acceptance_rate+(MIN(DAMAS_Daily!D53*market_share_B*acceptance_rate*stack_activation,power_mw*hours_per_day,capacity_mwh))*DAMAS_Daily!F53*activation_mult_B),"aFRR+","aFRR-")</f>
        <v/>
      </c>
      <c r="D53" s="43">
        <f>IF(C53="aFRR+",damas_afrr_up*capacity_mult_B,damas_afrr_down*capacity_mult_B)</f>
        <v/>
      </c>
      <c r="E53" s="44">
        <f>acceptance_rate</f>
        <v/>
      </c>
      <c r="F53" s="18">
        <f>IF(C53="aFRR+",power_mw*hours_per_day*damas_afrr_up*capacity_mult_B*stack_capacity*acceptance_rate,power_mw*hours_per_day*damas_afrr_down*capacity_mult_B*stack_capacity*acceptance_rate)</f>
        <v/>
      </c>
      <c r="G53" s="42">
        <f>IF(C53="aFRR+",DAMAS_Daily!I53,DAMAS_Daily!J53)</f>
        <v/>
      </c>
      <c r="H53" s="43">
        <f>IF(C53="aFRR+",DAMAS_Daily!E53,DAMAS_Daily!F53)</f>
        <v/>
      </c>
      <c r="I53" s="43">
        <f>IF(C53="aFRR+",DAMAS_Daily!G53,DAMAS_Daily!H53)</f>
        <v/>
      </c>
      <c r="J53" s="45">
        <f>IF(C53="aFRR+",DAMAS_Daily!C53,DAMAS_Daily!D53)</f>
        <v/>
      </c>
      <c r="K53" s="45">
        <f>IF(C53="aFRR+",MIN(DAMAS_Daily!C53*market_share_B*acceptance_rate*stack_activation,power_mw*hours_per_day,capacity_mwh),MIN(DAMAS_Daily!D53*market_share_B*acceptance_rate*stack_activation,power_mw*hours_per_day,capacity_mwh))</f>
        <v/>
      </c>
      <c r="L53" s="42">
        <f>IF(K53&gt;=capacity_mwh-0.01,"yes","no")</f>
        <v/>
      </c>
      <c r="M53" s="18">
        <f>IF(C53="aFRR+",(MIN(DAMAS_Daily!C53*market_share_B*acceptance_rate*stack_activation,power_mw*hours_per_day,capacity_mwh))*DAMAS_Daily!E53*activation_mult_B,(MIN(DAMAS_Daily!D53*market_share_B*acceptance_rate*stack_activation,power_mw*hours_per_day,capacity_mwh))*DAMAS_Daily!F53*activation_mult_B)</f>
        <v/>
      </c>
      <c r="N53" s="19">
        <f>F53+M53</f>
        <v/>
      </c>
    </row>
    <row r="54">
      <c r="A54" s="41">
        <f>DAMAS_Daily!A54</f>
        <v/>
      </c>
      <c r="B54" s="42">
        <f>DAMAS_Daily!B54</f>
        <v/>
      </c>
      <c r="C54" s="42">
        <f>IF((power_mw*hours_per_day*damas_afrr_up*capacity_mult_B*stack_capacity*acceptance_rate+(MIN(DAMAS_Daily!C54*market_share_B*acceptance_rate*stack_activation,power_mw*hours_per_day,capacity_mwh))*DAMAS_Daily!E54*activation_mult_B)&gt;=(power_mw*hours_per_day*damas_afrr_down*capacity_mult_B*stack_capacity*acceptance_rate+(MIN(DAMAS_Daily!D54*market_share_B*acceptance_rate*stack_activation,power_mw*hours_per_day,capacity_mwh))*DAMAS_Daily!F54*activation_mult_B),"aFRR+","aFRR-")</f>
        <v/>
      </c>
      <c r="D54" s="43">
        <f>IF(C54="aFRR+",damas_afrr_up*capacity_mult_B,damas_afrr_down*capacity_mult_B)</f>
        <v/>
      </c>
      <c r="E54" s="44">
        <f>acceptance_rate</f>
        <v/>
      </c>
      <c r="F54" s="18">
        <f>IF(C54="aFRR+",power_mw*hours_per_day*damas_afrr_up*capacity_mult_B*stack_capacity*acceptance_rate,power_mw*hours_per_day*damas_afrr_down*capacity_mult_B*stack_capacity*acceptance_rate)</f>
        <v/>
      </c>
      <c r="G54" s="42">
        <f>IF(C54="aFRR+",DAMAS_Daily!I54,DAMAS_Daily!J54)</f>
        <v/>
      </c>
      <c r="H54" s="43">
        <f>IF(C54="aFRR+",DAMAS_Daily!E54,DAMAS_Daily!F54)</f>
        <v/>
      </c>
      <c r="I54" s="43">
        <f>IF(C54="aFRR+",DAMAS_Daily!G54,DAMAS_Daily!H54)</f>
        <v/>
      </c>
      <c r="J54" s="45">
        <f>IF(C54="aFRR+",DAMAS_Daily!C54,DAMAS_Daily!D54)</f>
        <v/>
      </c>
      <c r="K54" s="45">
        <f>IF(C54="aFRR+",MIN(DAMAS_Daily!C54*market_share_B*acceptance_rate*stack_activation,power_mw*hours_per_day,capacity_mwh),MIN(DAMAS_Daily!D54*market_share_B*acceptance_rate*stack_activation,power_mw*hours_per_day,capacity_mwh))</f>
        <v/>
      </c>
      <c r="L54" s="42">
        <f>IF(K54&gt;=capacity_mwh-0.01,"yes","no")</f>
        <v/>
      </c>
      <c r="M54" s="18">
        <f>IF(C54="aFRR+",(MIN(DAMAS_Daily!C54*market_share_B*acceptance_rate*stack_activation,power_mw*hours_per_day,capacity_mwh))*DAMAS_Daily!E54*activation_mult_B,(MIN(DAMAS_Daily!D54*market_share_B*acceptance_rate*stack_activation,power_mw*hours_per_day,capacity_mwh))*DAMAS_Daily!F54*activation_mult_B)</f>
        <v/>
      </c>
      <c r="N54" s="19">
        <f>F54+M54</f>
        <v/>
      </c>
    </row>
    <row r="55">
      <c r="A55" s="41">
        <f>DAMAS_Daily!A55</f>
        <v/>
      </c>
      <c r="B55" s="42">
        <f>DAMAS_Daily!B55</f>
        <v/>
      </c>
      <c r="C55" s="42">
        <f>IF((power_mw*hours_per_day*damas_afrr_up*capacity_mult_B*stack_capacity*acceptance_rate+(MIN(DAMAS_Daily!C55*market_share_B*acceptance_rate*stack_activation,power_mw*hours_per_day,capacity_mwh))*DAMAS_Daily!E55*activation_mult_B)&gt;=(power_mw*hours_per_day*damas_afrr_down*capacity_mult_B*stack_capacity*acceptance_rate+(MIN(DAMAS_Daily!D55*market_share_B*acceptance_rate*stack_activation,power_mw*hours_per_day,capacity_mwh))*DAMAS_Daily!F55*activation_mult_B),"aFRR+","aFRR-")</f>
        <v/>
      </c>
      <c r="D55" s="43">
        <f>IF(C55="aFRR+",damas_afrr_up*capacity_mult_B,damas_afrr_down*capacity_mult_B)</f>
        <v/>
      </c>
      <c r="E55" s="44">
        <f>acceptance_rate</f>
        <v/>
      </c>
      <c r="F55" s="18">
        <f>IF(C55="aFRR+",power_mw*hours_per_day*damas_afrr_up*capacity_mult_B*stack_capacity*acceptance_rate,power_mw*hours_per_day*damas_afrr_down*capacity_mult_B*stack_capacity*acceptance_rate)</f>
        <v/>
      </c>
      <c r="G55" s="42">
        <f>IF(C55="aFRR+",DAMAS_Daily!I55,DAMAS_Daily!J55)</f>
        <v/>
      </c>
      <c r="H55" s="43">
        <f>IF(C55="aFRR+",DAMAS_Daily!E55,DAMAS_Daily!F55)</f>
        <v/>
      </c>
      <c r="I55" s="43">
        <f>IF(C55="aFRR+",DAMAS_Daily!G55,DAMAS_Daily!H55)</f>
        <v/>
      </c>
      <c r="J55" s="45">
        <f>IF(C55="aFRR+",DAMAS_Daily!C55,DAMAS_Daily!D55)</f>
        <v/>
      </c>
      <c r="K55" s="45">
        <f>IF(C55="aFRR+",MIN(DAMAS_Daily!C55*market_share_B*acceptance_rate*stack_activation,power_mw*hours_per_day,capacity_mwh),MIN(DAMAS_Daily!D55*market_share_B*acceptance_rate*stack_activation,power_mw*hours_per_day,capacity_mwh))</f>
        <v/>
      </c>
      <c r="L55" s="42">
        <f>IF(K55&gt;=capacity_mwh-0.01,"yes","no")</f>
        <v/>
      </c>
      <c r="M55" s="18">
        <f>IF(C55="aFRR+",(MIN(DAMAS_Daily!C55*market_share_B*acceptance_rate*stack_activation,power_mw*hours_per_day,capacity_mwh))*DAMAS_Daily!E55*activation_mult_B,(MIN(DAMAS_Daily!D55*market_share_B*acceptance_rate*stack_activation,power_mw*hours_per_day,capacity_mwh))*DAMAS_Daily!F55*activation_mult_B)</f>
        <v/>
      </c>
      <c r="N55" s="19">
        <f>F55+M55</f>
        <v/>
      </c>
    </row>
    <row r="56">
      <c r="A56" s="41">
        <f>DAMAS_Daily!A56</f>
        <v/>
      </c>
      <c r="B56" s="42">
        <f>DAMAS_Daily!B56</f>
        <v/>
      </c>
      <c r="C56" s="42">
        <f>IF((power_mw*hours_per_day*damas_afrr_up*capacity_mult_B*stack_capacity*acceptance_rate+(MIN(DAMAS_Daily!C56*market_share_B*acceptance_rate*stack_activation,power_mw*hours_per_day,capacity_mwh))*DAMAS_Daily!E56*activation_mult_B)&gt;=(power_mw*hours_per_day*damas_afrr_down*capacity_mult_B*stack_capacity*acceptance_rate+(MIN(DAMAS_Daily!D56*market_share_B*acceptance_rate*stack_activation,power_mw*hours_per_day,capacity_mwh))*DAMAS_Daily!F56*activation_mult_B),"aFRR+","aFRR-")</f>
        <v/>
      </c>
      <c r="D56" s="43">
        <f>IF(C56="aFRR+",damas_afrr_up*capacity_mult_B,damas_afrr_down*capacity_mult_B)</f>
        <v/>
      </c>
      <c r="E56" s="44">
        <f>acceptance_rate</f>
        <v/>
      </c>
      <c r="F56" s="18">
        <f>IF(C56="aFRR+",power_mw*hours_per_day*damas_afrr_up*capacity_mult_B*stack_capacity*acceptance_rate,power_mw*hours_per_day*damas_afrr_down*capacity_mult_B*stack_capacity*acceptance_rate)</f>
        <v/>
      </c>
      <c r="G56" s="42">
        <f>IF(C56="aFRR+",DAMAS_Daily!I56,DAMAS_Daily!J56)</f>
        <v/>
      </c>
      <c r="H56" s="43">
        <f>IF(C56="aFRR+",DAMAS_Daily!E56,DAMAS_Daily!F56)</f>
        <v/>
      </c>
      <c r="I56" s="43">
        <f>IF(C56="aFRR+",DAMAS_Daily!G56,DAMAS_Daily!H56)</f>
        <v/>
      </c>
      <c r="J56" s="45">
        <f>IF(C56="aFRR+",DAMAS_Daily!C56,DAMAS_Daily!D56)</f>
        <v/>
      </c>
      <c r="K56" s="45">
        <f>IF(C56="aFRR+",MIN(DAMAS_Daily!C56*market_share_B*acceptance_rate*stack_activation,power_mw*hours_per_day,capacity_mwh),MIN(DAMAS_Daily!D56*market_share_B*acceptance_rate*stack_activation,power_mw*hours_per_day,capacity_mwh))</f>
        <v/>
      </c>
      <c r="L56" s="42">
        <f>IF(K56&gt;=capacity_mwh-0.01,"yes","no")</f>
        <v/>
      </c>
      <c r="M56" s="18">
        <f>IF(C56="aFRR+",(MIN(DAMAS_Daily!C56*market_share_B*acceptance_rate*stack_activation,power_mw*hours_per_day,capacity_mwh))*DAMAS_Daily!E56*activation_mult_B,(MIN(DAMAS_Daily!D56*market_share_B*acceptance_rate*stack_activation,power_mw*hours_per_day,capacity_mwh))*DAMAS_Daily!F56*activation_mult_B)</f>
        <v/>
      </c>
      <c r="N56" s="19">
        <f>F56+M56</f>
        <v/>
      </c>
    </row>
    <row r="57">
      <c r="A57" s="41">
        <f>DAMAS_Daily!A57</f>
        <v/>
      </c>
      <c r="B57" s="42">
        <f>DAMAS_Daily!B57</f>
        <v/>
      </c>
      <c r="C57" s="42">
        <f>IF((power_mw*hours_per_day*damas_afrr_up*capacity_mult_B*stack_capacity*acceptance_rate+(MIN(DAMAS_Daily!C57*market_share_B*acceptance_rate*stack_activation,power_mw*hours_per_day,capacity_mwh))*DAMAS_Daily!E57*activation_mult_B)&gt;=(power_mw*hours_per_day*damas_afrr_down*capacity_mult_B*stack_capacity*acceptance_rate+(MIN(DAMAS_Daily!D57*market_share_B*acceptance_rate*stack_activation,power_mw*hours_per_day,capacity_mwh))*DAMAS_Daily!F57*activation_mult_B),"aFRR+","aFRR-")</f>
        <v/>
      </c>
      <c r="D57" s="43">
        <f>IF(C57="aFRR+",damas_afrr_up*capacity_mult_B,damas_afrr_down*capacity_mult_B)</f>
        <v/>
      </c>
      <c r="E57" s="44">
        <f>acceptance_rate</f>
        <v/>
      </c>
      <c r="F57" s="18">
        <f>IF(C57="aFRR+",power_mw*hours_per_day*damas_afrr_up*capacity_mult_B*stack_capacity*acceptance_rate,power_mw*hours_per_day*damas_afrr_down*capacity_mult_B*stack_capacity*acceptance_rate)</f>
        <v/>
      </c>
      <c r="G57" s="42">
        <f>IF(C57="aFRR+",DAMAS_Daily!I57,DAMAS_Daily!J57)</f>
        <v/>
      </c>
      <c r="H57" s="43">
        <f>IF(C57="aFRR+",DAMAS_Daily!E57,DAMAS_Daily!F57)</f>
        <v/>
      </c>
      <c r="I57" s="43">
        <f>IF(C57="aFRR+",DAMAS_Daily!G57,DAMAS_Daily!H57)</f>
        <v/>
      </c>
      <c r="J57" s="45">
        <f>IF(C57="aFRR+",DAMAS_Daily!C57,DAMAS_Daily!D57)</f>
        <v/>
      </c>
      <c r="K57" s="45">
        <f>IF(C57="aFRR+",MIN(DAMAS_Daily!C57*market_share_B*acceptance_rate*stack_activation,power_mw*hours_per_day,capacity_mwh),MIN(DAMAS_Daily!D57*market_share_B*acceptance_rate*stack_activation,power_mw*hours_per_day,capacity_mwh))</f>
        <v/>
      </c>
      <c r="L57" s="42">
        <f>IF(K57&gt;=capacity_mwh-0.01,"yes","no")</f>
        <v/>
      </c>
      <c r="M57" s="18">
        <f>IF(C57="aFRR+",(MIN(DAMAS_Daily!C57*market_share_B*acceptance_rate*stack_activation,power_mw*hours_per_day,capacity_mwh))*DAMAS_Daily!E57*activation_mult_B,(MIN(DAMAS_Daily!D57*market_share_B*acceptance_rate*stack_activation,power_mw*hours_per_day,capacity_mwh))*DAMAS_Daily!F57*activation_mult_B)</f>
        <v/>
      </c>
      <c r="N57" s="19">
        <f>F57+M57</f>
        <v/>
      </c>
    </row>
    <row r="58">
      <c r="A58" s="41">
        <f>DAMAS_Daily!A58</f>
        <v/>
      </c>
      <c r="B58" s="42">
        <f>DAMAS_Daily!B58</f>
        <v/>
      </c>
      <c r="C58" s="42">
        <f>IF((power_mw*hours_per_day*damas_afrr_up*capacity_mult_B*stack_capacity*acceptance_rate+(MIN(DAMAS_Daily!C58*market_share_B*acceptance_rate*stack_activation,power_mw*hours_per_day,capacity_mwh))*DAMAS_Daily!E58*activation_mult_B)&gt;=(power_mw*hours_per_day*damas_afrr_down*capacity_mult_B*stack_capacity*acceptance_rate+(MIN(DAMAS_Daily!D58*market_share_B*acceptance_rate*stack_activation,power_mw*hours_per_day,capacity_mwh))*DAMAS_Daily!F58*activation_mult_B),"aFRR+","aFRR-")</f>
        <v/>
      </c>
      <c r="D58" s="43">
        <f>IF(C58="aFRR+",damas_afrr_up*capacity_mult_B,damas_afrr_down*capacity_mult_B)</f>
        <v/>
      </c>
      <c r="E58" s="44">
        <f>acceptance_rate</f>
        <v/>
      </c>
      <c r="F58" s="18">
        <f>IF(C58="aFRR+",power_mw*hours_per_day*damas_afrr_up*capacity_mult_B*stack_capacity*acceptance_rate,power_mw*hours_per_day*damas_afrr_down*capacity_mult_B*stack_capacity*acceptance_rate)</f>
        <v/>
      </c>
      <c r="G58" s="42">
        <f>IF(C58="aFRR+",DAMAS_Daily!I58,DAMAS_Daily!J58)</f>
        <v/>
      </c>
      <c r="H58" s="43">
        <f>IF(C58="aFRR+",DAMAS_Daily!E58,DAMAS_Daily!F58)</f>
        <v/>
      </c>
      <c r="I58" s="43">
        <f>IF(C58="aFRR+",DAMAS_Daily!G58,DAMAS_Daily!H58)</f>
        <v/>
      </c>
      <c r="J58" s="45">
        <f>IF(C58="aFRR+",DAMAS_Daily!C58,DAMAS_Daily!D58)</f>
        <v/>
      </c>
      <c r="K58" s="45">
        <f>IF(C58="aFRR+",MIN(DAMAS_Daily!C58*market_share_B*acceptance_rate*stack_activation,power_mw*hours_per_day,capacity_mwh),MIN(DAMAS_Daily!D58*market_share_B*acceptance_rate*stack_activation,power_mw*hours_per_day,capacity_mwh))</f>
        <v/>
      </c>
      <c r="L58" s="42">
        <f>IF(K58&gt;=capacity_mwh-0.01,"yes","no")</f>
        <v/>
      </c>
      <c r="M58" s="18">
        <f>IF(C58="aFRR+",(MIN(DAMAS_Daily!C58*market_share_B*acceptance_rate*stack_activation,power_mw*hours_per_day,capacity_mwh))*DAMAS_Daily!E58*activation_mult_B,(MIN(DAMAS_Daily!D58*market_share_B*acceptance_rate*stack_activation,power_mw*hours_per_day,capacity_mwh))*DAMAS_Daily!F58*activation_mult_B)</f>
        <v/>
      </c>
      <c r="N58" s="19">
        <f>F58+M58</f>
        <v/>
      </c>
    </row>
    <row r="59">
      <c r="A59" s="41">
        <f>DAMAS_Daily!A59</f>
        <v/>
      </c>
      <c r="B59" s="42">
        <f>DAMAS_Daily!B59</f>
        <v/>
      </c>
      <c r="C59" s="42">
        <f>IF((power_mw*hours_per_day*damas_afrr_up*capacity_mult_B*stack_capacity*acceptance_rate+(MIN(DAMAS_Daily!C59*market_share_B*acceptance_rate*stack_activation,power_mw*hours_per_day,capacity_mwh))*DAMAS_Daily!E59*activation_mult_B)&gt;=(power_mw*hours_per_day*damas_afrr_down*capacity_mult_B*stack_capacity*acceptance_rate+(MIN(DAMAS_Daily!D59*market_share_B*acceptance_rate*stack_activation,power_mw*hours_per_day,capacity_mwh))*DAMAS_Daily!F59*activation_mult_B),"aFRR+","aFRR-")</f>
        <v/>
      </c>
      <c r="D59" s="43">
        <f>IF(C59="aFRR+",damas_afrr_up*capacity_mult_B,damas_afrr_down*capacity_mult_B)</f>
        <v/>
      </c>
      <c r="E59" s="44">
        <f>acceptance_rate</f>
        <v/>
      </c>
      <c r="F59" s="18">
        <f>IF(C59="aFRR+",power_mw*hours_per_day*damas_afrr_up*capacity_mult_B*stack_capacity*acceptance_rate,power_mw*hours_per_day*damas_afrr_down*capacity_mult_B*stack_capacity*acceptance_rate)</f>
        <v/>
      </c>
      <c r="G59" s="42">
        <f>IF(C59="aFRR+",DAMAS_Daily!I59,DAMAS_Daily!J59)</f>
        <v/>
      </c>
      <c r="H59" s="43">
        <f>IF(C59="aFRR+",DAMAS_Daily!E59,DAMAS_Daily!F59)</f>
        <v/>
      </c>
      <c r="I59" s="43">
        <f>IF(C59="aFRR+",DAMAS_Daily!G59,DAMAS_Daily!H59)</f>
        <v/>
      </c>
      <c r="J59" s="45">
        <f>IF(C59="aFRR+",DAMAS_Daily!C59,DAMAS_Daily!D59)</f>
        <v/>
      </c>
      <c r="K59" s="45">
        <f>IF(C59="aFRR+",MIN(DAMAS_Daily!C59*market_share_B*acceptance_rate*stack_activation,power_mw*hours_per_day,capacity_mwh),MIN(DAMAS_Daily!D59*market_share_B*acceptance_rate*stack_activation,power_mw*hours_per_day,capacity_mwh))</f>
        <v/>
      </c>
      <c r="L59" s="42">
        <f>IF(K59&gt;=capacity_mwh-0.01,"yes","no")</f>
        <v/>
      </c>
      <c r="M59" s="18">
        <f>IF(C59="aFRR+",(MIN(DAMAS_Daily!C59*market_share_B*acceptance_rate*stack_activation,power_mw*hours_per_day,capacity_mwh))*DAMAS_Daily!E59*activation_mult_B,(MIN(DAMAS_Daily!D59*market_share_B*acceptance_rate*stack_activation,power_mw*hours_per_day,capacity_mwh))*DAMAS_Daily!F59*activation_mult_B)</f>
        <v/>
      </c>
      <c r="N59" s="19">
        <f>F59+M59</f>
        <v/>
      </c>
    </row>
    <row r="60">
      <c r="A60" s="41">
        <f>DAMAS_Daily!A60</f>
        <v/>
      </c>
      <c r="B60" s="42">
        <f>DAMAS_Daily!B60</f>
        <v/>
      </c>
      <c r="C60" s="42">
        <f>IF((power_mw*hours_per_day*damas_afrr_up*capacity_mult_B*stack_capacity*acceptance_rate+(MIN(DAMAS_Daily!C60*market_share_B*acceptance_rate*stack_activation,power_mw*hours_per_day,capacity_mwh))*DAMAS_Daily!E60*activation_mult_B)&gt;=(power_mw*hours_per_day*damas_afrr_down*capacity_mult_B*stack_capacity*acceptance_rate+(MIN(DAMAS_Daily!D60*market_share_B*acceptance_rate*stack_activation,power_mw*hours_per_day,capacity_mwh))*DAMAS_Daily!F60*activation_mult_B),"aFRR+","aFRR-")</f>
        <v/>
      </c>
      <c r="D60" s="43">
        <f>IF(C60="aFRR+",damas_afrr_up*capacity_mult_B,damas_afrr_down*capacity_mult_B)</f>
        <v/>
      </c>
      <c r="E60" s="44">
        <f>acceptance_rate</f>
        <v/>
      </c>
      <c r="F60" s="18">
        <f>IF(C60="aFRR+",power_mw*hours_per_day*damas_afrr_up*capacity_mult_B*stack_capacity*acceptance_rate,power_mw*hours_per_day*damas_afrr_down*capacity_mult_B*stack_capacity*acceptance_rate)</f>
        <v/>
      </c>
      <c r="G60" s="42">
        <f>IF(C60="aFRR+",DAMAS_Daily!I60,DAMAS_Daily!J60)</f>
        <v/>
      </c>
      <c r="H60" s="43">
        <f>IF(C60="aFRR+",DAMAS_Daily!E60,DAMAS_Daily!F60)</f>
        <v/>
      </c>
      <c r="I60" s="43">
        <f>IF(C60="aFRR+",DAMAS_Daily!G60,DAMAS_Daily!H60)</f>
        <v/>
      </c>
      <c r="J60" s="45">
        <f>IF(C60="aFRR+",DAMAS_Daily!C60,DAMAS_Daily!D60)</f>
        <v/>
      </c>
      <c r="K60" s="45">
        <f>IF(C60="aFRR+",MIN(DAMAS_Daily!C60*market_share_B*acceptance_rate*stack_activation,power_mw*hours_per_day,capacity_mwh),MIN(DAMAS_Daily!D60*market_share_B*acceptance_rate*stack_activation,power_mw*hours_per_day,capacity_mwh))</f>
        <v/>
      </c>
      <c r="L60" s="42">
        <f>IF(K60&gt;=capacity_mwh-0.01,"yes","no")</f>
        <v/>
      </c>
      <c r="M60" s="18">
        <f>IF(C60="aFRR+",(MIN(DAMAS_Daily!C60*market_share_B*acceptance_rate*stack_activation,power_mw*hours_per_day,capacity_mwh))*DAMAS_Daily!E60*activation_mult_B,(MIN(DAMAS_Daily!D60*market_share_B*acceptance_rate*stack_activation,power_mw*hours_per_day,capacity_mwh))*DAMAS_Daily!F60*activation_mult_B)</f>
        <v/>
      </c>
      <c r="N60" s="19">
        <f>F60+M60</f>
        <v/>
      </c>
    </row>
    <row r="61">
      <c r="A61" s="41">
        <f>DAMAS_Daily!A61</f>
        <v/>
      </c>
      <c r="B61" s="42">
        <f>DAMAS_Daily!B61</f>
        <v/>
      </c>
      <c r="C61" s="42">
        <f>IF((power_mw*hours_per_day*damas_afrr_up*capacity_mult_B*stack_capacity*acceptance_rate+(MIN(DAMAS_Daily!C61*market_share_B*acceptance_rate*stack_activation,power_mw*hours_per_day,capacity_mwh))*DAMAS_Daily!E61*activation_mult_B)&gt;=(power_mw*hours_per_day*damas_afrr_down*capacity_mult_B*stack_capacity*acceptance_rate+(MIN(DAMAS_Daily!D61*market_share_B*acceptance_rate*stack_activation,power_mw*hours_per_day,capacity_mwh))*DAMAS_Daily!F61*activation_mult_B),"aFRR+","aFRR-")</f>
        <v/>
      </c>
      <c r="D61" s="43">
        <f>IF(C61="aFRR+",damas_afrr_up*capacity_mult_B,damas_afrr_down*capacity_mult_B)</f>
        <v/>
      </c>
      <c r="E61" s="44">
        <f>acceptance_rate</f>
        <v/>
      </c>
      <c r="F61" s="18">
        <f>IF(C61="aFRR+",power_mw*hours_per_day*damas_afrr_up*capacity_mult_B*stack_capacity*acceptance_rate,power_mw*hours_per_day*damas_afrr_down*capacity_mult_B*stack_capacity*acceptance_rate)</f>
        <v/>
      </c>
      <c r="G61" s="42">
        <f>IF(C61="aFRR+",DAMAS_Daily!I61,DAMAS_Daily!J61)</f>
        <v/>
      </c>
      <c r="H61" s="43">
        <f>IF(C61="aFRR+",DAMAS_Daily!E61,DAMAS_Daily!F61)</f>
        <v/>
      </c>
      <c r="I61" s="43">
        <f>IF(C61="aFRR+",DAMAS_Daily!G61,DAMAS_Daily!H61)</f>
        <v/>
      </c>
      <c r="J61" s="45">
        <f>IF(C61="aFRR+",DAMAS_Daily!C61,DAMAS_Daily!D61)</f>
        <v/>
      </c>
      <c r="K61" s="45">
        <f>IF(C61="aFRR+",MIN(DAMAS_Daily!C61*market_share_B*acceptance_rate*stack_activation,power_mw*hours_per_day,capacity_mwh),MIN(DAMAS_Daily!D61*market_share_B*acceptance_rate*stack_activation,power_mw*hours_per_day,capacity_mwh))</f>
        <v/>
      </c>
      <c r="L61" s="42">
        <f>IF(K61&gt;=capacity_mwh-0.01,"yes","no")</f>
        <v/>
      </c>
      <c r="M61" s="18">
        <f>IF(C61="aFRR+",(MIN(DAMAS_Daily!C61*market_share_B*acceptance_rate*stack_activation,power_mw*hours_per_day,capacity_mwh))*DAMAS_Daily!E61*activation_mult_B,(MIN(DAMAS_Daily!D61*market_share_B*acceptance_rate*stack_activation,power_mw*hours_per_day,capacity_mwh))*DAMAS_Daily!F61*activation_mult_B)</f>
        <v/>
      </c>
      <c r="N61" s="19">
        <f>F61+M61</f>
        <v/>
      </c>
    </row>
    <row r="62">
      <c r="A62" s="41">
        <f>DAMAS_Daily!A62</f>
        <v/>
      </c>
      <c r="B62" s="42">
        <f>DAMAS_Daily!B62</f>
        <v/>
      </c>
      <c r="C62" s="42">
        <f>IF((power_mw*hours_per_day*damas_afrr_up*capacity_mult_B*stack_capacity*acceptance_rate+(MIN(DAMAS_Daily!C62*market_share_B*acceptance_rate*stack_activation,power_mw*hours_per_day,capacity_mwh))*DAMAS_Daily!E62*activation_mult_B)&gt;=(power_mw*hours_per_day*damas_afrr_down*capacity_mult_B*stack_capacity*acceptance_rate+(MIN(DAMAS_Daily!D62*market_share_B*acceptance_rate*stack_activation,power_mw*hours_per_day,capacity_mwh))*DAMAS_Daily!F62*activation_mult_B),"aFRR+","aFRR-")</f>
        <v/>
      </c>
      <c r="D62" s="43">
        <f>IF(C62="aFRR+",damas_afrr_up*capacity_mult_B,damas_afrr_down*capacity_mult_B)</f>
        <v/>
      </c>
      <c r="E62" s="44">
        <f>acceptance_rate</f>
        <v/>
      </c>
      <c r="F62" s="18">
        <f>IF(C62="aFRR+",power_mw*hours_per_day*damas_afrr_up*capacity_mult_B*stack_capacity*acceptance_rate,power_mw*hours_per_day*damas_afrr_down*capacity_mult_B*stack_capacity*acceptance_rate)</f>
        <v/>
      </c>
      <c r="G62" s="42">
        <f>IF(C62="aFRR+",DAMAS_Daily!I62,DAMAS_Daily!J62)</f>
        <v/>
      </c>
      <c r="H62" s="43">
        <f>IF(C62="aFRR+",DAMAS_Daily!E62,DAMAS_Daily!F62)</f>
        <v/>
      </c>
      <c r="I62" s="43">
        <f>IF(C62="aFRR+",DAMAS_Daily!G62,DAMAS_Daily!H62)</f>
        <v/>
      </c>
      <c r="J62" s="45">
        <f>IF(C62="aFRR+",DAMAS_Daily!C62,DAMAS_Daily!D62)</f>
        <v/>
      </c>
      <c r="K62" s="45">
        <f>IF(C62="aFRR+",MIN(DAMAS_Daily!C62*market_share_B*acceptance_rate*stack_activation,power_mw*hours_per_day,capacity_mwh),MIN(DAMAS_Daily!D62*market_share_B*acceptance_rate*stack_activation,power_mw*hours_per_day,capacity_mwh))</f>
        <v/>
      </c>
      <c r="L62" s="42">
        <f>IF(K62&gt;=capacity_mwh-0.01,"yes","no")</f>
        <v/>
      </c>
      <c r="M62" s="18">
        <f>IF(C62="aFRR+",(MIN(DAMAS_Daily!C62*market_share_B*acceptance_rate*stack_activation,power_mw*hours_per_day,capacity_mwh))*DAMAS_Daily!E62*activation_mult_B,(MIN(DAMAS_Daily!D62*market_share_B*acceptance_rate*stack_activation,power_mw*hours_per_day,capacity_mwh))*DAMAS_Daily!F62*activation_mult_B)</f>
        <v/>
      </c>
      <c r="N62" s="19">
        <f>F62+M62</f>
        <v/>
      </c>
    </row>
    <row r="63">
      <c r="A63" s="41">
        <f>DAMAS_Daily!A63</f>
        <v/>
      </c>
      <c r="B63" s="42">
        <f>DAMAS_Daily!B63</f>
        <v/>
      </c>
      <c r="C63" s="42">
        <f>IF((power_mw*hours_per_day*damas_afrr_up*capacity_mult_B*stack_capacity*acceptance_rate+(MIN(DAMAS_Daily!C63*market_share_B*acceptance_rate*stack_activation,power_mw*hours_per_day,capacity_mwh))*DAMAS_Daily!E63*activation_mult_B)&gt;=(power_mw*hours_per_day*damas_afrr_down*capacity_mult_B*stack_capacity*acceptance_rate+(MIN(DAMAS_Daily!D63*market_share_B*acceptance_rate*stack_activation,power_mw*hours_per_day,capacity_mwh))*DAMAS_Daily!F63*activation_mult_B),"aFRR+","aFRR-")</f>
        <v/>
      </c>
      <c r="D63" s="43">
        <f>IF(C63="aFRR+",damas_afrr_up*capacity_mult_B,damas_afrr_down*capacity_mult_B)</f>
        <v/>
      </c>
      <c r="E63" s="44">
        <f>acceptance_rate</f>
        <v/>
      </c>
      <c r="F63" s="18">
        <f>IF(C63="aFRR+",power_mw*hours_per_day*damas_afrr_up*capacity_mult_B*stack_capacity*acceptance_rate,power_mw*hours_per_day*damas_afrr_down*capacity_mult_B*stack_capacity*acceptance_rate)</f>
        <v/>
      </c>
      <c r="G63" s="42">
        <f>IF(C63="aFRR+",DAMAS_Daily!I63,DAMAS_Daily!J63)</f>
        <v/>
      </c>
      <c r="H63" s="43">
        <f>IF(C63="aFRR+",DAMAS_Daily!E63,DAMAS_Daily!F63)</f>
        <v/>
      </c>
      <c r="I63" s="43">
        <f>IF(C63="aFRR+",DAMAS_Daily!G63,DAMAS_Daily!H63)</f>
        <v/>
      </c>
      <c r="J63" s="45">
        <f>IF(C63="aFRR+",DAMAS_Daily!C63,DAMAS_Daily!D63)</f>
        <v/>
      </c>
      <c r="K63" s="45">
        <f>IF(C63="aFRR+",MIN(DAMAS_Daily!C63*market_share_B*acceptance_rate*stack_activation,power_mw*hours_per_day,capacity_mwh),MIN(DAMAS_Daily!D63*market_share_B*acceptance_rate*stack_activation,power_mw*hours_per_day,capacity_mwh))</f>
        <v/>
      </c>
      <c r="L63" s="42">
        <f>IF(K63&gt;=capacity_mwh-0.01,"yes","no")</f>
        <v/>
      </c>
      <c r="M63" s="18">
        <f>IF(C63="aFRR+",(MIN(DAMAS_Daily!C63*market_share_B*acceptance_rate*stack_activation,power_mw*hours_per_day,capacity_mwh))*DAMAS_Daily!E63*activation_mult_B,(MIN(DAMAS_Daily!D63*market_share_B*acceptance_rate*stack_activation,power_mw*hours_per_day,capacity_mwh))*DAMAS_Daily!F63*activation_mult_B)</f>
        <v/>
      </c>
      <c r="N63" s="19">
        <f>F63+M63</f>
        <v/>
      </c>
    </row>
    <row r="64">
      <c r="A64" s="41">
        <f>DAMAS_Daily!A64</f>
        <v/>
      </c>
      <c r="B64" s="42">
        <f>DAMAS_Daily!B64</f>
        <v/>
      </c>
      <c r="C64" s="42">
        <f>IF((power_mw*hours_per_day*damas_afrr_up*capacity_mult_B*stack_capacity*acceptance_rate+(MIN(DAMAS_Daily!C64*market_share_B*acceptance_rate*stack_activation,power_mw*hours_per_day,capacity_mwh))*DAMAS_Daily!E64*activation_mult_B)&gt;=(power_mw*hours_per_day*damas_afrr_down*capacity_mult_B*stack_capacity*acceptance_rate+(MIN(DAMAS_Daily!D64*market_share_B*acceptance_rate*stack_activation,power_mw*hours_per_day,capacity_mwh))*DAMAS_Daily!F64*activation_mult_B),"aFRR+","aFRR-")</f>
        <v/>
      </c>
      <c r="D64" s="43">
        <f>IF(C64="aFRR+",damas_afrr_up*capacity_mult_B,damas_afrr_down*capacity_mult_B)</f>
        <v/>
      </c>
      <c r="E64" s="44">
        <f>acceptance_rate</f>
        <v/>
      </c>
      <c r="F64" s="18">
        <f>IF(C64="aFRR+",power_mw*hours_per_day*damas_afrr_up*capacity_mult_B*stack_capacity*acceptance_rate,power_mw*hours_per_day*damas_afrr_down*capacity_mult_B*stack_capacity*acceptance_rate)</f>
        <v/>
      </c>
      <c r="G64" s="42">
        <f>IF(C64="aFRR+",DAMAS_Daily!I64,DAMAS_Daily!J64)</f>
        <v/>
      </c>
      <c r="H64" s="43">
        <f>IF(C64="aFRR+",DAMAS_Daily!E64,DAMAS_Daily!F64)</f>
        <v/>
      </c>
      <c r="I64" s="43">
        <f>IF(C64="aFRR+",DAMAS_Daily!G64,DAMAS_Daily!H64)</f>
        <v/>
      </c>
      <c r="J64" s="45">
        <f>IF(C64="aFRR+",DAMAS_Daily!C64,DAMAS_Daily!D64)</f>
        <v/>
      </c>
      <c r="K64" s="45">
        <f>IF(C64="aFRR+",MIN(DAMAS_Daily!C64*market_share_B*acceptance_rate*stack_activation,power_mw*hours_per_day,capacity_mwh),MIN(DAMAS_Daily!D64*market_share_B*acceptance_rate*stack_activation,power_mw*hours_per_day,capacity_mwh))</f>
        <v/>
      </c>
      <c r="L64" s="42">
        <f>IF(K64&gt;=capacity_mwh-0.01,"yes","no")</f>
        <v/>
      </c>
      <c r="M64" s="18">
        <f>IF(C64="aFRR+",(MIN(DAMAS_Daily!C64*market_share_B*acceptance_rate*stack_activation,power_mw*hours_per_day,capacity_mwh))*DAMAS_Daily!E64*activation_mult_B,(MIN(DAMAS_Daily!D64*market_share_B*acceptance_rate*stack_activation,power_mw*hours_per_day,capacity_mwh))*DAMAS_Daily!F64*activation_mult_B)</f>
        <v/>
      </c>
      <c r="N64" s="19">
        <f>F64+M64</f>
        <v/>
      </c>
    </row>
    <row r="65">
      <c r="A65" s="41">
        <f>DAMAS_Daily!A65</f>
        <v/>
      </c>
      <c r="B65" s="42">
        <f>DAMAS_Daily!B65</f>
        <v/>
      </c>
      <c r="C65" s="42">
        <f>IF((power_mw*hours_per_day*damas_afrr_up*capacity_mult_B*stack_capacity*acceptance_rate+(MIN(DAMAS_Daily!C65*market_share_B*acceptance_rate*stack_activation,power_mw*hours_per_day,capacity_mwh))*DAMAS_Daily!E65*activation_mult_B)&gt;=(power_mw*hours_per_day*damas_afrr_down*capacity_mult_B*stack_capacity*acceptance_rate+(MIN(DAMAS_Daily!D65*market_share_B*acceptance_rate*stack_activation,power_mw*hours_per_day,capacity_mwh))*DAMAS_Daily!F65*activation_mult_B),"aFRR+","aFRR-")</f>
        <v/>
      </c>
      <c r="D65" s="43">
        <f>IF(C65="aFRR+",damas_afrr_up*capacity_mult_B,damas_afrr_down*capacity_mult_B)</f>
        <v/>
      </c>
      <c r="E65" s="44">
        <f>acceptance_rate</f>
        <v/>
      </c>
      <c r="F65" s="18">
        <f>IF(C65="aFRR+",power_mw*hours_per_day*damas_afrr_up*capacity_mult_B*stack_capacity*acceptance_rate,power_mw*hours_per_day*damas_afrr_down*capacity_mult_B*stack_capacity*acceptance_rate)</f>
        <v/>
      </c>
      <c r="G65" s="42">
        <f>IF(C65="aFRR+",DAMAS_Daily!I65,DAMAS_Daily!J65)</f>
        <v/>
      </c>
      <c r="H65" s="43">
        <f>IF(C65="aFRR+",DAMAS_Daily!E65,DAMAS_Daily!F65)</f>
        <v/>
      </c>
      <c r="I65" s="43">
        <f>IF(C65="aFRR+",DAMAS_Daily!G65,DAMAS_Daily!H65)</f>
        <v/>
      </c>
      <c r="J65" s="45">
        <f>IF(C65="aFRR+",DAMAS_Daily!C65,DAMAS_Daily!D65)</f>
        <v/>
      </c>
      <c r="K65" s="45">
        <f>IF(C65="aFRR+",MIN(DAMAS_Daily!C65*market_share_B*acceptance_rate*stack_activation,power_mw*hours_per_day,capacity_mwh),MIN(DAMAS_Daily!D65*market_share_B*acceptance_rate*stack_activation,power_mw*hours_per_day,capacity_mwh))</f>
        <v/>
      </c>
      <c r="L65" s="42">
        <f>IF(K65&gt;=capacity_mwh-0.01,"yes","no")</f>
        <v/>
      </c>
      <c r="M65" s="18">
        <f>IF(C65="aFRR+",(MIN(DAMAS_Daily!C65*market_share_B*acceptance_rate*stack_activation,power_mw*hours_per_day,capacity_mwh))*DAMAS_Daily!E65*activation_mult_B,(MIN(DAMAS_Daily!D65*market_share_B*acceptance_rate*stack_activation,power_mw*hours_per_day,capacity_mwh))*DAMAS_Daily!F65*activation_mult_B)</f>
        <v/>
      </c>
      <c r="N65" s="19">
        <f>F65+M65</f>
        <v/>
      </c>
    </row>
    <row r="66">
      <c r="A66" s="41">
        <f>DAMAS_Daily!A66</f>
        <v/>
      </c>
      <c r="B66" s="42">
        <f>DAMAS_Daily!B66</f>
        <v/>
      </c>
      <c r="C66" s="42">
        <f>IF((power_mw*hours_per_day*damas_afrr_up*capacity_mult_B*stack_capacity*acceptance_rate+(MIN(DAMAS_Daily!C66*market_share_B*acceptance_rate*stack_activation,power_mw*hours_per_day,capacity_mwh))*DAMAS_Daily!E66*activation_mult_B)&gt;=(power_mw*hours_per_day*damas_afrr_down*capacity_mult_B*stack_capacity*acceptance_rate+(MIN(DAMAS_Daily!D66*market_share_B*acceptance_rate*stack_activation,power_mw*hours_per_day,capacity_mwh))*DAMAS_Daily!F66*activation_mult_B),"aFRR+","aFRR-")</f>
        <v/>
      </c>
      <c r="D66" s="43">
        <f>IF(C66="aFRR+",damas_afrr_up*capacity_mult_B,damas_afrr_down*capacity_mult_B)</f>
        <v/>
      </c>
      <c r="E66" s="44">
        <f>acceptance_rate</f>
        <v/>
      </c>
      <c r="F66" s="18">
        <f>IF(C66="aFRR+",power_mw*hours_per_day*damas_afrr_up*capacity_mult_B*stack_capacity*acceptance_rate,power_mw*hours_per_day*damas_afrr_down*capacity_mult_B*stack_capacity*acceptance_rate)</f>
        <v/>
      </c>
      <c r="G66" s="42">
        <f>IF(C66="aFRR+",DAMAS_Daily!I66,DAMAS_Daily!J66)</f>
        <v/>
      </c>
      <c r="H66" s="43">
        <f>IF(C66="aFRR+",DAMAS_Daily!E66,DAMAS_Daily!F66)</f>
        <v/>
      </c>
      <c r="I66" s="43">
        <f>IF(C66="aFRR+",DAMAS_Daily!G66,DAMAS_Daily!H66)</f>
        <v/>
      </c>
      <c r="J66" s="45">
        <f>IF(C66="aFRR+",DAMAS_Daily!C66,DAMAS_Daily!D66)</f>
        <v/>
      </c>
      <c r="K66" s="45">
        <f>IF(C66="aFRR+",MIN(DAMAS_Daily!C66*market_share_B*acceptance_rate*stack_activation,power_mw*hours_per_day,capacity_mwh),MIN(DAMAS_Daily!D66*market_share_B*acceptance_rate*stack_activation,power_mw*hours_per_day,capacity_mwh))</f>
        <v/>
      </c>
      <c r="L66" s="42">
        <f>IF(K66&gt;=capacity_mwh-0.01,"yes","no")</f>
        <v/>
      </c>
      <c r="M66" s="18">
        <f>IF(C66="aFRR+",(MIN(DAMAS_Daily!C66*market_share_B*acceptance_rate*stack_activation,power_mw*hours_per_day,capacity_mwh))*DAMAS_Daily!E66*activation_mult_B,(MIN(DAMAS_Daily!D66*market_share_B*acceptance_rate*stack_activation,power_mw*hours_per_day,capacity_mwh))*DAMAS_Daily!F66*activation_mult_B)</f>
        <v/>
      </c>
      <c r="N66" s="19">
        <f>F66+M66</f>
        <v/>
      </c>
    </row>
    <row r="67">
      <c r="A67" s="41">
        <f>DAMAS_Daily!A67</f>
        <v/>
      </c>
      <c r="B67" s="42">
        <f>DAMAS_Daily!B67</f>
        <v/>
      </c>
      <c r="C67" s="42">
        <f>IF((power_mw*hours_per_day*damas_afrr_up*capacity_mult_B*stack_capacity*acceptance_rate+(MIN(DAMAS_Daily!C67*market_share_B*acceptance_rate*stack_activation,power_mw*hours_per_day,capacity_mwh))*DAMAS_Daily!E67*activation_mult_B)&gt;=(power_mw*hours_per_day*damas_afrr_down*capacity_mult_B*stack_capacity*acceptance_rate+(MIN(DAMAS_Daily!D67*market_share_B*acceptance_rate*stack_activation,power_mw*hours_per_day,capacity_mwh))*DAMAS_Daily!F67*activation_mult_B),"aFRR+","aFRR-")</f>
        <v/>
      </c>
      <c r="D67" s="43">
        <f>IF(C67="aFRR+",damas_afrr_up*capacity_mult_B,damas_afrr_down*capacity_mult_B)</f>
        <v/>
      </c>
      <c r="E67" s="44">
        <f>acceptance_rate</f>
        <v/>
      </c>
      <c r="F67" s="18">
        <f>IF(C67="aFRR+",power_mw*hours_per_day*damas_afrr_up*capacity_mult_B*stack_capacity*acceptance_rate,power_mw*hours_per_day*damas_afrr_down*capacity_mult_B*stack_capacity*acceptance_rate)</f>
        <v/>
      </c>
      <c r="G67" s="42">
        <f>IF(C67="aFRR+",DAMAS_Daily!I67,DAMAS_Daily!J67)</f>
        <v/>
      </c>
      <c r="H67" s="43">
        <f>IF(C67="aFRR+",DAMAS_Daily!E67,DAMAS_Daily!F67)</f>
        <v/>
      </c>
      <c r="I67" s="43">
        <f>IF(C67="aFRR+",DAMAS_Daily!G67,DAMAS_Daily!H67)</f>
        <v/>
      </c>
      <c r="J67" s="45">
        <f>IF(C67="aFRR+",DAMAS_Daily!C67,DAMAS_Daily!D67)</f>
        <v/>
      </c>
      <c r="K67" s="45">
        <f>IF(C67="aFRR+",MIN(DAMAS_Daily!C67*market_share_B*acceptance_rate*stack_activation,power_mw*hours_per_day,capacity_mwh),MIN(DAMAS_Daily!D67*market_share_B*acceptance_rate*stack_activation,power_mw*hours_per_day,capacity_mwh))</f>
        <v/>
      </c>
      <c r="L67" s="42">
        <f>IF(K67&gt;=capacity_mwh-0.01,"yes","no")</f>
        <v/>
      </c>
      <c r="M67" s="18">
        <f>IF(C67="aFRR+",(MIN(DAMAS_Daily!C67*market_share_B*acceptance_rate*stack_activation,power_mw*hours_per_day,capacity_mwh))*DAMAS_Daily!E67*activation_mult_B,(MIN(DAMAS_Daily!D67*market_share_B*acceptance_rate*stack_activation,power_mw*hours_per_day,capacity_mwh))*DAMAS_Daily!F67*activation_mult_B)</f>
        <v/>
      </c>
      <c r="N67" s="19">
        <f>F67+M67</f>
        <v/>
      </c>
    </row>
    <row r="68">
      <c r="A68" s="41">
        <f>DAMAS_Daily!A68</f>
        <v/>
      </c>
      <c r="B68" s="42">
        <f>DAMAS_Daily!B68</f>
        <v/>
      </c>
      <c r="C68" s="42">
        <f>IF((power_mw*hours_per_day*damas_afrr_up*capacity_mult_B*stack_capacity*acceptance_rate+(MIN(DAMAS_Daily!C68*market_share_B*acceptance_rate*stack_activation,power_mw*hours_per_day,capacity_mwh))*DAMAS_Daily!E68*activation_mult_B)&gt;=(power_mw*hours_per_day*damas_afrr_down*capacity_mult_B*stack_capacity*acceptance_rate+(MIN(DAMAS_Daily!D68*market_share_B*acceptance_rate*stack_activation,power_mw*hours_per_day,capacity_mwh))*DAMAS_Daily!F68*activation_mult_B),"aFRR+","aFRR-")</f>
        <v/>
      </c>
      <c r="D68" s="43">
        <f>IF(C68="aFRR+",damas_afrr_up*capacity_mult_B,damas_afrr_down*capacity_mult_B)</f>
        <v/>
      </c>
      <c r="E68" s="44">
        <f>acceptance_rate</f>
        <v/>
      </c>
      <c r="F68" s="18">
        <f>IF(C68="aFRR+",power_mw*hours_per_day*damas_afrr_up*capacity_mult_B*stack_capacity*acceptance_rate,power_mw*hours_per_day*damas_afrr_down*capacity_mult_B*stack_capacity*acceptance_rate)</f>
        <v/>
      </c>
      <c r="G68" s="42">
        <f>IF(C68="aFRR+",DAMAS_Daily!I68,DAMAS_Daily!J68)</f>
        <v/>
      </c>
      <c r="H68" s="43">
        <f>IF(C68="aFRR+",DAMAS_Daily!E68,DAMAS_Daily!F68)</f>
        <v/>
      </c>
      <c r="I68" s="43">
        <f>IF(C68="aFRR+",DAMAS_Daily!G68,DAMAS_Daily!H68)</f>
        <v/>
      </c>
      <c r="J68" s="45">
        <f>IF(C68="aFRR+",DAMAS_Daily!C68,DAMAS_Daily!D68)</f>
        <v/>
      </c>
      <c r="K68" s="45">
        <f>IF(C68="aFRR+",MIN(DAMAS_Daily!C68*market_share_B*acceptance_rate*stack_activation,power_mw*hours_per_day,capacity_mwh),MIN(DAMAS_Daily!D68*market_share_B*acceptance_rate*stack_activation,power_mw*hours_per_day,capacity_mwh))</f>
        <v/>
      </c>
      <c r="L68" s="42">
        <f>IF(K68&gt;=capacity_mwh-0.01,"yes","no")</f>
        <v/>
      </c>
      <c r="M68" s="18">
        <f>IF(C68="aFRR+",(MIN(DAMAS_Daily!C68*market_share_B*acceptance_rate*stack_activation,power_mw*hours_per_day,capacity_mwh))*DAMAS_Daily!E68*activation_mult_B,(MIN(DAMAS_Daily!D68*market_share_B*acceptance_rate*stack_activation,power_mw*hours_per_day,capacity_mwh))*DAMAS_Daily!F68*activation_mult_B)</f>
        <v/>
      </c>
      <c r="N68" s="19">
        <f>F68+M68</f>
        <v/>
      </c>
    </row>
    <row r="69">
      <c r="A69" s="41">
        <f>DAMAS_Daily!A69</f>
        <v/>
      </c>
      <c r="B69" s="42">
        <f>DAMAS_Daily!B69</f>
        <v/>
      </c>
      <c r="C69" s="42">
        <f>IF((power_mw*hours_per_day*damas_afrr_up*capacity_mult_B*stack_capacity*acceptance_rate+(MIN(DAMAS_Daily!C69*market_share_B*acceptance_rate*stack_activation,power_mw*hours_per_day,capacity_mwh))*DAMAS_Daily!E69*activation_mult_B)&gt;=(power_mw*hours_per_day*damas_afrr_down*capacity_mult_B*stack_capacity*acceptance_rate+(MIN(DAMAS_Daily!D69*market_share_B*acceptance_rate*stack_activation,power_mw*hours_per_day,capacity_mwh))*DAMAS_Daily!F69*activation_mult_B),"aFRR+","aFRR-")</f>
        <v/>
      </c>
      <c r="D69" s="43">
        <f>IF(C69="aFRR+",damas_afrr_up*capacity_mult_B,damas_afrr_down*capacity_mult_B)</f>
        <v/>
      </c>
      <c r="E69" s="44">
        <f>acceptance_rate</f>
        <v/>
      </c>
      <c r="F69" s="18">
        <f>IF(C69="aFRR+",power_mw*hours_per_day*damas_afrr_up*capacity_mult_B*stack_capacity*acceptance_rate,power_mw*hours_per_day*damas_afrr_down*capacity_mult_B*stack_capacity*acceptance_rate)</f>
        <v/>
      </c>
      <c r="G69" s="42">
        <f>IF(C69="aFRR+",DAMAS_Daily!I69,DAMAS_Daily!J69)</f>
        <v/>
      </c>
      <c r="H69" s="43">
        <f>IF(C69="aFRR+",DAMAS_Daily!E69,DAMAS_Daily!F69)</f>
        <v/>
      </c>
      <c r="I69" s="43">
        <f>IF(C69="aFRR+",DAMAS_Daily!G69,DAMAS_Daily!H69)</f>
        <v/>
      </c>
      <c r="J69" s="45">
        <f>IF(C69="aFRR+",DAMAS_Daily!C69,DAMAS_Daily!D69)</f>
        <v/>
      </c>
      <c r="K69" s="45">
        <f>IF(C69="aFRR+",MIN(DAMAS_Daily!C69*market_share_B*acceptance_rate*stack_activation,power_mw*hours_per_day,capacity_mwh),MIN(DAMAS_Daily!D69*market_share_B*acceptance_rate*stack_activation,power_mw*hours_per_day,capacity_mwh))</f>
        <v/>
      </c>
      <c r="L69" s="42">
        <f>IF(K69&gt;=capacity_mwh-0.01,"yes","no")</f>
        <v/>
      </c>
      <c r="M69" s="18">
        <f>IF(C69="aFRR+",(MIN(DAMAS_Daily!C69*market_share_B*acceptance_rate*stack_activation,power_mw*hours_per_day,capacity_mwh))*DAMAS_Daily!E69*activation_mult_B,(MIN(DAMAS_Daily!D69*market_share_B*acceptance_rate*stack_activation,power_mw*hours_per_day,capacity_mwh))*DAMAS_Daily!F69*activation_mult_B)</f>
        <v/>
      </c>
      <c r="N69" s="19">
        <f>F69+M69</f>
        <v/>
      </c>
    </row>
    <row r="70">
      <c r="A70" s="41">
        <f>DAMAS_Daily!A70</f>
        <v/>
      </c>
      <c r="B70" s="42">
        <f>DAMAS_Daily!B70</f>
        <v/>
      </c>
      <c r="C70" s="42">
        <f>IF((power_mw*hours_per_day*damas_afrr_up*capacity_mult_B*stack_capacity*acceptance_rate+(MIN(DAMAS_Daily!C70*market_share_B*acceptance_rate*stack_activation,power_mw*hours_per_day,capacity_mwh))*DAMAS_Daily!E70*activation_mult_B)&gt;=(power_mw*hours_per_day*damas_afrr_down*capacity_mult_B*stack_capacity*acceptance_rate+(MIN(DAMAS_Daily!D70*market_share_B*acceptance_rate*stack_activation,power_mw*hours_per_day,capacity_mwh))*DAMAS_Daily!F70*activation_mult_B),"aFRR+","aFRR-")</f>
        <v/>
      </c>
      <c r="D70" s="43">
        <f>IF(C70="aFRR+",damas_afrr_up*capacity_mult_B,damas_afrr_down*capacity_mult_B)</f>
        <v/>
      </c>
      <c r="E70" s="44">
        <f>acceptance_rate</f>
        <v/>
      </c>
      <c r="F70" s="18">
        <f>IF(C70="aFRR+",power_mw*hours_per_day*damas_afrr_up*capacity_mult_B*stack_capacity*acceptance_rate,power_mw*hours_per_day*damas_afrr_down*capacity_mult_B*stack_capacity*acceptance_rate)</f>
        <v/>
      </c>
      <c r="G70" s="42">
        <f>IF(C70="aFRR+",DAMAS_Daily!I70,DAMAS_Daily!J70)</f>
        <v/>
      </c>
      <c r="H70" s="43">
        <f>IF(C70="aFRR+",DAMAS_Daily!E70,DAMAS_Daily!F70)</f>
        <v/>
      </c>
      <c r="I70" s="43">
        <f>IF(C70="aFRR+",DAMAS_Daily!G70,DAMAS_Daily!H70)</f>
        <v/>
      </c>
      <c r="J70" s="45">
        <f>IF(C70="aFRR+",DAMAS_Daily!C70,DAMAS_Daily!D70)</f>
        <v/>
      </c>
      <c r="K70" s="45">
        <f>IF(C70="aFRR+",MIN(DAMAS_Daily!C70*market_share_B*acceptance_rate*stack_activation,power_mw*hours_per_day,capacity_mwh),MIN(DAMAS_Daily!D70*market_share_B*acceptance_rate*stack_activation,power_mw*hours_per_day,capacity_mwh))</f>
        <v/>
      </c>
      <c r="L70" s="42">
        <f>IF(K70&gt;=capacity_mwh-0.01,"yes","no")</f>
        <v/>
      </c>
      <c r="M70" s="18">
        <f>IF(C70="aFRR+",(MIN(DAMAS_Daily!C70*market_share_B*acceptance_rate*stack_activation,power_mw*hours_per_day,capacity_mwh))*DAMAS_Daily!E70*activation_mult_B,(MIN(DAMAS_Daily!D70*market_share_B*acceptance_rate*stack_activation,power_mw*hours_per_day,capacity_mwh))*DAMAS_Daily!F70*activation_mult_B)</f>
        <v/>
      </c>
      <c r="N70" s="19">
        <f>F70+M70</f>
        <v/>
      </c>
    </row>
    <row r="71">
      <c r="A71" s="41">
        <f>DAMAS_Daily!A71</f>
        <v/>
      </c>
      <c r="B71" s="42">
        <f>DAMAS_Daily!B71</f>
        <v/>
      </c>
      <c r="C71" s="42">
        <f>IF((power_mw*hours_per_day*damas_afrr_up*capacity_mult_B*stack_capacity*acceptance_rate+(MIN(DAMAS_Daily!C71*market_share_B*acceptance_rate*stack_activation,power_mw*hours_per_day,capacity_mwh))*DAMAS_Daily!E71*activation_mult_B)&gt;=(power_mw*hours_per_day*damas_afrr_down*capacity_mult_B*stack_capacity*acceptance_rate+(MIN(DAMAS_Daily!D71*market_share_B*acceptance_rate*stack_activation,power_mw*hours_per_day,capacity_mwh))*DAMAS_Daily!F71*activation_mult_B),"aFRR+","aFRR-")</f>
        <v/>
      </c>
      <c r="D71" s="43">
        <f>IF(C71="aFRR+",damas_afrr_up*capacity_mult_B,damas_afrr_down*capacity_mult_B)</f>
        <v/>
      </c>
      <c r="E71" s="44">
        <f>acceptance_rate</f>
        <v/>
      </c>
      <c r="F71" s="18">
        <f>IF(C71="aFRR+",power_mw*hours_per_day*damas_afrr_up*capacity_mult_B*stack_capacity*acceptance_rate,power_mw*hours_per_day*damas_afrr_down*capacity_mult_B*stack_capacity*acceptance_rate)</f>
        <v/>
      </c>
      <c r="G71" s="42">
        <f>IF(C71="aFRR+",DAMAS_Daily!I71,DAMAS_Daily!J71)</f>
        <v/>
      </c>
      <c r="H71" s="43">
        <f>IF(C71="aFRR+",DAMAS_Daily!E71,DAMAS_Daily!F71)</f>
        <v/>
      </c>
      <c r="I71" s="43">
        <f>IF(C71="aFRR+",DAMAS_Daily!G71,DAMAS_Daily!H71)</f>
        <v/>
      </c>
      <c r="J71" s="45">
        <f>IF(C71="aFRR+",DAMAS_Daily!C71,DAMAS_Daily!D71)</f>
        <v/>
      </c>
      <c r="K71" s="45">
        <f>IF(C71="aFRR+",MIN(DAMAS_Daily!C71*market_share_B*acceptance_rate*stack_activation,power_mw*hours_per_day,capacity_mwh),MIN(DAMAS_Daily!D71*market_share_B*acceptance_rate*stack_activation,power_mw*hours_per_day,capacity_mwh))</f>
        <v/>
      </c>
      <c r="L71" s="42">
        <f>IF(K71&gt;=capacity_mwh-0.01,"yes","no")</f>
        <v/>
      </c>
      <c r="M71" s="18">
        <f>IF(C71="aFRR+",(MIN(DAMAS_Daily!C71*market_share_B*acceptance_rate*stack_activation,power_mw*hours_per_day,capacity_mwh))*DAMAS_Daily!E71*activation_mult_B,(MIN(DAMAS_Daily!D71*market_share_B*acceptance_rate*stack_activation,power_mw*hours_per_day,capacity_mwh))*DAMAS_Daily!F71*activation_mult_B)</f>
        <v/>
      </c>
      <c r="N71" s="19">
        <f>F71+M71</f>
        <v/>
      </c>
    </row>
    <row r="72">
      <c r="A72" s="41">
        <f>DAMAS_Daily!A72</f>
        <v/>
      </c>
      <c r="B72" s="42">
        <f>DAMAS_Daily!B72</f>
        <v/>
      </c>
      <c r="C72" s="42">
        <f>IF((power_mw*hours_per_day*damas_afrr_up*capacity_mult_B*stack_capacity*acceptance_rate+(MIN(DAMAS_Daily!C72*market_share_B*acceptance_rate*stack_activation,power_mw*hours_per_day,capacity_mwh))*DAMAS_Daily!E72*activation_mult_B)&gt;=(power_mw*hours_per_day*damas_afrr_down*capacity_mult_B*stack_capacity*acceptance_rate+(MIN(DAMAS_Daily!D72*market_share_B*acceptance_rate*stack_activation,power_mw*hours_per_day,capacity_mwh))*DAMAS_Daily!F72*activation_mult_B),"aFRR+","aFRR-")</f>
        <v/>
      </c>
      <c r="D72" s="43">
        <f>IF(C72="aFRR+",damas_afrr_up*capacity_mult_B,damas_afrr_down*capacity_mult_B)</f>
        <v/>
      </c>
      <c r="E72" s="44">
        <f>acceptance_rate</f>
        <v/>
      </c>
      <c r="F72" s="18">
        <f>IF(C72="aFRR+",power_mw*hours_per_day*damas_afrr_up*capacity_mult_B*stack_capacity*acceptance_rate,power_mw*hours_per_day*damas_afrr_down*capacity_mult_B*stack_capacity*acceptance_rate)</f>
        <v/>
      </c>
      <c r="G72" s="42">
        <f>IF(C72="aFRR+",DAMAS_Daily!I72,DAMAS_Daily!J72)</f>
        <v/>
      </c>
      <c r="H72" s="43">
        <f>IF(C72="aFRR+",DAMAS_Daily!E72,DAMAS_Daily!F72)</f>
        <v/>
      </c>
      <c r="I72" s="43">
        <f>IF(C72="aFRR+",DAMAS_Daily!G72,DAMAS_Daily!H72)</f>
        <v/>
      </c>
      <c r="J72" s="45">
        <f>IF(C72="aFRR+",DAMAS_Daily!C72,DAMAS_Daily!D72)</f>
        <v/>
      </c>
      <c r="K72" s="45">
        <f>IF(C72="aFRR+",MIN(DAMAS_Daily!C72*market_share_B*acceptance_rate*stack_activation,power_mw*hours_per_day,capacity_mwh),MIN(DAMAS_Daily!D72*market_share_B*acceptance_rate*stack_activation,power_mw*hours_per_day,capacity_mwh))</f>
        <v/>
      </c>
      <c r="L72" s="42">
        <f>IF(K72&gt;=capacity_mwh-0.01,"yes","no")</f>
        <v/>
      </c>
      <c r="M72" s="18">
        <f>IF(C72="aFRR+",(MIN(DAMAS_Daily!C72*market_share_B*acceptance_rate*stack_activation,power_mw*hours_per_day,capacity_mwh))*DAMAS_Daily!E72*activation_mult_B,(MIN(DAMAS_Daily!D72*market_share_B*acceptance_rate*stack_activation,power_mw*hours_per_day,capacity_mwh))*DAMAS_Daily!F72*activation_mult_B)</f>
        <v/>
      </c>
      <c r="N72" s="19">
        <f>F72+M72</f>
        <v/>
      </c>
    </row>
    <row r="73">
      <c r="A73" s="41">
        <f>DAMAS_Daily!A73</f>
        <v/>
      </c>
      <c r="B73" s="42">
        <f>DAMAS_Daily!B73</f>
        <v/>
      </c>
      <c r="C73" s="42">
        <f>IF((power_mw*hours_per_day*damas_afrr_up*capacity_mult_B*stack_capacity*acceptance_rate+(MIN(DAMAS_Daily!C73*market_share_B*acceptance_rate*stack_activation,power_mw*hours_per_day,capacity_mwh))*DAMAS_Daily!E73*activation_mult_B)&gt;=(power_mw*hours_per_day*damas_afrr_down*capacity_mult_B*stack_capacity*acceptance_rate+(MIN(DAMAS_Daily!D73*market_share_B*acceptance_rate*stack_activation,power_mw*hours_per_day,capacity_mwh))*DAMAS_Daily!F73*activation_mult_B),"aFRR+","aFRR-")</f>
        <v/>
      </c>
      <c r="D73" s="43">
        <f>IF(C73="aFRR+",damas_afrr_up*capacity_mult_B,damas_afrr_down*capacity_mult_B)</f>
        <v/>
      </c>
      <c r="E73" s="44">
        <f>acceptance_rate</f>
        <v/>
      </c>
      <c r="F73" s="18">
        <f>IF(C73="aFRR+",power_mw*hours_per_day*damas_afrr_up*capacity_mult_B*stack_capacity*acceptance_rate,power_mw*hours_per_day*damas_afrr_down*capacity_mult_B*stack_capacity*acceptance_rate)</f>
        <v/>
      </c>
      <c r="G73" s="42">
        <f>IF(C73="aFRR+",DAMAS_Daily!I73,DAMAS_Daily!J73)</f>
        <v/>
      </c>
      <c r="H73" s="43">
        <f>IF(C73="aFRR+",DAMAS_Daily!E73,DAMAS_Daily!F73)</f>
        <v/>
      </c>
      <c r="I73" s="43">
        <f>IF(C73="aFRR+",DAMAS_Daily!G73,DAMAS_Daily!H73)</f>
        <v/>
      </c>
      <c r="J73" s="45">
        <f>IF(C73="aFRR+",DAMAS_Daily!C73,DAMAS_Daily!D73)</f>
        <v/>
      </c>
      <c r="K73" s="45">
        <f>IF(C73="aFRR+",MIN(DAMAS_Daily!C73*market_share_B*acceptance_rate*stack_activation,power_mw*hours_per_day,capacity_mwh),MIN(DAMAS_Daily!D73*market_share_B*acceptance_rate*stack_activation,power_mw*hours_per_day,capacity_mwh))</f>
        <v/>
      </c>
      <c r="L73" s="42">
        <f>IF(K73&gt;=capacity_mwh-0.01,"yes","no")</f>
        <v/>
      </c>
      <c r="M73" s="18">
        <f>IF(C73="aFRR+",(MIN(DAMAS_Daily!C73*market_share_B*acceptance_rate*stack_activation,power_mw*hours_per_day,capacity_mwh))*DAMAS_Daily!E73*activation_mult_B,(MIN(DAMAS_Daily!D73*market_share_B*acceptance_rate*stack_activation,power_mw*hours_per_day,capacity_mwh))*DAMAS_Daily!F73*activation_mult_B)</f>
        <v/>
      </c>
      <c r="N73" s="19">
        <f>F73+M73</f>
        <v/>
      </c>
    </row>
    <row r="74">
      <c r="A74" s="41">
        <f>DAMAS_Daily!A74</f>
        <v/>
      </c>
      <c r="B74" s="42">
        <f>DAMAS_Daily!B74</f>
        <v/>
      </c>
      <c r="C74" s="42">
        <f>IF((power_mw*hours_per_day*damas_afrr_up*capacity_mult_B*stack_capacity*acceptance_rate+(MIN(DAMAS_Daily!C74*market_share_B*acceptance_rate*stack_activation,power_mw*hours_per_day,capacity_mwh))*DAMAS_Daily!E74*activation_mult_B)&gt;=(power_mw*hours_per_day*damas_afrr_down*capacity_mult_B*stack_capacity*acceptance_rate+(MIN(DAMAS_Daily!D74*market_share_B*acceptance_rate*stack_activation,power_mw*hours_per_day,capacity_mwh))*DAMAS_Daily!F74*activation_mult_B),"aFRR+","aFRR-")</f>
        <v/>
      </c>
      <c r="D74" s="43">
        <f>IF(C74="aFRR+",damas_afrr_up*capacity_mult_B,damas_afrr_down*capacity_mult_B)</f>
        <v/>
      </c>
      <c r="E74" s="44">
        <f>acceptance_rate</f>
        <v/>
      </c>
      <c r="F74" s="18">
        <f>IF(C74="aFRR+",power_mw*hours_per_day*damas_afrr_up*capacity_mult_B*stack_capacity*acceptance_rate,power_mw*hours_per_day*damas_afrr_down*capacity_mult_B*stack_capacity*acceptance_rate)</f>
        <v/>
      </c>
      <c r="G74" s="42">
        <f>IF(C74="aFRR+",DAMAS_Daily!I74,DAMAS_Daily!J74)</f>
        <v/>
      </c>
      <c r="H74" s="43">
        <f>IF(C74="aFRR+",DAMAS_Daily!E74,DAMAS_Daily!F74)</f>
        <v/>
      </c>
      <c r="I74" s="43">
        <f>IF(C74="aFRR+",DAMAS_Daily!G74,DAMAS_Daily!H74)</f>
        <v/>
      </c>
      <c r="J74" s="45">
        <f>IF(C74="aFRR+",DAMAS_Daily!C74,DAMAS_Daily!D74)</f>
        <v/>
      </c>
      <c r="K74" s="45">
        <f>IF(C74="aFRR+",MIN(DAMAS_Daily!C74*market_share_B*acceptance_rate*stack_activation,power_mw*hours_per_day,capacity_mwh),MIN(DAMAS_Daily!D74*market_share_B*acceptance_rate*stack_activation,power_mw*hours_per_day,capacity_mwh))</f>
        <v/>
      </c>
      <c r="L74" s="42">
        <f>IF(K74&gt;=capacity_mwh-0.01,"yes","no")</f>
        <v/>
      </c>
      <c r="M74" s="18">
        <f>IF(C74="aFRR+",(MIN(DAMAS_Daily!C74*market_share_B*acceptance_rate*stack_activation,power_mw*hours_per_day,capacity_mwh))*DAMAS_Daily!E74*activation_mult_B,(MIN(DAMAS_Daily!D74*market_share_B*acceptance_rate*stack_activation,power_mw*hours_per_day,capacity_mwh))*DAMAS_Daily!F74*activation_mult_B)</f>
        <v/>
      </c>
      <c r="N74" s="19">
        <f>F74+M74</f>
        <v/>
      </c>
    </row>
    <row r="75">
      <c r="A75" s="41">
        <f>DAMAS_Daily!A75</f>
        <v/>
      </c>
      <c r="B75" s="42">
        <f>DAMAS_Daily!B75</f>
        <v/>
      </c>
      <c r="C75" s="42">
        <f>IF((power_mw*hours_per_day*damas_afrr_up*capacity_mult_B*stack_capacity*acceptance_rate+(MIN(DAMAS_Daily!C75*market_share_B*acceptance_rate*stack_activation,power_mw*hours_per_day,capacity_mwh))*DAMAS_Daily!E75*activation_mult_B)&gt;=(power_mw*hours_per_day*damas_afrr_down*capacity_mult_B*stack_capacity*acceptance_rate+(MIN(DAMAS_Daily!D75*market_share_B*acceptance_rate*stack_activation,power_mw*hours_per_day,capacity_mwh))*DAMAS_Daily!F75*activation_mult_B),"aFRR+","aFRR-")</f>
        <v/>
      </c>
      <c r="D75" s="43">
        <f>IF(C75="aFRR+",damas_afrr_up*capacity_mult_B,damas_afrr_down*capacity_mult_B)</f>
        <v/>
      </c>
      <c r="E75" s="44">
        <f>acceptance_rate</f>
        <v/>
      </c>
      <c r="F75" s="18">
        <f>IF(C75="aFRR+",power_mw*hours_per_day*damas_afrr_up*capacity_mult_B*stack_capacity*acceptance_rate,power_mw*hours_per_day*damas_afrr_down*capacity_mult_B*stack_capacity*acceptance_rate)</f>
        <v/>
      </c>
      <c r="G75" s="42">
        <f>IF(C75="aFRR+",DAMAS_Daily!I75,DAMAS_Daily!J75)</f>
        <v/>
      </c>
      <c r="H75" s="43">
        <f>IF(C75="aFRR+",DAMAS_Daily!E75,DAMAS_Daily!F75)</f>
        <v/>
      </c>
      <c r="I75" s="43">
        <f>IF(C75="aFRR+",DAMAS_Daily!G75,DAMAS_Daily!H75)</f>
        <v/>
      </c>
      <c r="J75" s="45">
        <f>IF(C75="aFRR+",DAMAS_Daily!C75,DAMAS_Daily!D75)</f>
        <v/>
      </c>
      <c r="K75" s="45">
        <f>IF(C75="aFRR+",MIN(DAMAS_Daily!C75*market_share_B*acceptance_rate*stack_activation,power_mw*hours_per_day,capacity_mwh),MIN(DAMAS_Daily!D75*market_share_B*acceptance_rate*stack_activation,power_mw*hours_per_day,capacity_mwh))</f>
        <v/>
      </c>
      <c r="L75" s="42">
        <f>IF(K75&gt;=capacity_mwh-0.01,"yes","no")</f>
        <v/>
      </c>
      <c r="M75" s="18">
        <f>IF(C75="aFRR+",(MIN(DAMAS_Daily!C75*market_share_B*acceptance_rate*stack_activation,power_mw*hours_per_day,capacity_mwh))*DAMAS_Daily!E75*activation_mult_B,(MIN(DAMAS_Daily!D75*market_share_B*acceptance_rate*stack_activation,power_mw*hours_per_day,capacity_mwh))*DAMAS_Daily!F75*activation_mult_B)</f>
        <v/>
      </c>
      <c r="N75" s="19">
        <f>F75+M75</f>
        <v/>
      </c>
    </row>
    <row r="76">
      <c r="A76" s="41">
        <f>DAMAS_Daily!A76</f>
        <v/>
      </c>
      <c r="B76" s="42">
        <f>DAMAS_Daily!B76</f>
        <v/>
      </c>
      <c r="C76" s="42">
        <f>IF((power_mw*hours_per_day*damas_afrr_up*capacity_mult_B*stack_capacity*acceptance_rate+(MIN(DAMAS_Daily!C76*market_share_B*acceptance_rate*stack_activation,power_mw*hours_per_day,capacity_mwh))*DAMAS_Daily!E76*activation_mult_B)&gt;=(power_mw*hours_per_day*damas_afrr_down*capacity_mult_B*stack_capacity*acceptance_rate+(MIN(DAMAS_Daily!D76*market_share_B*acceptance_rate*stack_activation,power_mw*hours_per_day,capacity_mwh))*DAMAS_Daily!F76*activation_mult_B),"aFRR+","aFRR-")</f>
        <v/>
      </c>
      <c r="D76" s="43">
        <f>IF(C76="aFRR+",damas_afrr_up*capacity_mult_B,damas_afrr_down*capacity_mult_B)</f>
        <v/>
      </c>
      <c r="E76" s="44">
        <f>acceptance_rate</f>
        <v/>
      </c>
      <c r="F76" s="18">
        <f>IF(C76="aFRR+",power_mw*hours_per_day*damas_afrr_up*capacity_mult_B*stack_capacity*acceptance_rate,power_mw*hours_per_day*damas_afrr_down*capacity_mult_B*stack_capacity*acceptance_rate)</f>
        <v/>
      </c>
      <c r="G76" s="42">
        <f>IF(C76="aFRR+",DAMAS_Daily!I76,DAMAS_Daily!J76)</f>
        <v/>
      </c>
      <c r="H76" s="43">
        <f>IF(C76="aFRR+",DAMAS_Daily!E76,DAMAS_Daily!F76)</f>
        <v/>
      </c>
      <c r="I76" s="43">
        <f>IF(C76="aFRR+",DAMAS_Daily!G76,DAMAS_Daily!H76)</f>
        <v/>
      </c>
      <c r="J76" s="45">
        <f>IF(C76="aFRR+",DAMAS_Daily!C76,DAMAS_Daily!D76)</f>
        <v/>
      </c>
      <c r="K76" s="45">
        <f>IF(C76="aFRR+",MIN(DAMAS_Daily!C76*market_share_B*acceptance_rate*stack_activation,power_mw*hours_per_day,capacity_mwh),MIN(DAMAS_Daily!D76*market_share_B*acceptance_rate*stack_activation,power_mw*hours_per_day,capacity_mwh))</f>
        <v/>
      </c>
      <c r="L76" s="42">
        <f>IF(K76&gt;=capacity_mwh-0.01,"yes","no")</f>
        <v/>
      </c>
      <c r="M76" s="18">
        <f>IF(C76="aFRR+",(MIN(DAMAS_Daily!C76*market_share_B*acceptance_rate*stack_activation,power_mw*hours_per_day,capacity_mwh))*DAMAS_Daily!E76*activation_mult_B,(MIN(DAMAS_Daily!D76*market_share_B*acceptance_rate*stack_activation,power_mw*hours_per_day,capacity_mwh))*DAMAS_Daily!F76*activation_mult_B)</f>
        <v/>
      </c>
      <c r="N76" s="19">
        <f>F76+M76</f>
        <v/>
      </c>
    </row>
    <row r="77">
      <c r="A77" s="41">
        <f>DAMAS_Daily!A77</f>
        <v/>
      </c>
      <c r="B77" s="42">
        <f>DAMAS_Daily!B77</f>
        <v/>
      </c>
      <c r="C77" s="42">
        <f>IF((power_mw*hours_per_day*damas_afrr_up*capacity_mult_B*stack_capacity*acceptance_rate+(MIN(DAMAS_Daily!C77*market_share_B*acceptance_rate*stack_activation,power_mw*hours_per_day,capacity_mwh))*DAMAS_Daily!E77*activation_mult_B)&gt;=(power_mw*hours_per_day*damas_afrr_down*capacity_mult_B*stack_capacity*acceptance_rate+(MIN(DAMAS_Daily!D77*market_share_B*acceptance_rate*stack_activation,power_mw*hours_per_day,capacity_mwh))*DAMAS_Daily!F77*activation_mult_B),"aFRR+","aFRR-")</f>
        <v/>
      </c>
      <c r="D77" s="43">
        <f>IF(C77="aFRR+",damas_afrr_up*capacity_mult_B,damas_afrr_down*capacity_mult_B)</f>
        <v/>
      </c>
      <c r="E77" s="44">
        <f>acceptance_rate</f>
        <v/>
      </c>
      <c r="F77" s="18">
        <f>IF(C77="aFRR+",power_mw*hours_per_day*damas_afrr_up*capacity_mult_B*stack_capacity*acceptance_rate,power_mw*hours_per_day*damas_afrr_down*capacity_mult_B*stack_capacity*acceptance_rate)</f>
        <v/>
      </c>
      <c r="G77" s="42">
        <f>IF(C77="aFRR+",DAMAS_Daily!I77,DAMAS_Daily!J77)</f>
        <v/>
      </c>
      <c r="H77" s="43">
        <f>IF(C77="aFRR+",DAMAS_Daily!E77,DAMAS_Daily!F77)</f>
        <v/>
      </c>
      <c r="I77" s="43">
        <f>IF(C77="aFRR+",DAMAS_Daily!G77,DAMAS_Daily!H77)</f>
        <v/>
      </c>
      <c r="J77" s="45">
        <f>IF(C77="aFRR+",DAMAS_Daily!C77,DAMAS_Daily!D77)</f>
        <v/>
      </c>
      <c r="K77" s="45">
        <f>IF(C77="aFRR+",MIN(DAMAS_Daily!C77*market_share_B*acceptance_rate*stack_activation,power_mw*hours_per_day,capacity_mwh),MIN(DAMAS_Daily!D77*market_share_B*acceptance_rate*stack_activation,power_mw*hours_per_day,capacity_mwh))</f>
        <v/>
      </c>
      <c r="L77" s="42">
        <f>IF(K77&gt;=capacity_mwh-0.01,"yes","no")</f>
        <v/>
      </c>
      <c r="M77" s="18">
        <f>IF(C77="aFRR+",(MIN(DAMAS_Daily!C77*market_share_B*acceptance_rate*stack_activation,power_mw*hours_per_day,capacity_mwh))*DAMAS_Daily!E77*activation_mult_B,(MIN(DAMAS_Daily!D77*market_share_B*acceptance_rate*stack_activation,power_mw*hours_per_day,capacity_mwh))*DAMAS_Daily!F77*activation_mult_B)</f>
        <v/>
      </c>
      <c r="N77" s="19">
        <f>F77+M77</f>
        <v/>
      </c>
    </row>
    <row r="78">
      <c r="A78" s="41">
        <f>DAMAS_Daily!A78</f>
        <v/>
      </c>
      <c r="B78" s="42">
        <f>DAMAS_Daily!B78</f>
        <v/>
      </c>
      <c r="C78" s="42">
        <f>IF((power_mw*hours_per_day*damas_afrr_up*capacity_mult_B*stack_capacity*acceptance_rate+(MIN(DAMAS_Daily!C78*market_share_B*acceptance_rate*stack_activation,power_mw*hours_per_day,capacity_mwh))*DAMAS_Daily!E78*activation_mult_B)&gt;=(power_mw*hours_per_day*damas_afrr_down*capacity_mult_B*stack_capacity*acceptance_rate+(MIN(DAMAS_Daily!D78*market_share_B*acceptance_rate*stack_activation,power_mw*hours_per_day,capacity_mwh))*DAMAS_Daily!F78*activation_mult_B),"aFRR+","aFRR-")</f>
        <v/>
      </c>
      <c r="D78" s="43">
        <f>IF(C78="aFRR+",damas_afrr_up*capacity_mult_B,damas_afrr_down*capacity_mult_B)</f>
        <v/>
      </c>
      <c r="E78" s="44">
        <f>acceptance_rate</f>
        <v/>
      </c>
      <c r="F78" s="18">
        <f>IF(C78="aFRR+",power_mw*hours_per_day*damas_afrr_up*capacity_mult_B*stack_capacity*acceptance_rate,power_mw*hours_per_day*damas_afrr_down*capacity_mult_B*stack_capacity*acceptance_rate)</f>
        <v/>
      </c>
      <c r="G78" s="42">
        <f>IF(C78="aFRR+",DAMAS_Daily!I78,DAMAS_Daily!J78)</f>
        <v/>
      </c>
      <c r="H78" s="43">
        <f>IF(C78="aFRR+",DAMAS_Daily!E78,DAMAS_Daily!F78)</f>
        <v/>
      </c>
      <c r="I78" s="43">
        <f>IF(C78="aFRR+",DAMAS_Daily!G78,DAMAS_Daily!H78)</f>
        <v/>
      </c>
      <c r="J78" s="45">
        <f>IF(C78="aFRR+",DAMAS_Daily!C78,DAMAS_Daily!D78)</f>
        <v/>
      </c>
      <c r="K78" s="45">
        <f>IF(C78="aFRR+",MIN(DAMAS_Daily!C78*market_share_B*acceptance_rate*stack_activation,power_mw*hours_per_day,capacity_mwh),MIN(DAMAS_Daily!D78*market_share_B*acceptance_rate*stack_activation,power_mw*hours_per_day,capacity_mwh))</f>
        <v/>
      </c>
      <c r="L78" s="42">
        <f>IF(K78&gt;=capacity_mwh-0.01,"yes","no")</f>
        <v/>
      </c>
      <c r="M78" s="18">
        <f>IF(C78="aFRR+",(MIN(DAMAS_Daily!C78*market_share_B*acceptance_rate*stack_activation,power_mw*hours_per_day,capacity_mwh))*DAMAS_Daily!E78*activation_mult_B,(MIN(DAMAS_Daily!D78*market_share_B*acceptance_rate*stack_activation,power_mw*hours_per_day,capacity_mwh))*DAMAS_Daily!F78*activation_mult_B)</f>
        <v/>
      </c>
      <c r="N78" s="19">
        <f>F78+M78</f>
        <v/>
      </c>
    </row>
    <row r="79">
      <c r="A79" s="41">
        <f>DAMAS_Daily!A79</f>
        <v/>
      </c>
      <c r="B79" s="42">
        <f>DAMAS_Daily!B79</f>
        <v/>
      </c>
      <c r="C79" s="42">
        <f>IF((power_mw*hours_per_day*damas_afrr_up*capacity_mult_B*stack_capacity*acceptance_rate+(MIN(DAMAS_Daily!C79*market_share_B*acceptance_rate*stack_activation,power_mw*hours_per_day,capacity_mwh))*DAMAS_Daily!E79*activation_mult_B)&gt;=(power_mw*hours_per_day*damas_afrr_down*capacity_mult_B*stack_capacity*acceptance_rate+(MIN(DAMAS_Daily!D79*market_share_B*acceptance_rate*stack_activation,power_mw*hours_per_day,capacity_mwh))*DAMAS_Daily!F79*activation_mult_B),"aFRR+","aFRR-")</f>
        <v/>
      </c>
      <c r="D79" s="43">
        <f>IF(C79="aFRR+",damas_afrr_up*capacity_mult_B,damas_afrr_down*capacity_mult_B)</f>
        <v/>
      </c>
      <c r="E79" s="44">
        <f>acceptance_rate</f>
        <v/>
      </c>
      <c r="F79" s="18">
        <f>IF(C79="aFRR+",power_mw*hours_per_day*damas_afrr_up*capacity_mult_B*stack_capacity*acceptance_rate,power_mw*hours_per_day*damas_afrr_down*capacity_mult_B*stack_capacity*acceptance_rate)</f>
        <v/>
      </c>
      <c r="G79" s="42">
        <f>IF(C79="aFRR+",DAMAS_Daily!I79,DAMAS_Daily!J79)</f>
        <v/>
      </c>
      <c r="H79" s="43">
        <f>IF(C79="aFRR+",DAMAS_Daily!E79,DAMAS_Daily!F79)</f>
        <v/>
      </c>
      <c r="I79" s="43">
        <f>IF(C79="aFRR+",DAMAS_Daily!G79,DAMAS_Daily!H79)</f>
        <v/>
      </c>
      <c r="J79" s="45">
        <f>IF(C79="aFRR+",DAMAS_Daily!C79,DAMAS_Daily!D79)</f>
        <v/>
      </c>
      <c r="K79" s="45">
        <f>IF(C79="aFRR+",MIN(DAMAS_Daily!C79*market_share_B*acceptance_rate*stack_activation,power_mw*hours_per_day,capacity_mwh),MIN(DAMAS_Daily!D79*market_share_B*acceptance_rate*stack_activation,power_mw*hours_per_day,capacity_mwh))</f>
        <v/>
      </c>
      <c r="L79" s="42">
        <f>IF(K79&gt;=capacity_mwh-0.01,"yes","no")</f>
        <v/>
      </c>
      <c r="M79" s="18">
        <f>IF(C79="aFRR+",(MIN(DAMAS_Daily!C79*market_share_B*acceptance_rate*stack_activation,power_mw*hours_per_day,capacity_mwh))*DAMAS_Daily!E79*activation_mult_B,(MIN(DAMAS_Daily!D79*market_share_B*acceptance_rate*stack_activation,power_mw*hours_per_day,capacity_mwh))*DAMAS_Daily!F79*activation_mult_B)</f>
        <v/>
      </c>
      <c r="N79" s="19">
        <f>F79+M79</f>
        <v/>
      </c>
    </row>
    <row r="80">
      <c r="A80" s="41">
        <f>DAMAS_Daily!A80</f>
        <v/>
      </c>
      <c r="B80" s="42">
        <f>DAMAS_Daily!B80</f>
        <v/>
      </c>
      <c r="C80" s="42">
        <f>IF((power_mw*hours_per_day*damas_afrr_up*capacity_mult_B*stack_capacity*acceptance_rate+(MIN(DAMAS_Daily!C80*market_share_B*acceptance_rate*stack_activation,power_mw*hours_per_day,capacity_mwh))*DAMAS_Daily!E80*activation_mult_B)&gt;=(power_mw*hours_per_day*damas_afrr_down*capacity_mult_B*stack_capacity*acceptance_rate+(MIN(DAMAS_Daily!D80*market_share_B*acceptance_rate*stack_activation,power_mw*hours_per_day,capacity_mwh))*DAMAS_Daily!F80*activation_mult_B),"aFRR+","aFRR-")</f>
        <v/>
      </c>
      <c r="D80" s="43">
        <f>IF(C80="aFRR+",damas_afrr_up*capacity_mult_B,damas_afrr_down*capacity_mult_B)</f>
        <v/>
      </c>
      <c r="E80" s="44">
        <f>acceptance_rate</f>
        <v/>
      </c>
      <c r="F80" s="18">
        <f>IF(C80="aFRR+",power_mw*hours_per_day*damas_afrr_up*capacity_mult_B*stack_capacity*acceptance_rate,power_mw*hours_per_day*damas_afrr_down*capacity_mult_B*stack_capacity*acceptance_rate)</f>
        <v/>
      </c>
      <c r="G80" s="42">
        <f>IF(C80="aFRR+",DAMAS_Daily!I80,DAMAS_Daily!J80)</f>
        <v/>
      </c>
      <c r="H80" s="43">
        <f>IF(C80="aFRR+",DAMAS_Daily!E80,DAMAS_Daily!F80)</f>
        <v/>
      </c>
      <c r="I80" s="43">
        <f>IF(C80="aFRR+",DAMAS_Daily!G80,DAMAS_Daily!H80)</f>
        <v/>
      </c>
      <c r="J80" s="45">
        <f>IF(C80="aFRR+",DAMAS_Daily!C80,DAMAS_Daily!D80)</f>
        <v/>
      </c>
      <c r="K80" s="45">
        <f>IF(C80="aFRR+",MIN(DAMAS_Daily!C80*market_share_B*acceptance_rate*stack_activation,power_mw*hours_per_day,capacity_mwh),MIN(DAMAS_Daily!D80*market_share_B*acceptance_rate*stack_activation,power_mw*hours_per_day,capacity_mwh))</f>
        <v/>
      </c>
      <c r="L80" s="42">
        <f>IF(K80&gt;=capacity_mwh-0.01,"yes","no")</f>
        <v/>
      </c>
      <c r="M80" s="18">
        <f>IF(C80="aFRR+",(MIN(DAMAS_Daily!C80*market_share_B*acceptance_rate*stack_activation,power_mw*hours_per_day,capacity_mwh))*DAMAS_Daily!E80*activation_mult_B,(MIN(DAMAS_Daily!D80*market_share_B*acceptance_rate*stack_activation,power_mw*hours_per_day,capacity_mwh))*DAMAS_Daily!F80*activation_mult_B)</f>
        <v/>
      </c>
      <c r="N80" s="19">
        <f>F80+M80</f>
        <v/>
      </c>
    </row>
    <row r="81">
      <c r="A81" s="41">
        <f>DAMAS_Daily!A81</f>
        <v/>
      </c>
      <c r="B81" s="42">
        <f>DAMAS_Daily!B81</f>
        <v/>
      </c>
      <c r="C81" s="42">
        <f>IF((power_mw*hours_per_day*damas_afrr_up*capacity_mult_B*stack_capacity*acceptance_rate+(MIN(DAMAS_Daily!C81*market_share_B*acceptance_rate*stack_activation,power_mw*hours_per_day,capacity_mwh))*DAMAS_Daily!E81*activation_mult_B)&gt;=(power_mw*hours_per_day*damas_afrr_down*capacity_mult_B*stack_capacity*acceptance_rate+(MIN(DAMAS_Daily!D81*market_share_B*acceptance_rate*stack_activation,power_mw*hours_per_day,capacity_mwh))*DAMAS_Daily!F81*activation_mult_B),"aFRR+","aFRR-")</f>
        <v/>
      </c>
      <c r="D81" s="43">
        <f>IF(C81="aFRR+",damas_afrr_up*capacity_mult_B,damas_afrr_down*capacity_mult_B)</f>
        <v/>
      </c>
      <c r="E81" s="44">
        <f>acceptance_rate</f>
        <v/>
      </c>
      <c r="F81" s="18">
        <f>IF(C81="aFRR+",power_mw*hours_per_day*damas_afrr_up*capacity_mult_B*stack_capacity*acceptance_rate,power_mw*hours_per_day*damas_afrr_down*capacity_mult_B*stack_capacity*acceptance_rate)</f>
        <v/>
      </c>
      <c r="G81" s="42">
        <f>IF(C81="aFRR+",DAMAS_Daily!I81,DAMAS_Daily!J81)</f>
        <v/>
      </c>
      <c r="H81" s="43">
        <f>IF(C81="aFRR+",DAMAS_Daily!E81,DAMAS_Daily!F81)</f>
        <v/>
      </c>
      <c r="I81" s="43">
        <f>IF(C81="aFRR+",DAMAS_Daily!G81,DAMAS_Daily!H81)</f>
        <v/>
      </c>
      <c r="J81" s="45">
        <f>IF(C81="aFRR+",DAMAS_Daily!C81,DAMAS_Daily!D81)</f>
        <v/>
      </c>
      <c r="K81" s="45">
        <f>IF(C81="aFRR+",MIN(DAMAS_Daily!C81*market_share_B*acceptance_rate*stack_activation,power_mw*hours_per_day,capacity_mwh),MIN(DAMAS_Daily!D81*market_share_B*acceptance_rate*stack_activation,power_mw*hours_per_day,capacity_mwh))</f>
        <v/>
      </c>
      <c r="L81" s="42">
        <f>IF(K81&gt;=capacity_mwh-0.01,"yes","no")</f>
        <v/>
      </c>
      <c r="M81" s="18">
        <f>IF(C81="aFRR+",(MIN(DAMAS_Daily!C81*market_share_B*acceptance_rate*stack_activation,power_mw*hours_per_day,capacity_mwh))*DAMAS_Daily!E81*activation_mult_B,(MIN(DAMAS_Daily!D81*market_share_B*acceptance_rate*stack_activation,power_mw*hours_per_day,capacity_mwh))*DAMAS_Daily!F81*activation_mult_B)</f>
        <v/>
      </c>
      <c r="N81" s="19">
        <f>F81+M81</f>
        <v/>
      </c>
    </row>
    <row r="82">
      <c r="A82" s="41">
        <f>DAMAS_Daily!A82</f>
        <v/>
      </c>
      <c r="B82" s="42">
        <f>DAMAS_Daily!B82</f>
        <v/>
      </c>
      <c r="C82" s="42">
        <f>IF((power_mw*hours_per_day*damas_afrr_up*capacity_mult_B*stack_capacity*acceptance_rate+(MIN(DAMAS_Daily!C82*market_share_B*acceptance_rate*stack_activation,power_mw*hours_per_day,capacity_mwh))*DAMAS_Daily!E82*activation_mult_B)&gt;=(power_mw*hours_per_day*damas_afrr_down*capacity_mult_B*stack_capacity*acceptance_rate+(MIN(DAMAS_Daily!D82*market_share_B*acceptance_rate*stack_activation,power_mw*hours_per_day,capacity_mwh))*DAMAS_Daily!F82*activation_mult_B),"aFRR+","aFRR-")</f>
        <v/>
      </c>
      <c r="D82" s="43">
        <f>IF(C82="aFRR+",damas_afrr_up*capacity_mult_B,damas_afrr_down*capacity_mult_B)</f>
        <v/>
      </c>
      <c r="E82" s="44">
        <f>acceptance_rate</f>
        <v/>
      </c>
      <c r="F82" s="18">
        <f>IF(C82="aFRR+",power_mw*hours_per_day*damas_afrr_up*capacity_mult_B*stack_capacity*acceptance_rate,power_mw*hours_per_day*damas_afrr_down*capacity_mult_B*stack_capacity*acceptance_rate)</f>
        <v/>
      </c>
      <c r="G82" s="42">
        <f>IF(C82="aFRR+",DAMAS_Daily!I82,DAMAS_Daily!J82)</f>
        <v/>
      </c>
      <c r="H82" s="43">
        <f>IF(C82="aFRR+",DAMAS_Daily!E82,DAMAS_Daily!F82)</f>
        <v/>
      </c>
      <c r="I82" s="43">
        <f>IF(C82="aFRR+",DAMAS_Daily!G82,DAMAS_Daily!H82)</f>
        <v/>
      </c>
      <c r="J82" s="45">
        <f>IF(C82="aFRR+",DAMAS_Daily!C82,DAMAS_Daily!D82)</f>
        <v/>
      </c>
      <c r="K82" s="45">
        <f>IF(C82="aFRR+",MIN(DAMAS_Daily!C82*market_share_B*acceptance_rate*stack_activation,power_mw*hours_per_day,capacity_mwh),MIN(DAMAS_Daily!D82*market_share_B*acceptance_rate*stack_activation,power_mw*hours_per_day,capacity_mwh))</f>
        <v/>
      </c>
      <c r="L82" s="42">
        <f>IF(K82&gt;=capacity_mwh-0.01,"yes","no")</f>
        <v/>
      </c>
      <c r="M82" s="18">
        <f>IF(C82="aFRR+",(MIN(DAMAS_Daily!C82*market_share_B*acceptance_rate*stack_activation,power_mw*hours_per_day,capacity_mwh))*DAMAS_Daily!E82*activation_mult_B,(MIN(DAMAS_Daily!D82*market_share_B*acceptance_rate*stack_activation,power_mw*hours_per_day,capacity_mwh))*DAMAS_Daily!F82*activation_mult_B)</f>
        <v/>
      </c>
      <c r="N82" s="19">
        <f>F82+M82</f>
        <v/>
      </c>
    </row>
    <row r="83">
      <c r="A83" s="41">
        <f>DAMAS_Daily!A83</f>
        <v/>
      </c>
      <c r="B83" s="42">
        <f>DAMAS_Daily!B83</f>
        <v/>
      </c>
      <c r="C83" s="42">
        <f>IF((power_mw*hours_per_day*damas_afrr_up*capacity_mult_B*stack_capacity*acceptance_rate+(MIN(DAMAS_Daily!C83*market_share_B*acceptance_rate*stack_activation,power_mw*hours_per_day,capacity_mwh))*DAMAS_Daily!E83*activation_mult_B)&gt;=(power_mw*hours_per_day*damas_afrr_down*capacity_mult_B*stack_capacity*acceptance_rate+(MIN(DAMAS_Daily!D83*market_share_B*acceptance_rate*stack_activation,power_mw*hours_per_day,capacity_mwh))*DAMAS_Daily!F83*activation_mult_B),"aFRR+","aFRR-")</f>
        <v/>
      </c>
      <c r="D83" s="43">
        <f>IF(C83="aFRR+",damas_afrr_up*capacity_mult_B,damas_afrr_down*capacity_mult_B)</f>
        <v/>
      </c>
      <c r="E83" s="44">
        <f>acceptance_rate</f>
        <v/>
      </c>
      <c r="F83" s="18">
        <f>IF(C83="aFRR+",power_mw*hours_per_day*damas_afrr_up*capacity_mult_B*stack_capacity*acceptance_rate,power_mw*hours_per_day*damas_afrr_down*capacity_mult_B*stack_capacity*acceptance_rate)</f>
        <v/>
      </c>
      <c r="G83" s="42">
        <f>IF(C83="aFRR+",DAMAS_Daily!I83,DAMAS_Daily!J83)</f>
        <v/>
      </c>
      <c r="H83" s="43">
        <f>IF(C83="aFRR+",DAMAS_Daily!E83,DAMAS_Daily!F83)</f>
        <v/>
      </c>
      <c r="I83" s="43">
        <f>IF(C83="aFRR+",DAMAS_Daily!G83,DAMAS_Daily!H83)</f>
        <v/>
      </c>
      <c r="J83" s="45">
        <f>IF(C83="aFRR+",DAMAS_Daily!C83,DAMAS_Daily!D83)</f>
        <v/>
      </c>
      <c r="K83" s="45">
        <f>IF(C83="aFRR+",MIN(DAMAS_Daily!C83*market_share_B*acceptance_rate*stack_activation,power_mw*hours_per_day,capacity_mwh),MIN(DAMAS_Daily!D83*market_share_B*acceptance_rate*stack_activation,power_mw*hours_per_day,capacity_mwh))</f>
        <v/>
      </c>
      <c r="L83" s="42">
        <f>IF(K83&gt;=capacity_mwh-0.01,"yes","no")</f>
        <v/>
      </c>
      <c r="M83" s="18">
        <f>IF(C83="aFRR+",(MIN(DAMAS_Daily!C83*market_share_B*acceptance_rate*stack_activation,power_mw*hours_per_day,capacity_mwh))*DAMAS_Daily!E83*activation_mult_B,(MIN(DAMAS_Daily!D83*market_share_B*acceptance_rate*stack_activation,power_mw*hours_per_day,capacity_mwh))*DAMAS_Daily!F83*activation_mult_B)</f>
        <v/>
      </c>
      <c r="N83" s="19">
        <f>F83+M83</f>
        <v/>
      </c>
    </row>
    <row r="84">
      <c r="A84" s="41">
        <f>DAMAS_Daily!A84</f>
        <v/>
      </c>
      <c r="B84" s="42">
        <f>DAMAS_Daily!B84</f>
        <v/>
      </c>
      <c r="C84" s="42">
        <f>IF((power_mw*hours_per_day*damas_afrr_up*capacity_mult_B*stack_capacity*acceptance_rate+(MIN(DAMAS_Daily!C84*market_share_B*acceptance_rate*stack_activation,power_mw*hours_per_day,capacity_mwh))*DAMAS_Daily!E84*activation_mult_B)&gt;=(power_mw*hours_per_day*damas_afrr_down*capacity_mult_B*stack_capacity*acceptance_rate+(MIN(DAMAS_Daily!D84*market_share_B*acceptance_rate*stack_activation,power_mw*hours_per_day,capacity_mwh))*DAMAS_Daily!F84*activation_mult_B),"aFRR+","aFRR-")</f>
        <v/>
      </c>
      <c r="D84" s="43">
        <f>IF(C84="aFRR+",damas_afrr_up*capacity_mult_B,damas_afrr_down*capacity_mult_B)</f>
        <v/>
      </c>
      <c r="E84" s="44">
        <f>acceptance_rate</f>
        <v/>
      </c>
      <c r="F84" s="18">
        <f>IF(C84="aFRR+",power_mw*hours_per_day*damas_afrr_up*capacity_mult_B*stack_capacity*acceptance_rate,power_mw*hours_per_day*damas_afrr_down*capacity_mult_B*stack_capacity*acceptance_rate)</f>
        <v/>
      </c>
      <c r="G84" s="42">
        <f>IF(C84="aFRR+",DAMAS_Daily!I84,DAMAS_Daily!J84)</f>
        <v/>
      </c>
      <c r="H84" s="43">
        <f>IF(C84="aFRR+",DAMAS_Daily!E84,DAMAS_Daily!F84)</f>
        <v/>
      </c>
      <c r="I84" s="43">
        <f>IF(C84="aFRR+",DAMAS_Daily!G84,DAMAS_Daily!H84)</f>
        <v/>
      </c>
      <c r="J84" s="45">
        <f>IF(C84="aFRR+",DAMAS_Daily!C84,DAMAS_Daily!D84)</f>
        <v/>
      </c>
      <c r="K84" s="45">
        <f>IF(C84="aFRR+",MIN(DAMAS_Daily!C84*market_share_B*acceptance_rate*stack_activation,power_mw*hours_per_day,capacity_mwh),MIN(DAMAS_Daily!D84*market_share_B*acceptance_rate*stack_activation,power_mw*hours_per_day,capacity_mwh))</f>
        <v/>
      </c>
      <c r="L84" s="42">
        <f>IF(K84&gt;=capacity_mwh-0.01,"yes","no")</f>
        <v/>
      </c>
      <c r="M84" s="18">
        <f>IF(C84="aFRR+",(MIN(DAMAS_Daily!C84*market_share_B*acceptance_rate*stack_activation,power_mw*hours_per_day,capacity_mwh))*DAMAS_Daily!E84*activation_mult_B,(MIN(DAMAS_Daily!D84*market_share_B*acceptance_rate*stack_activation,power_mw*hours_per_day,capacity_mwh))*DAMAS_Daily!F84*activation_mult_B)</f>
        <v/>
      </c>
      <c r="N84" s="19">
        <f>F84+M84</f>
        <v/>
      </c>
    </row>
    <row r="85">
      <c r="A85" s="41">
        <f>DAMAS_Daily!A85</f>
        <v/>
      </c>
      <c r="B85" s="42">
        <f>DAMAS_Daily!B85</f>
        <v/>
      </c>
      <c r="C85" s="42">
        <f>IF((power_mw*hours_per_day*damas_afrr_up*capacity_mult_B*stack_capacity*acceptance_rate+(MIN(DAMAS_Daily!C85*market_share_B*acceptance_rate*stack_activation,power_mw*hours_per_day,capacity_mwh))*DAMAS_Daily!E85*activation_mult_B)&gt;=(power_mw*hours_per_day*damas_afrr_down*capacity_mult_B*stack_capacity*acceptance_rate+(MIN(DAMAS_Daily!D85*market_share_B*acceptance_rate*stack_activation,power_mw*hours_per_day,capacity_mwh))*DAMAS_Daily!F85*activation_mult_B),"aFRR+","aFRR-")</f>
        <v/>
      </c>
      <c r="D85" s="43">
        <f>IF(C85="aFRR+",damas_afrr_up*capacity_mult_B,damas_afrr_down*capacity_mult_B)</f>
        <v/>
      </c>
      <c r="E85" s="44">
        <f>acceptance_rate</f>
        <v/>
      </c>
      <c r="F85" s="18">
        <f>IF(C85="aFRR+",power_mw*hours_per_day*damas_afrr_up*capacity_mult_B*stack_capacity*acceptance_rate,power_mw*hours_per_day*damas_afrr_down*capacity_mult_B*stack_capacity*acceptance_rate)</f>
        <v/>
      </c>
      <c r="G85" s="42">
        <f>IF(C85="aFRR+",DAMAS_Daily!I85,DAMAS_Daily!J85)</f>
        <v/>
      </c>
      <c r="H85" s="43">
        <f>IF(C85="aFRR+",DAMAS_Daily!E85,DAMAS_Daily!F85)</f>
        <v/>
      </c>
      <c r="I85" s="43">
        <f>IF(C85="aFRR+",DAMAS_Daily!G85,DAMAS_Daily!H85)</f>
        <v/>
      </c>
      <c r="J85" s="45">
        <f>IF(C85="aFRR+",DAMAS_Daily!C85,DAMAS_Daily!D85)</f>
        <v/>
      </c>
      <c r="K85" s="45">
        <f>IF(C85="aFRR+",MIN(DAMAS_Daily!C85*market_share_B*acceptance_rate*stack_activation,power_mw*hours_per_day,capacity_mwh),MIN(DAMAS_Daily!D85*market_share_B*acceptance_rate*stack_activation,power_mw*hours_per_day,capacity_mwh))</f>
        <v/>
      </c>
      <c r="L85" s="42">
        <f>IF(K85&gt;=capacity_mwh-0.01,"yes","no")</f>
        <v/>
      </c>
      <c r="M85" s="18">
        <f>IF(C85="aFRR+",(MIN(DAMAS_Daily!C85*market_share_B*acceptance_rate*stack_activation,power_mw*hours_per_day,capacity_mwh))*DAMAS_Daily!E85*activation_mult_B,(MIN(DAMAS_Daily!D85*market_share_B*acceptance_rate*stack_activation,power_mw*hours_per_day,capacity_mwh))*DAMAS_Daily!F85*activation_mult_B)</f>
        <v/>
      </c>
      <c r="N85" s="19">
        <f>F85+M85</f>
        <v/>
      </c>
    </row>
    <row r="86">
      <c r="A86" s="41">
        <f>DAMAS_Daily!A86</f>
        <v/>
      </c>
      <c r="B86" s="42">
        <f>DAMAS_Daily!B86</f>
        <v/>
      </c>
      <c r="C86" s="42">
        <f>IF((power_mw*hours_per_day*damas_afrr_up*capacity_mult_B*stack_capacity*acceptance_rate+(MIN(DAMAS_Daily!C86*market_share_B*acceptance_rate*stack_activation,power_mw*hours_per_day,capacity_mwh))*DAMAS_Daily!E86*activation_mult_B)&gt;=(power_mw*hours_per_day*damas_afrr_down*capacity_mult_B*stack_capacity*acceptance_rate+(MIN(DAMAS_Daily!D86*market_share_B*acceptance_rate*stack_activation,power_mw*hours_per_day,capacity_mwh))*DAMAS_Daily!F86*activation_mult_B),"aFRR+","aFRR-")</f>
        <v/>
      </c>
      <c r="D86" s="43">
        <f>IF(C86="aFRR+",damas_afrr_up*capacity_mult_B,damas_afrr_down*capacity_mult_B)</f>
        <v/>
      </c>
      <c r="E86" s="44">
        <f>acceptance_rate</f>
        <v/>
      </c>
      <c r="F86" s="18">
        <f>IF(C86="aFRR+",power_mw*hours_per_day*damas_afrr_up*capacity_mult_B*stack_capacity*acceptance_rate,power_mw*hours_per_day*damas_afrr_down*capacity_mult_B*stack_capacity*acceptance_rate)</f>
        <v/>
      </c>
      <c r="G86" s="42">
        <f>IF(C86="aFRR+",DAMAS_Daily!I86,DAMAS_Daily!J86)</f>
        <v/>
      </c>
      <c r="H86" s="43">
        <f>IF(C86="aFRR+",DAMAS_Daily!E86,DAMAS_Daily!F86)</f>
        <v/>
      </c>
      <c r="I86" s="43">
        <f>IF(C86="aFRR+",DAMAS_Daily!G86,DAMAS_Daily!H86)</f>
        <v/>
      </c>
      <c r="J86" s="45">
        <f>IF(C86="aFRR+",DAMAS_Daily!C86,DAMAS_Daily!D86)</f>
        <v/>
      </c>
      <c r="K86" s="45">
        <f>IF(C86="aFRR+",MIN(DAMAS_Daily!C86*market_share_B*acceptance_rate*stack_activation,power_mw*hours_per_day,capacity_mwh),MIN(DAMAS_Daily!D86*market_share_B*acceptance_rate*stack_activation,power_mw*hours_per_day,capacity_mwh))</f>
        <v/>
      </c>
      <c r="L86" s="42">
        <f>IF(K86&gt;=capacity_mwh-0.01,"yes","no")</f>
        <v/>
      </c>
      <c r="M86" s="18">
        <f>IF(C86="aFRR+",(MIN(DAMAS_Daily!C86*market_share_B*acceptance_rate*stack_activation,power_mw*hours_per_day,capacity_mwh))*DAMAS_Daily!E86*activation_mult_B,(MIN(DAMAS_Daily!D86*market_share_B*acceptance_rate*stack_activation,power_mw*hours_per_day,capacity_mwh))*DAMAS_Daily!F86*activation_mult_B)</f>
        <v/>
      </c>
      <c r="N86" s="19">
        <f>F86+M86</f>
        <v/>
      </c>
    </row>
    <row r="87">
      <c r="A87" s="41">
        <f>DAMAS_Daily!A87</f>
        <v/>
      </c>
      <c r="B87" s="42">
        <f>DAMAS_Daily!B87</f>
        <v/>
      </c>
      <c r="C87" s="42">
        <f>IF((power_mw*hours_per_day*damas_afrr_up*capacity_mult_B*stack_capacity*acceptance_rate+(MIN(DAMAS_Daily!C87*market_share_B*acceptance_rate*stack_activation,power_mw*hours_per_day,capacity_mwh))*DAMAS_Daily!E87*activation_mult_B)&gt;=(power_mw*hours_per_day*damas_afrr_down*capacity_mult_B*stack_capacity*acceptance_rate+(MIN(DAMAS_Daily!D87*market_share_B*acceptance_rate*stack_activation,power_mw*hours_per_day,capacity_mwh))*DAMAS_Daily!F87*activation_mult_B),"aFRR+","aFRR-")</f>
        <v/>
      </c>
      <c r="D87" s="43">
        <f>IF(C87="aFRR+",damas_afrr_up*capacity_mult_B,damas_afrr_down*capacity_mult_B)</f>
        <v/>
      </c>
      <c r="E87" s="44">
        <f>acceptance_rate</f>
        <v/>
      </c>
      <c r="F87" s="18">
        <f>IF(C87="aFRR+",power_mw*hours_per_day*damas_afrr_up*capacity_mult_B*stack_capacity*acceptance_rate,power_mw*hours_per_day*damas_afrr_down*capacity_mult_B*stack_capacity*acceptance_rate)</f>
        <v/>
      </c>
      <c r="G87" s="42">
        <f>IF(C87="aFRR+",DAMAS_Daily!I87,DAMAS_Daily!J87)</f>
        <v/>
      </c>
      <c r="H87" s="43">
        <f>IF(C87="aFRR+",DAMAS_Daily!E87,DAMAS_Daily!F87)</f>
        <v/>
      </c>
      <c r="I87" s="43">
        <f>IF(C87="aFRR+",DAMAS_Daily!G87,DAMAS_Daily!H87)</f>
        <v/>
      </c>
      <c r="J87" s="45">
        <f>IF(C87="aFRR+",DAMAS_Daily!C87,DAMAS_Daily!D87)</f>
        <v/>
      </c>
      <c r="K87" s="45">
        <f>IF(C87="aFRR+",MIN(DAMAS_Daily!C87*market_share_B*acceptance_rate*stack_activation,power_mw*hours_per_day,capacity_mwh),MIN(DAMAS_Daily!D87*market_share_B*acceptance_rate*stack_activation,power_mw*hours_per_day,capacity_mwh))</f>
        <v/>
      </c>
      <c r="L87" s="42">
        <f>IF(K87&gt;=capacity_mwh-0.01,"yes","no")</f>
        <v/>
      </c>
      <c r="M87" s="18">
        <f>IF(C87="aFRR+",(MIN(DAMAS_Daily!C87*market_share_B*acceptance_rate*stack_activation,power_mw*hours_per_day,capacity_mwh))*DAMAS_Daily!E87*activation_mult_B,(MIN(DAMAS_Daily!D87*market_share_B*acceptance_rate*stack_activation,power_mw*hours_per_day,capacity_mwh))*DAMAS_Daily!F87*activation_mult_B)</f>
        <v/>
      </c>
      <c r="N87" s="19">
        <f>F87+M87</f>
        <v/>
      </c>
    </row>
    <row r="88">
      <c r="A88" s="41">
        <f>DAMAS_Daily!A88</f>
        <v/>
      </c>
      <c r="B88" s="42">
        <f>DAMAS_Daily!B88</f>
        <v/>
      </c>
      <c r="C88" s="42">
        <f>IF((power_mw*hours_per_day*damas_afrr_up*capacity_mult_B*stack_capacity*acceptance_rate+(MIN(DAMAS_Daily!C88*market_share_B*acceptance_rate*stack_activation,power_mw*hours_per_day,capacity_mwh))*DAMAS_Daily!E88*activation_mult_B)&gt;=(power_mw*hours_per_day*damas_afrr_down*capacity_mult_B*stack_capacity*acceptance_rate+(MIN(DAMAS_Daily!D88*market_share_B*acceptance_rate*stack_activation,power_mw*hours_per_day,capacity_mwh))*DAMAS_Daily!F88*activation_mult_B),"aFRR+","aFRR-")</f>
        <v/>
      </c>
      <c r="D88" s="43">
        <f>IF(C88="aFRR+",damas_afrr_up*capacity_mult_B,damas_afrr_down*capacity_mult_B)</f>
        <v/>
      </c>
      <c r="E88" s="44">
        <f>acceptance_rate</f>
        <v/>
      </c>
      <c r="F88" s="18">
        <f>IF(C88="aFRR+",power_mw*hours_per_day*damas_afrr_up*capacity_mult_B*stack_capacity*acceptance_rate,power_mw*hours_per_day*damas_afrr_down*capacity_mult_B*stack_capacity*acceptance_rate)</f>
        <v/>
      </c>
      <c r="G88" s="42">
        <f>IF(C88="aFRR+",DAMAS_Daily!I88,DAMAS_Daily!J88)</f>
        <v/>
      </c>
      <c r="H88" s="43">
        <f>IF(C88="aFRR+",DAMAS_Daily!E88,DAMAS_Daily!F88)</f>
        <v/>
      </c>
      <c r="I88" s="43">
        <f>IF(C88="aFRR+",DAMAS_Daily!G88,DAMAS_Daily!H88)</f>
        <v/>
      </c>
      <c r="J88" s="45">
        <f>IF(C88="aFRR+",DAMAS_Daily!C88,DAMAS_Daily!D88)</f>
        <v/>
      </c>
      <c r="K88" s="45">
        <f>IF(C88="aFRR+",MIN(DAMAS_Daily!C88*market_share_B*acceptance_rate*stack_activation,power_mw*hours_per_day,capacity_mwh),MIN(DAMAS_Daily!D88*market_share_B*acceptance_rate*stack_activation,power_mw*hours_per_day,capacity_mwh))</f>
        <v/>
      </c>
      <c r="L88" s="42">
        <f>IF(K88&gt;=capacity_mwh-0.01,"yes","no")</f>
        <v/>
      </c>
      <c r="M88" s="18">
        <f>IF(C88="aFRR+",(MIN(DAMAS_Daily!C88*market_share_B*acceptance_rate*stack_activation,power_mw*hours_per_day,capacity_mwh))*DAMAS_Daily!E88*activation_mult_B,(MIN(DAMAS_Daily!D88*market_share_B*acceptance_rate*stack_activation,power_mw*hours_per_day,capacity_mwh))*DAMAS_Daily!F88*activation_mult_B)</f>
        <v/>
      </c>
      <c r="N88" s="19">
        <f>F88+M88</f>
        <v/>
      </c>
    </row>
    <row r="89">
      <c r="A89" s="41">
        <f>DAMAS_Daily!A89</f>
        <v/>
      </c>
      <c r="B89" s="42">
        <f>DAMAS_Daily!B89</f>
        <v/>
      </c>
      <c r="C89" s="42">
        <f>IF((power_mw*hours_per_day*damas_afrr_up*capacity_mult_B*stack_capacity*acceptance_rate+(MIN(DAMAS_Daily!C89*market_share_B*acceptance_rate*stack_activation,power_mw*hours_per_day,capacity_mwh))*DAMAS_Daily!E89*activation_mult_B)&gt;=(power_mw*hours_per_day*damas_afrr_down*capacity_mult_B*stack_capacity*acceptance_rate+(MIN(DAMAS_Daily!D89*market_share_B*acceptance_rate*stack_activation,power_mw*hours_per_day,capacity_mwh))*DAMAS_Daily!F89*activation_mult_B),"aFRR+","aFRR-")</f>
        <v/>
      </c>
      <c r="D89" s="43">
        <f>IF(C89="aFRR+",damas_afrr_up*capacity_mult_B,damas_afrr_down*capacity_mult_B)</f>
        <v/>
      </c>
      <c r="E89" s="44">
        <f>acceptance_rate</f>
        <v/>
      </c>
      <c r="F89" s="18">
        <f>IF(C89="aFRR+",power_mw*hours_per_day*damas_afrr_up*capacity_mult_B*stack_capacity*acceptance_rate,power_mw*hours_per_day*damas_afrr_down*capacity_mult_B*stack_capacity*acceptance_rate)</f>
        <v/>
      </c>
      <c r="G89" s="42">
        <f>IF(C89="aFRR+",DAMAS_Daily!I89,DAMAS_Daily!J89)</f>
        <v/>
      </c>
      <c r="H89" s="43">
        <f>IF(C89="aFRR+",DAMAS_Daily!E89,DAMAS_Daily!F89)</f>
        <v/>
      </c>
      <c r="I89" s="43">
        <f>IF(C89="aFRR+",DAMAS_Daily!G89,DAMAS_Daily!H89)</f>
        <v/>
      </c>
      <c r="J89" s="45">
        <f>IF(C89="aFRR+",DAMAS_Daily!C89,DAMAS_Daily!D89)</f>
        <v/>
      </c>
      <c r="K89" s="45">
        <f>IF(C89="aFRR+",MIN(DAMAS_Daily!C89*market_share_B*acceptance_rate*stack_activation,power_mw*hours_per_day,capacity_mwh),MIN(DAMAS_Daily!D89*market_share_B*acceptance_rate*stack_activation,power_mw*hours_per_day,capacity_mwh))</f>
        <v/>
      </c>
      <c r="L89" s="42">
        <f>IF(K89&gt;=capacity_mwh-0.01,"yes","no")</f>
        <v/>
      </c>
      <c r="M89" s="18">
        <f>IF(C89="aFRR+",(MIN(DAMAS_Daily!C89*market_share_B*acceptance_rate*stack_activation,power_mw*hours_per_day,capacity_mwh))*DAMAS_Daily!E89*activation_mult_B,(MIN(DAMAS_Daily!D89*market_share_B*acceptance_rate*stack_activation,power_mw*hours_per_day,capacity_mwh))*DAMAS_Daily!F89*activation_mult_B)</f>
        <v/>
      </c>
      <c r="N89" s="19">
        <f>F89+M89</f>
        <v/>
      </c>
    </row>
    <row r="90">
      <c r="A90" s="41">
        <f>DAMAS_Daily!A90</f>
        <v/>
      </c>
      <c r="B90" s="42">
        <f>DAMAS_Daily!B90</f>
        <v/>
      </c>
      <c r="C90" s="42">
        <f>IF((power_mw*hours_per_day*damas_afrr_up*capacity_mult_B*stack_capacity*acceptance_rate+(MIN(DAMAS_Daily!C90*market_share_B*acceptance_rate*stack_activation,power_mw*hours_per_day,capacity_mwh))*DAMAS_Daily!E90*activation_mult_B)&gt;=(power_mw*hours_per_day*damas_afrr_down*capacity_mult_B*stack_capacity*acceptance_rate+(MIN(DAMAS_Daily!D90*market_share_B*acceptance_rate*stack_activation,power_mw*hours_per_day,capacity_mwh))*DAMAS_Daily!F90*activation_mult_B),"aFRR+","aFRR-")</f>
        <v/>
      </c>
      <c r="D90" s="43">
        <f>IF(C90="aFRR+",damas_afrr_up*capacity_mult_B,damas_afrr_down*capacity_mult_B)</f>
        <v/>
      </c>
      <c r="E90" s="44">
        <f>acceptance_rate</f>
        <v/>
      </c>
      <c r="F90" s="18">
        <f>IF(C90="aFRR+",power_mw*hours_per_day*damas_afrr_up*capacity_mult_B*stack_capacity*acceptance_rate,power_mw*hours_per_day*damas_afrr_down*capacity_mult_B*stack_capacity*acceptance_rate)</f>
        <v/>
      </c>
      <c r="G90" s="42">
        <f>IF(C90="aFRR+",DAMAS_Daily!I90,DAMAS_Daily!J90)</f>
        <v/>
      </c>
      <c r="H90" s="43">
        <f>IF(C90="aFRR+",DAMAS_Daily!E90,DAMAS_Daily!F90)</f>
        <v/>
      </c>
      <c r="I90" s="43">
        <f>IF(C90="aFRR+",DAMAS_Daily!G90,DAMAS_Daily!H90)</f>
        <v/>
      </c>
      <c r="J90" s="45">
        <f>IF(C90="aFRR+",DAMAS_Daily!C90,DAMAS_Daily!D90)</f>
        <v/>
      </c>
      <c r="K90" s="45">
        <f>IF(C90="aFRR+",MIN(DAMAS_Daily!C90*market_share_B*acceptance_rate*stack_activation,power_mw*hours_per_day,capacity_mwh),MIN(DAMAS_Daily!D90*market_share_B*acceptance_rate*stack_activation,power_mw*hours_per_day,capacity_mwh))</f>
        <v/>
      </c>
      <c r="L90" s="42">
        <f>IF(K90&gt;=capacity_mwh-0.01,"yes","no")</f>
        <v/>
      </c>
      <c r="M90" s="18">
        <f>IF(C90="aFRR+",(MIN(DAMAS_Daily!C90*market_share_B*acceptance_rate*stack_activation,power_mw*hours_per_day,capacity_mwh))*DAMAS_Daily!E90*activation_mult_B,(MIN(DAMAS_Daily!D90*market_share_B*acceptance_rate*stack_activation,power_mw*hours_per_day,capacity_mwh))*DAMAS_Daily!F90*activation_mult_B)</f>
        <v/>
      </c>
      <c r="N90" s="19">
        <f>F90+M90</f>
        <v/>
      </c>
    </row>
    <row r="91">
      <c r="A91" s="41">
        <f>DAMAS_Daily!A91</f>
        <v/>
      </c>
      <c r="B91" s="42">
        <f>DAMAS_Daily!B91</f>
        <v/>
      </c>
      <c r="C91" s="42">
        <f>IF((power_mw*hours_per_day*damas_afrr_up*capacity_mult_B*stack_capacity*acceptance_rate+(MIN(DAMAS_Daily!C91*market_share_B*acceptance_rate*stack_activation,power_mw*hours_per_day,capacity_mwh))*DAMAS_Daily!E91*activation_mult_B)&gt;=(power_mw*hours_per_day*damas_afrr_down*capacity_mult_B*stack_capacity*acceptance_rate+(MIN(DAMAS_Daily!D91*market_share_B*acceptance_rate*stack_activation,power_mw*hours_per_day,capacity_mwh))*DAMAS_Daily!F91*activation_mult_B),"aFRR+","aFRR-")</f>
        <v/>
      </c>
      <c r="D91" s="43">
        <f>IF(C91="aFRR+",damas_afrr_up*capacity_mult_B,damas_afrr_down*capacity_mult_B)</f>
        <v/>
      </c>
      <c r="E91" s="44">
        <f>acceptance_rate</f>
        <v/>
      </c>
      <c r="F91" s="18">
        <f>IF(C91="aFRR+",power_mw*hours_per_day*damas_afrr_up*capacity_mult_B*stack_capacity*acceptance_rate,power_mw*hours_per_day*damas_afrr_down*capacity_mult_B*stack_capacity*acceptance_rate)</f>
        <v/>
      </c>
      <c r="G91" s="42">
        <f>IF(C91="aFRR+",DAMAS_Daily!I91,DAMAS_Daily!J91)</f>
        <v/>
      </c>
      <c r="H91" s="43">
        <f>IF(C91="aFRR+",DAMAS_Daily!E91,DAMAS_Daily!F91)</f>
        <v/>
      </c>
      <c r="I91" s="43">
        <f>IF(C91="aFRR+",DAMAS_Daily!G91,DAMAS_Daily!H91)</f>
        <v/>
      </c>
      <c r="J91" s="45">
        <f>IF(C91="aFRR+",DAMAS_Daily!C91,DAMAS_Daily!D91)</f>
        <v/>
      </c>
      <c r="K91" s="45">
        <f>IF(C91="aFRR+",MIN(DAMAS_Daily!C91*market_share_B*acceptance_rate*stack_activation,power_mw*hours_per_day,capacity_mwh),MIN(DAMAS_Daily!D91*market_share_B*acceptance_rate*stack_activation,power_mw*hours_per_day,capacity_mwh))</f>
        <v/>
      </c>
      <c r="L91" s="42">
        <f>IF(K91&gt;=capacity_mwh-0.01,"yes","no")</f>
        <v/>
      </c>
      <c r="M91" s="18">
        <f>IF(C91="aFRR+",(MIN(DAMAS_Daily!C91*market_share_B*acceptance_rate*stack_activation,power_mw*hours_per_day,capacity_mwh))*DAMAS_Daily!E91*activation_mult_B,(MIN(DAMAS_Daily!D91*market_share_B*acceptance_rate*stack_activation,power_mw*hours_per_day,capacity_mwh))*DAMAS_Daily!F91*activation_mult_B)</f>
        <v/>
      </c>
      <c r="N91" s="19">
        <f>F91+M91</f>
        <v/>
      </c>
    </row>
    <row r="92">
      <c r="A92" s="41">
        <f>DAMAS_Daily!A92</f>
        <v/>
      </c>
      <c r="B92" s="42">
        <f>DAMAS_Daily!B92</f>
        <v/>
      </c>
      <c r="C92" s="42">
        <f>IF((power_mw*hours_per_day*damas_afrr_up*capacity_mult_B*stack_capacity*acceptance_rate+(MIN(DAMAS_Daily!C92*market_share_B*acceptance_rate*stack_activation,power_mw*hours_per_day,capacity_mwh))*DAMAS_Daily!E92*activation_mult_B)&gt;=(power_mw*hours_per_day*damas_afrr_down*capacity_mult_B*stack_capacity*acceptance_rate+(MIN(DAMAS_Daily!D92*market_share_B*acceptance_rate*stack_activation,power_mw*hours_per_day,capacity_mwh))*DAMAS_Daily!F92*activation_mult_B),"aFRR+","aFRR-")</f>
        <v/>
      </c>
      <c r="D92" s="43">
        <f>IF(C92="aFRR+",damas_afrr_up*capacity_mult_B,damas_afrr_down*capacity_mult_B)</f>
        <v/>
      </c>
      <c r="E92" s="44">
        <f>acceptance_rate</f>
        <v/>
      </c>
      <c r="F92" s="18">
        <f>IF(C92="aFRR+",power_mw*hours_per_day*damas_afrr_up*capacity_mult_B*stack_capacity*acceptance_rate,power_mw*hours_per_day*damas_afrr_down*capacity_mult_B*stack_capacity*acceptance_rate)</f>
        <v/>
      </c>
      <c r="G92" s="42">
        <f>IF(C92="aFRR+",DAMAS_Daily!I92,DAMAS_Daily!J92)</f>
        <v/>
      </c>
      <c r="H92" s="43">
        <f>IF(C92="aFRR+",DAMAS_Daily!E92,DAMAS_Daily!F92)</f>
        <v/>
      </c>
      <c r="I92" s="43">
        <f>IF(C92="aFRR+",DAMAS_Daily!G92,DAMAS_Daily!H92)</f>
        <v/>
      </c>
      <c r="J92" s="45">
        <f>IF(C92="aFRR+",DAMAS_Daily!C92,DAMAS_Daily!D92)</f>
        <v/>
      </c>
      <c r="K92" s="45">
        <f>IF(C92="aFRR+",MIN(DAMAS_Daily!C92*market_share_B*acceptance_rate*stack_activation,power_mw*hours_per_day,capacity_mwh),MIN(DAMAS_Daily!D92*market_share_B*acceptance_rate*stack_activation,power_mw*hours_per_day,capacity_mwh))</f>
        <v/>
      </c>
      <c r="L92" s="42">
        <f>IF(K92&gt;=capacity_mwh-0.01,"yes","no")</f>
        <v/>
      </c>
      <c r="M92" s="18">
        <f>IF(C92="aFRR+",(MIN(DAMAS_Daily!C92*market_share_B*acceptance_rate*stack_activation,power_mw*hours_per_day,capacity_mwh))*DAMAS_Daily!E92*activation_mult_B,(MIN(DAMAS_Daily!D92*market_share_B*acceptance_rate*stack_activation,power_mw*hours_per_day,capacity_mwh))*DAMAS_Daily!F92*activation_mult_B)</f>
        <v/>
      </c>
      <c r="N92" s="19">
        <f>F92+M92</f>
        <v/>
      </c>
    </row>
    <row r="93">
      <c r="A93" s="41">
        <f>DAMAS_Daily!A93</f>
        <v/>
      </c>
      <c r="B93" s="42">
        <f>DAMAS_Daily!B93</f>
        <v/>
      </c>
      <c r="C93" s="42">
        <f>IF((power_mw*hours_per_day*damas_afrr_up*capacity_mult_B*stack_capacity*acceptance_rate+(MIN(DAMAS_Daily!C93*market_share_B*acceptance_rate*stack_activation,power_mw*hours_per_day,capacity_mwh))*DAMAS_Daily!E93*activation_mult_B)&gt;=(power_mw*hours_per_day*damas_afrr_down*capacity_mult_B*stack_capacity*acceptance_rate+(MIN(DAMAS_Daily!D93*market_share_B*acceptance_rate*stack_activation,power_mw*hours_per_day,capacity_mwh))*DAMAS_Daily!F93*activation_mult_B),"aFRR+","aFRR-")</f>
        <v/>
      </c>
      <c r="D93" s="43">
        <f>IF(C93="aFRR+",damas_afrr_up*capacity_mult_B,damas_afrr_down*capacity_mult_B)</f>
        <v/>
      </c>
      <c r="E93" s="44">
        <f>acceptance_rate</f>
        <v/>
      </c>
      <c r="F93" s="18">
        <f>IF(C93="aFRR+",power_mw*hours_per_day*damas_afrr_up*capacity_mult_B*stack_capacity*acceptance_rate,power_mw*hours_per_day*damas_afrr_down*capacity_mult_B*stack_capacity*acceptance_rate)</f>
        <v/>
      </c>
      <c r="G93" s="42">
        <f>IF(C93="aFRR+",DAMAS_Daily!I93,DAMAS_Daily!J93)</f>
        <v/>
      </c>
      <c r="H93" s="43">
        <f>IF(C93="aFRR+",DAMAS_Daily!E93,DAMAS_Daily!F93)</f>
        <v/>
      </c>
      <c r="I93" s="43">
        <f>IF(C93="aFRR+",DAMAS_Daily!G93,DAMAS_Daily!H93)</f>
        <v/>
      </c>
      <c r="J93" s="45">
        <f>IF(C93="aFRR+",DAMAS_Daily!C93,DAMAS_Daily!D93)</f>
        <v/>
      </c>
      <c r="K93" s="45">
        <f>IF(C93="aFRR+",MIN(DAMAS_Daily!C93*market_share_B*acceptance_rate*stack_activation,power_mw*hours_per_day,capacity_mwh),MIN(DAMAS_Daily!D93*market_share_B*acceptance_rate*stack_activation,power_mw*hours_per_day,capacity_mwh))</f>
        <v/>
      </c>
      <c r="L93" s="42">
        <f>IF(K93&gt;=capacity_mwh-0.01,"yes","no")</f>
        <v/>
      </c>
      <c r="M93" s="18">
        <f>IF(C93="aFRR+",(MIN(DAMAS_Daily!C93*market_share_B*acceptance_rate*stack_activation,power_mw*hours_per_day,capacity_mwh))*DAMAS_Daily!E93*activation_mult_B,(MIN(DAMAS_Daily!D93*market_share_B*acceptance_rate*stack_activation,power_mw*hours_per_day,capacity_mwh))*DAMAS_Daily!F93*activation_mult_B)</f>
        <v/>
      </c>
      <c r="N93" s="19">
        <f>F93+M93</f>
        <v/>
      </c>
    </row>
    <row r="94">
      <c r="A94" s="41">
        <f>DAMAS_Daily!A94</f>
        <v/>
      </c>
      <c r="B94" s="42">
        <f>DAMAS_Daily!B94</f>
        <v/>
      </c>
      <c r="C94" s="42">
        <f>IF((power_mw*hours_per_day*damas_afrr_up*capacity_mult_B*stack_capacity*acceptance_rate+(MIN(DAMAS_Daily!C94*market_share_B*acceptance_rate*stack_activation,power_mw*hours_per_day,capacity_mwh))*DAMAS_Daily!E94*activation_mult_B)&gt;=(power_mw*hours_per_day*damas_afrr_down*capacity_mult_B*stack_capacity*acceptance_rate+(MIN(DAMAS_Daily!D94*market_share_B*acceptance_rate*stack_activation,power_mw*hours_per_day,capacity_mwh))*DAMAS_Daily!F94*activation_mult_B),"aFRR+","aFRR-")</f>
        <v/>
      </c>
      <c r="D94" s="43">
        <f>IF(C94="aFRR+",damas_afrr_up*capacity_mult_B,damas_afrr_down*capacity_mult_B)</f>
        <v/>
      </c>
      <c r="E94" s="44">
        <f>acceptance_rate</f>
        <v/>
      </c>
      <c r="F94" s="18">
        <f>IF(C94="aFRR+",power_mw*hours_per_day*damas_afrr_up*capacity_mult_B*stack_capacity*acceptance_rate,power_mw*hours_per_day*damas_afrr_down*capacity_mult_B*stack_capacity*acceptance_rate)</f>
        <v/>
      </c>
      <c r="G94" s="42">
        <f>IF(C94="aFRR+",DAMAS_Daily!I94,DAMAS_Daily!J94)</f>
        <v/>
      </c>
      <c r="H94" s="43">
        <f>IF(C94="aFRR+",DAMAS_Daily!E94,DAMAS_Daily!F94)</f>
        <v/>
      </c>
      <c r="I94" s="43">
        <f>IF(C94="aFRR+",DAMAS_Daily!G94,DAMAS_Daily!H94)</f>
        <v/>
      </c>
      <c r="J94" s="45">
        <f>IF(C94="aFRR+",DAMAS_Daily!C94,DAMAS_Daily!D94)</f>
        <v/>
      </c>
      <c r="K94" s="45">
        <f>IF(C94="aFRR+",MIN(DAMAS_Daily!C94*market_share_B*acceptance_rate*stack_activation,power_mw*hours_per_day,capacity_mwh),MIN(DAMAS_Daily!D94*market_share_B*acceptance_rate*stack_activation,power_mw*hours_per_day,capacity_mwh))</f>
        <v/>
      </c>
      <c r="L94" s="42">
        <f>IF(K94&gt;=capacity_mwh-0.01,"yes","no")</f>
        <v/>
      </c>
      <c r="M94" s="18">
        <f>IF(C94="aFRR+",(MIN(DAMAS_Daily!C94*market_share_B*acceptance_rate*stack_activation,power_mw*hours_per_day,capacity_mwh))*DAMAS_Daily!E94*activation_mult_B,(MIN(DAMAS_Daily!D94*market_share_B*acceptance_rate*stack_activation,power_mw*hours_per_day,capacity_mwh))*DAMAS_Daily!F94*activation_mult_B)</f>
        <v/>
      </c>
      <c r="N94" s="19">
        <f>F94+M94</f>
        <v/>
      </c>
    </row>
    <row r="95">
      <c r="A95" s="41">
        <f>DAMAS_Daily!A95</f>
        <v/>
      </c>
      <c r="B95" s="42">
        <f>DAMAS_Daily!B95</f>
        <v/>
      </c>
      <c r="C95" s="42">
        <f>IF((power_mw*hours_per_day*damas_afrr_up*capacity_mult_B*stack_capacity*acceptance_rate+(MIN(DAMAS_Daily!C95*market_share_B*acceptance_rate*stack_activation,power_mw*hours_per_day,capacity_mwh))*DAMAS_Daily!E95*activation_mult_B)&gt;=(power_mw*hours_per_day*damas_afrr_down*capacity_mult_B*stack_capacity*acceptance_rate+(MIN(DAMAS_Daily!D95*market_share_B*acceptance_rate*stack_activation,power_mw*hours_per_day,capacity_mwh))*DAMAS_Daily!F95*activation_mult_B),"aFRR+","aFRR-")</f>
        <v/>
      </c>
      <c r="D95" s="43">
        <f>IF(C95="aFRR+",damas_afrr_up*capacity_mult_B,damas_afrr_down*capacity_mult_B)</f>
        <v/>
      </c>
      <c r="E95" s="44">
        <f>acceptance_rate</f>
        <v/>
      </c>
      <c r="F95" s="18">
        <f>IF(C95="aFRR+",power_mw*hours_per_day*damas_afrr_up*capacity_mult_B*stack_capacity*acceptance_rate,power_mw*hours_per_day*damas_afrr_down*capacity_mult_B*stack_capacity*acceptance_rate)</f>
        <v/>
      </c>
      <c r="G95" s="42">
        <f>IF(C95="aFRR+",DAMAS_Daily!I95,DAMAS_Daily!J95)</f>
        <v/>
      </c>
      <c r="H95" s="43">
        <f>IF(C95="aFRR+",DAMAS_Daily!E95,DAMAS_Daily!F95)</f>
        <v/>
      </c>
      <c r="I95" s="43">
        <f>IF(C95="aFRR+",DAMAS_Daily!G95,DAMAS_Daily!H95)</f>
        <v/>
      </c>
      <c r="J95" s="45">
        <f>IF(C95="aFRR+",DAMAS_Daily!C95,DAMAS_Daily!D95)</f>
        <v/>
      </c>
      <c r="K95" s="45">
        <f>IF(C95="aFRR+",MIN(DAMAS_Daily!C95*market_share_B*acceptance_rate*stack_activation,power_mw*hours_per_day,capacity_mwh),MIN(DAMAS_Daily!D95*market_share_B*acceptance_rate*stack_activation,power_mw*hours_per_day,capacity_mwh))</f>
        <v/>
      </c>
      <c r="L95" s="42">
        <f>IF(K95&gt;=capacity_mwh-0.01,"yes","no")</f>
        <v/>
      </c>
      <c r="M95" s="18">
        <f>IF(C95="aFRR+",(MIN(DAMAS_Daily!C95*market_share_B*acceptance_rate*stack_activation,power_mw*hours_per_day,capacity_mwh))*DAMAS_Daily!E95*activation_mult_B,(MIN(DAMAS_Daily!D95*market_share_B*acceptance_rate*stack_activation,power_mw*hours_per_day,capacity_mwh))*DAMAS_Daily!F95*activation_mult_B)</f>
        <v/>
      </c>
      <c r="N95" s="19">
        <f>F95+M95</f>
        <v/>
      </c>
    </row>
    <row r="96">
      <c r="A96" s="41">
        <f>DAMAS_Daily!A96</f>
        <v/>
      </c>
      <c r="B96" s="42">
        <f>DAMAS_Daily!B96</f>
        <v/>
      </c>
      <c r="C96" s="42">
        <f>IF((power_mw*hours_per_day*damas_afrr_up*capacity_mult_B*stack_capacity*acceptance_rate+(MIN(DAMAS_Daily!C96*market_share_B*acceptance_rate*stack_activation,power_mw*hours_per_day,capacity_mwh))*DAMAS_Daily!E96*activation_mult_B)&gt;=(power_mw*hours_per_day*damas_afrr_down*capacity_mult_B*stack_capacity*acceptance_rate+(MIN(DAMAS_Daily!D96*market_share_B*acceptance_rate*stack_activation,power_mw*hours_per_day,capacity_mwh))*DAMAS_Daily!F96*activation_mult_B),"aFRR+","aFRR-")</f>
        <v/>
      </c>
      <c r="D96" s="43">
        <f>IF(C96="aFRR+",damas_afrr_up*capacity_mult_B,damas_afrr_down*capacity_mult_B)</f>
        <v/>
      </c>
      <c r="E96" s="44">
        <f>acceptance_rate</f>
        <v/>
      </c>
      <c r="F96" s="18">
        <f>IF(C96="aFRR+",power_mw*hours_per_day*damas_afrr_up*capacity_mult_B*stack_capacity*acceptance_rate,power_mw*hours_per_day*damas_afrr_down*capacity_mult_B*stack_capacity*acceptance_rate)</f>
        <v/>
      </c>
      <c r="G96" s="42">
        <f>IF(C96="aFRR+",DAMAS_Daily!I96,DAMAS_Daily!J96)</f>
        <v/>
      </c>
      <c r="H96" s="43">
        <f>IF(C96="aFRR+",DAMAS_Daily!E96,DAMAS_Daily!F96)</f>
        <v/>
      </c>
      <c r="I96" s="43">
        <f>IF(C96="aFRR+",DAMAS_Daily!G96,DAMAS_Daily!H96)</f>
        <v/>
      </c>
      <c r="J96" s="45">
        <f>IF(C96="aFRR+",DAMAS_Daily!C96,DAMAS_Daily!D96)</f>
        <v/>
      </c>
      <c r="K96" s="45">
        <f>IF(C96="aFRR+",MIN(DAMAS_Daily!C96*market_share_B*acceptance_rate*stack_activation,power_mw*hours_per_day,capacity_mwh),MIN(DAMAS_Daily!D96*market_share_B*acceptance_rate*stack_activation,power_mw*hours_per_day,capacity_mwh))</f>
        <v/>
      </c>
      <c r="L96" s="42">
        <f>IF(K96&gt;=capacity_mwh-0.01,"yes","no")</f>
        <v/>
      </c>
      <c r="M96" s="18">
        <f>IF(C96="aFRR+",(MIN(DAMAS_Daily!C96*market_share_B*acceptance_rate*stack_activation,power_mw*hours_per_day,capacity_mwh))*DAMAS_Daily!E96*activation_mult_B,(MIN(DAMAS_Daily!D96*market_share_B*acceptance_rate*stack_activation,power_mw*hours_per_day,capacity_mwh))*DAMAS_Daily!F96*activation_mult_B)</f>
        <v/>
      </c>
      <c r="N96" s="19">
        <f>F96+M96</f>
        <v/>
      </c>
    </row>
    <row r="97">
      <c r="A97" s="41">
        <f>DAMAS_Daily!A97</f>
        <v/>
      </c>
      <c r="B97" s="42">
        <f>DAMAS_Daily!B97</f>
        <v/>
      </c>
      <c r="C97" s="42">
        <f>IF((power_mw*hours_per_day*damas_afrr_up*capacity_mult_B*stack_capacity*acceptance_rate+(MIN(DAMAS_Daily!C97*market_share_B*acceptance_rate*stack_activation,power_mw*hours_per_day,capacity_mwh))*DAMAS_Daily!E97*activation_mult_B)&gt;=(power_mw*hours_per_day*damas_afrr_down*capacity_mult_B*stack_capacity*acceptance_rate+(MIN(DAMAS_Daily!D97*market_share_B*acceptance_rate*stack_activation,power_mw*hours_per_day,capacity_mwh))*DAMAS_Daily!F97*activation_mult_B),"aFRR+","aFRR-")</f>
        <v/>
      </c>
      <c r="D97" s="43">
        <f>IF(C97="aFRR+",damas_afrr_up*capacity_mult_B,damas_afrr_down*capacity_mult_B)</f>
        <v/>
      </c>
      <c r="E97" s="44">
        <f>acceptance_rate</f>
        <v/>
      </c>
      <c r="F97" s="18">
        <f>IF(C97="aFRR+",power_mw*hours_per_day*damas_afrr_up*capacity_mult_B*stack_capacity*acceptance_rate,power_mw*hours_per_day*damas_afrr_down*capacity_mult_B*stack_capacity*acceptance_rate)</f>
        <v/>
      </c>
      <c r="G97" s="42">
        <f>IF(C97="aFRR+",DAMAS_Daily!I97,DAMAS_Daily!J97)</f>
        <v/>
      </c>
      <c r="H97" s="43">
        <f>IF(C97="aFRR+",DAMAS_Daily!E97,DAMAS_Daily!F97)</f>
        <v/>
      </c>
      <c r="I97" s="43">
        <f>IF(C97="aFRR+",DAMAS_Daily!G97,DAMAS_Daily!H97)</f>
        <v/>
      </c>
      <c r="J97" s="45">
        <f>IF(C97="aFRR+",DAMAS_Daily!C97,DAMAS_Daily!D97)</f>
        <v/>
      </c>
      <c r="K97" s="45">
        <f>IF(C97="aFRR+",MIN(DAMAS_Daily!C97*market_share_B*acceptance_rate*stack_activation,power_mw*hours_per_day,capacity_mwh),MIN(DAMAS_Daily!D97*market_share_B*acceptance_rate*stack_activation,power_mw*hours_per_day,capacity_mwh))</f>
        <v/>
      </c>
      <c r="L97" s="42">
        <f>IF(K97&gt;=capacity_mwh-0.01,"yes","no")</f>
        <v/>
      </c>
      <c r="M97" s="18">
        <f>IF(C97="aFRR+",(MIN(DAMAS_Daily!C97*market_share_B*acceptance_rate*stack_activation,power_mw*hours_per_day,capacity_mwh))*DAMAS_Daily!E97*activation_mult_B,(MIN(DAMAS_Daily!D97*market_share_B*acceptance_rate*stack_activation,power_mw*hours_per_day,capacity_mwh))*DAMAS_Daily!F97*activation_mult_B)</f>
        <v/>
      </c>
      <c r="N97" s="19">
        <f>F97+M97</f>
        <v/>
      </c>
    </row>
    <row r="98">
      <c r="A98" s="41">
        <f>DAMAS_Daily!A98</f>
        <v/>
      </c>
      <c r="B98" s="42">
        <f>DAMAS_Daily!B98</f>
        <v/>
      </c>
      <c r="C98" s="42">
        <f>IF((power_mw*hours_per_day*damas_afrr_up*capacity_mult_B*stack_capacity*acceptance_rate+(MIN(DAMAS_Daily!C98*market_share_B*acceptance_rate*stack_activation,power_mw*hours_per_day,capacity_mwh))*DAMAS_Daily!E98*activation_mult_B)&gt;=(power_mw*hours_per_day*damas_afrr_down*capacity_mult_B*stack_capacity*acceptance_rate+(MIN(DAMAS_Daily!D98*market_share_B*acceptance_rate*stack_activation,power_mw*hours_per_day,capacity_mwh))*DAMAS_Daily!F98*activation_mult_B),"aFRR+","aFRR-")</f>
        <v/>
      </c>
      <c r="D98" s="43">
        <f>IF(C98="aFRR+",damas_afrr_up*capacity_mult_B,damas_afrr_down*capacity_mult_B)</f>
        <v/>
      </c>
      <c r="E98" s="44">
        <f>acceptance_rate</f>
        <v/>
      </c>
      <c r="F98" s="18">
        <f>IF(C98="aFRR+",power_mw*hours_per_day*damas_afrr_up*capacity_mult_B*stack_capacity*acceptance_rate,power_mw*hours_per_day*damas_afrr_down*capacity_mult_B*stack_capacity*acceptance_rate)</f>
        <v/>
      </c>
      <c r="G98" s="42">
        <f>IF(C98="aFRR+",DAMAS_Daily!I98,DAMAS_Daily!J98)</f>
        <v/>
      </c>
      <c r="H98" s="43">
        <f>IF(C98="aFRR+",DAMAS_Daily!E98,DAMAS_Daily!F98)</f>
        <v/>
      </c>
      <c r="I98" s="43">
        <f>IF(C98="aFRR+",DAMAS_Daily!G98,DAMAS_Daily!H98)</f>
        <v/>
      </c>
      <c r="J98" s="45">
        <f>IF(C98="aFRR+",DAMAS_Daily!C98,DAMAS_Daily!D98)</f>
        <v/>
      </c>
      <c r="K98" s="45">
        <f>IF(C98="aFRR+",MIN(DAMAS_Daily!C98*market_share_B*acceptance_rate*stack_activation,power_mw*hours_per_day,capacity_mwh),MIN(DAMAS_Daily!D98*market_share_B*acceptance_rate*stack_activation,power_mw*hours_per_day,capacity_mwh))</f>
        <v/>
      </c>
      <c r="L98" s="42">
        <f>IF(K98&gt;=capacity_mwh-0.01,"yes","no")</f>
        <v/>
      </c>
      <c r="M98" s="18">
        <f>IF(C98="aFRR+",(MIN(DAMAS_Daily!C98*market_share_B*acceptance_rate*stack_activation,power_mw*hours_per_day,capacity_mwh))*DAMAS_Daily!E98*activation_mult_B,(MIN(DAMAS_Daily!D98*market_share_B*acceptance_rate*stack_activation,power_mw*hours_per_day,capacity_mwh))*DAMAS_Daily!F98*activation_mult_B)</f>
        <v/>
      </c>
      <c r="N98" s="19">
        <f>F98+M98</f>
        <v/>
      </c>
    </row>
    <row r="99">
      <c r="A99" s="41">
        <f>DAMAS_Daily!A99</f>
        <v/>
      </c>
      <c r="B99" s="42">
        <f>DAMAS_Daily!B99</f>
        <v/>
      </c>
      <c r="C99" s="42">
        <f>IF((power_mw*hours_per_day*damas_afrr_up*capacity_mult_B*stack_capacity*acceptance_rate+(MIN(DAMAS_Daily!C99*market_share_B*acceptance_rate*stack_activation,power_mw*hours_per_day,capacity_mwh))*DAMAS_Daily!E99*activation_mult_B)&gt;=(power_mw*hours_per_day*damas_afrr_down*capacity_mult_B*stack_capacity*acceptance_rate+(MIN(DAMAS_Daily!D99*market_share_B*acceptance_rate*stack_activation,power_mw*hours_per_day,capacity_mwh))*DAMAS_Daily!F99*activation_mult_B),"aFRR+","aFRR-")</f>
        <v/>
      </c>
      <c r="D99" s="43">
        <f>IF(C99="aFRR+",damas_afrr_up*capacity_mult_B,damas_afrr_down*capacity_mult_B)</f>
        <v/>
      </c>
      <c r="E99" s="44">
        <f>acceptance_rate</f>
        <v/>
      </c>
      <c r="F99" s="18">
        <f>IF(C99="aFRR+",power_mw*hours_per_day*damas_afrr_up*capacity_mult_B*stack_capacity*acceptance_rate,power_mw*hours_per_day*damas_afrr_down*capacity_mult_B*stack_capacity*acceptance_rate)</f>
        <v/>
      </c>
      <c r="G99" s="42">
        <f>IF(C99="aFRR+",DAMAS_Daily!I99,DAMAS_Daily!J99)</f>
        <v/>
      </c>
      <c r="H99" s="43">
        <f>IF(C99="aFRR+",DAMAS_Daily!E99,DAMAS_Daily!F99)</f>
        <v/>
      </c>
      <c r="I99" s="43">
        <f>IF(C99="aFRR+",DAMAS_Daily!G99,DAMAS_Daily!H99)</f>
        <v/>
      </c>
      <c r="J99" s="45">
        <f>IF(C99="aFRR+",DAMAS_Daily!C99,DAMAS_Daily!D99)</f>
        <v/>
      </c>
      <c r="K99" s="45">
        <f>IF(C99="aFRR+",MIN(DAMAS_Daily!C99*market_share_B*acceptance_rate*stack_activation,power_mw*hours_per_day,capacity_mwh),MIN(DAMAS_Daily!D99*market_share_B*acceptance_rate*stack_activation,power_mw*hours_per_day,capacity_mwh))</f>
        <v/>
      </c>
      <c r="L99" s="42">
        <f>IF(K99&gt;=capacity_mwh-0.01,"yes","no")</f>
        <v/>
      </c>
      <c r="M99" s="18">
        <f>IF(C99="aFRR+",(MIN(DAMAS_Daily!C99*market_share_B*acceptance_rate*stack_activation,power_mw*hours_per_day,capacity_mwh))*DAMAS_Daily!E99*activation_mult_B,(MIN(DAMAS_Daily!D99*market_share_B*acceptance_rate*stack_activation,power_mw*hours_per_day,capacity_mwh))*DAMAS_Daily!F99*activation_mult_B)</f>
        <v/>
      </c>
      <c r="N99" s="19">
        <f>F99+M99</f>
        <v/>
      </c>
    </row>
    <row r="100">
      <c r="A100" s="41">
        <f>DAMAS_Daily!A100</f>
        <v/>
      </c>
      <c r="B100" s="42">
        <f>DAMAS_Daily!B100</f>
        <v/>
      </c>
      <c r="C100" s="42">
        <f>IF((power_mw*hours_per_day*damas_afrr_up*capacity_mult_B*stack_capacity*acceptance_rate+(MIN(DAMAS_Daily!C100*market_share_B*acceptance_rate*stack_activation,power_mw*hours_per_day,capacity_mwh))*DAMAS_Daily!E100*activation_mult_B)&gt;=(power_mw*hours_per_day*damas_afrr_down*capacity_mult_B*stack_capacity*acceptance_rate+(MIN(DAMAS_Daily!D100*market_share_B*acceptance_rate*stack_activation,power_mw*hours_per_day,capacity_mwh))*DAMAS_Daily!F100*activation_mult_B),"aFRR+","aFRR-")</f>
        <v/>
      </c>
      <c r="D100" s="43">
        <f>IF(C100="aFRR+",damas_afrr_up*capacity_mult_B,damas_afrr_down*capacity_mult_B)</f>
        <v/>
      </c>
      <c r="E100" s="44">
        <f>acceptance_rate</f>
        <v/>
      </c>
      <c r="F100" s="18">
        <f>IF(C100="aFRR+",power_mw*hours_per_day*damas_afrr_up*capacity_mult_B*stack_capacity*acceptance_rate,power_mw*hours_per_day*damas_afrr_down*capacity_mult_B*stack_capacity*acceptance_rate)</f>
        <v/>
      </c>
      <c r="G100" s="42">
        <f>IF(C100="aFRR+",DAMAS_Daily!I100,DAMAS_Daily!J100)</f>
        <v/>
      </c>
      <c r="H100" s="43">
        <f>IF(C100="aFRR+",DAMAS_Daily!E100,DAMAS_Daily!F100)</f>
        <v/>
      </c>
      <c r="I100" s="43">
        <f>IF(C100="aFRR+",DAMAS_Daily!G100,DAMAS_Daily!H100)</f>
        <v/>
      </c>
      <c r="J100" s="45">
        <f>IF(C100="aFRR+",DAMAS_Daily!C100,DAMAS_Daily!D100)</f>
        <v/>
      </c>
      <c r="K100" s="45">
        <f>IF(C100="aFRR+",MIN(DAMAS_Daily!C100*market_share_B*acceptance_rate*stack_activation,power_mw*hours_per_day,capacity_mwh),MIN(DAMAS_Daily!D100*market_share_B*acceptance_rate*stack_activation,power_mw*hours_per_day,capacity_mwh))</f>
        <v/>
      </c>
      <c r="L100" s="42">
        <f>IF(K100&gt;=capacity_mwh-0.01,"yes","no")</f>
        <v/>
      </c>
      <c r="M100" s="18">
        <f>IF(C100="aFRR+",(MIN(DAMAS_Daily!C100*market_share_B*acceptance_rate*stack_activation,power_mw*hours_per_day,capacity_mwh))*DAMAS_Daily!E100*activation_mult_B,(MIN(DAMAS_Daily!D100*market_share_B*acceptance_rate*stack_activation,power_mw*hours_per_day,capacity_mwh))*DAMAS_Daily!F100*activation_mult_B)</f>
        <v/>
      </c>
      <c r="N100" s="19">
        <f>F100+M100</f>
        <v/>
      </c>
    </row>
    <row r="101">
      <c r="A101" s="41">
        <f>DAMAS_Daily!A101</f>
        <v/>
      </c>
      <c r="B101" s="42">
        <f>DAMAS_Daily!B101</f>
        <v/>
      </c>
      <c r="C101" s="42">
        <f>IF((power_mw*hours_per_day*damas_afrr_up*capacity_mult_B*stack_capacity*acceptance_rate+(MIN(DAMAS_Daily!C101*market_share_B*acceptance_rate*stack_activation,power_mw*hours_per_day,capacity_mwh))*DAMAS_Daily!E101*activation_mult_B)&gt;=(power_mw*hours_per_day*damas_afrr_down*capacity_mult_B*stack_capacity*acceptance_rate+(MIN(DAMAS_Daily!D101*market_share_B*acceptance_rate*stack_activation,power_mw*hours_per_day,capacity_mwh))*DAMAS_Daily!F101*activation_mult_B),"aFRR+","aFRR-")</f>
        <v/>
      </c>
      <c r="D101" s="43">
        <f>IF(C101="aFRR+",damas_afrr_up*capacity_mult_B,damas_afrr_down*capacity_mult_B)</f>
        <v/>
      </c>
      <c r="E101" s="44">
        <f>acceptance_rate</f>
        <v/>
      </c>
      <c r="F101" s="18">
        <f>IF(C101="aFRR+",power_mw*hours_per_day*damas_afrr_up*capacity_mult_B*stack_capacity*acceptance_rate,power_mw*hours_per_day*damas_afrr_down*capacity_mult_B*stack_capacity*acceptance_rate)</f>
        <v/>
      </c>
      <c r="G101" s="42">
        <f>IF(C101="aFRR+",DAMAS_Daily!I101,DAMAS_Daily!J101)</f>
        <v/>
      </c>
      <c r="H101" s="43">
        <f>IF(C101="aFRR+",DAMAS_Daily!E101,DAMAS_Daily!F101)</f>
        <v/>
      </c>
      <c r="I101" s="43">
        <f>IF(C101="aFRR+",DAMAS_Daily!G101,DAMAS_Daily!H101)</f>
        <v/>
      </c>
      <c r="J101" s="45">
        <f>IF(C101="aFRR+",DAMAS_Daily!C101,DAMAS_Daily!D101)</f>
        <v/>
      </c>
      <c r="K101" s="45">
        <f>IF(C101="aFRR+",MIN(DAMAS_Daily!C101*market_share_B*acceptance_rate*stack_activation,power_mw*hours_per_day,capacity_mwh),MIN(DAMAS_Daily!D101*market_share_B*acceptance_rate*stack_activation,power_mw*hours_per_day,capacity_mwh))</f>
        <v/>
      </c>
      <c r="L101" s="42">
        <f>IF(K101&gt;=capacity_mwh-0.01,"yes","no")</f>
        <v/>
      </c>
      <c r="M101" s="18">
        <f>IF(C101="aFRR+",(MIN(DAMAS_Daily!C101*market_share_B*acceptance_rate*stack_activation,power_mw*hours_per_day,capacity_mwh))*DAMAS_Daily!E101*activation_mult_B,(MIN(DAMAS_Daily!D101*market_share_B*acceptance_rate*stack_activation,power_mw*hours_per_day,capacity_mwh))*DAMAS_Daily!F101*activation_mult_B)</f>
        <v/>
      </c>
      <c r="N101" s="19">
        <f>F101+M101</f>
        <v/>
      </c>
    </row>
    <row r="102">
      <c r="A102" s="41">
        <f>DAMAS_Daily!A102</f>
        <v/>
      </c>
      <c r="B102" s="42">
        <f>DAMAS_Daily!B102</f>
        <v/>
      </c>
      <c r="C102" s="42">
        <f>IF((power_mw*hours_per_day*damas_afrr_up*capacity_mult_B*stack_capacity*acceptance_rate+(MIN(DAMAS_Daily!C102*market_share_B*acceptance_rate*stack_activation,power_mw*hours_per_day,capacity_mwh))*DAMAS_Daily!E102*activation_mult_B)&gt;=(power_mw*hours_per_day*damas_afrr_down*capacity_mult_B*stack_capacity*acceptance_rate+(MIN(DAMAS_Daily!D102*market_share_B*acceptance_rate*stack_activation,power_mw*hours_per_day,capacity_mwh))*DAMAS_Daily!F102*activation_mult_B),"aFRR+","aFRR-")</f>
        <v/>
      </c>
      <c r="D102" s="43">
        <f>IF(C102="aFRR+",damas_afrr_up*capacity_mult_B,damas_afrr_down*capacity_mult_B)</f>
        <v/>
      </c>
      <c r="E102" s="44">
        <f>acceptance_rate</f>
        <v/>
      </c>
      <c r="F102" s="18">
        <f>IF(C102="aFRR+",power_mw*hours_per_day*damas_afrr_up*capacity_mult_B*stack_capacity*acceptance_rate,power_mw*hours_per_day*damas_afrr_down*capacity_mult_B*stack_capacity*acceptance_rate)</f>
        <v/>
      </c>
      <c r="G102" s="42">
        <f>IF(C102="aFRR+",DAMAS_Daily!I102,DAMAS_Daily!J102)</f>
        <v/>
      </c>
      <c r="H102" s="43">
        <f>IF(C102="aFRR+",DAMAS_Daily!E102,DAMAS_Daily!F102)</f>
        <v/>
      </c>
      <c r="I102" s="43">
        <f>IF(C102="aFRR+",DAMAS_Daily!G102,DAMAS_Daily!H102)</f>
        <v/>
      </c>
      <c r="J102" s="45">
        <f>IF(C102="aFRR+",DAMAS_Daily!C102,DAMAS_Daily!D102)</f>
        <v/>
      </c>
      <c r="K102" s="45">
        <f>IF(C102="aFRR+",MIN(DAMAS_Daily!C102*market_share_B*acceptance_rate*stack_activation,power_mw*hours_per_day,capacity_mwh),MIN(DAMAS_Daily!D102*market_share_B*acceptance_rate*stack_activation,power_mw*hours_per_day,capacity_mwh))</f>
        <v/>
      </c>
      <c r="L102" s="42">
        <f>IF(K102&gt;=capacity_mwh-0.01,"yes","no")</f>
        <v/>
      </c>
      <c r="M102" s="18">
        <f>IF(C102="aFRR+",(MIN(DAMAS_Daily!C102*market_share_B*acceptance_rate*stack_activation,power_mw*hours_per_day,capacity_mwh))*DAMAS_Daily!E102*activation_mult_B,(MIN(DAMAS_Daily!D102*market_share_B*acceptance_rate*stack_activation,power_mw*hours_per_day,capacity_mwh))*DAMAS_Daily!F102*activation_mult_B)</f>
        <v/>
      </c>
      <c r="N102" s="19">
        <f>F102+M102</f>
        <v/>
      </c>
    </row>
    <row r="103">
      <c r="A103" s="41">
        <f>DAMAS_Daily!A103</f>
        <v/>
      </c>
      <c r="B103" s="42">
        <f>DAMAS_Daily!B103</f>
        <v/>
      </c>
      <c r="C103" s="42">
        <f>IF((power_mw*hours_per_day*damas_afrr_up*capacity_mult_B*stack_capacity*acceptance_rate+(MIN(DAMAS_Daily!C103*market_share_B*acceptance_rate*stack_activation,power_mw*hours_per_day,capacity_mwh))*DAMAS_Daily!E103*activation_mult_B)&gt;=(power_mw*hours_per_day*damas_afrr_down*capacity_mult_B*stack_capacity*acceptance_rate+(MIN(DAMAS_Daily!D103*market_share_B*acceptance_rate*stack_activation,power_mw*hours_per_day,capacity_mwh))*DAMAS_Daily!F103*activation_mult_B),"aFRR+","aFRR-")</f>
        <v/>
      </c>
      <c r="D103" s="43">
        <f>IF(C103="aFRR+",damas_afrr_up*capacity_mult_B,damas_afrr_down*capacity_mult_B)</f>
        <v/>
      </c>
      <c r="E103" s="44">
        <f>acceptance_rate</f>
        <v/>
      </c>
      <c r="F103" s="18">
        <f>IF(C103="aFRR+",power_mw*hours_per_day*damas_afrr_up*capacity_mult_B*stack_capacity*acceptance_rate,power_mw*hours_per_day*damas_afrr_down*capacity_mult_B*stack_capacity*acceptance_rate)</f>
        <v/>
      </c>
      <c r="G103" s="42">
        <f>IF(C103="aFRR+",DAMAS_Daily!I103,DAMAS_Daily!J103)</f>
        <v/>
      </c>
      <c r="H103" s="43">
        <f>IF(C103="aFRR+",DAMAS_Daily!E103,DAMAS_Daily!F103)</f>
        <v/>
      </c>
      <c r="I103" s="43">
        <f>IF(C103="aFRR+",DAMAS_Daily!G103,DAMAS_Daily!H103)</f>
        <v/>
      </c>
      <c r="J103" s="45">
        <f>IF(C103="aFRR+",DAMAS_Daily!C103,DAMAS_Daily!D103)</f>
        <v/>
      </c>
      <c r="K103" s="45">
        <f>IF(C103="aFRR+",MIN(DAMAS_Daily!C103*market_share_B*acceptance_rate*stack_activation,power_mw*hours_per_day,capacity_mwh),MIN(DAMAS_Daily!D103*market_share_B*acceptance_rate*stack_activation,power_mw*hours_per_day,capacity_mwh))</f>
        <v/>
      </c>
      <c r="L103" s="42">
        <f>IF(K103&gt;=capacity_mwh-0.01,"yes","no")</f>
        <v/>
      </c>
      <c r="M103" s="18">
        <f>IF(C103="aFRR+",(MIN(DAMAS_Daily!C103*market_share_B*acceptance_rate*stack_activation,power_mw*hours_per_day,capacity_mwh))*DAMAS_Daily!E103*activation_mult_B,(MIN(DAMAS_Daily!D103*market_share_B*acceptance_rate*stack_activation,power_mw*hours_per_day,capacity_mwh))*DAMAS_Daily!F103*activation_mult_B)</f>
        <v/>
      </c>
      <c r="N103" s="19">
        <f>F103+M103</f>
        <v/>
      </c>
    </row>
    <row r="104">
      <c r="A104" s="41">
        <f>DAMAS_Daily!A104</f>
        <v/>
      </c>
      <c r="B104" s="42">
        <f>DAMAS_Daily!B104</f>
        <v/>
      </c>
      <c r="C104" s="42">
        <f>IF((power_mw*hours_per_day*damas_afrr_up*capacity_mult_B*stack_capacity*acceptance_rate+(MIN(DAMAS_Daily!C104*market_share_B*acceptance_rate*stack_activation,power_mw*hours_per_day,capacity_mwh))*DAMAS_Daily!E104*activation_mult_B)&gt;=(power_mw*hours_per_day*damas_afrr_down*capacity_mult_B*stack_capacity*acceptance_rate+(MIN(DAMAS_Daily!D104*market_share_B*acceptance_rate*stack_activation,power_mw*hours_per_day,capacity_mwh))*DAMAS_Daily!F104*activation_mult_B),"aFRR+","aFRR-")</f>
        <v/>
      </c>
      <c r="D104" s="43">
        <f>IF(C104="aFRR+",damas_afrr_up*capacity_mult_B,damas_afrr_down*capacity_mult_B)</f>
        <v/>
      </c>
      <c r="E104" s="44">
        <f>acceptance_rate</f>
        <v/>
      </c>
      <c r="F104" s="18">
        <f>IF(C104="aFRR+",power_mw*hours_per_day*damas_afrr_up*capacity_mult_B*stack_capacity*acceptance_rate,power_mw*hours_per_day*damas_afrr_down*capacity_mult_B*stack_capacity*acceptance_rate)</f>
        <v/>
      </c>
      <c r="G104" s="42">
        <f>IF(C104="aFRR+",DAMAS_Daily!I104,DAMAS_Daily!J104)</f>
        <v/>
      </c>
      <c r="H104" s="43">
        <f>IF(C104="aFRR+",DAMAS_Daily!E104,DAMAS_Daily!F104)</f>
        <v/>
      </c>
      <c r="I104" s="43">
        <f>IF(C104="aFRR+",DAMAS_Daily!G104,DAMAS_Daily!H104)</f>
        <v/>
      </c>
      <c r="J104" s="45">
        <f>IF(C104="aFRR+",DAMAS_Daily!C104,DAMAS_Daily!D104)</f>
        <v/>
      </c>
      <c r="K104" s="45">
        <f>IF(C104="aFRR+",MIN(DAMAS_Daily!C104*market_share_B*acceptance_rate*stack_activation,power_mw*hours_per_day,capacity_mwh),MIN(DAMAS_Daily!D104*market_share_B*acceptance_rate*stack_activation,power_mw*hours_per_day,capacity_mwh))</f>
        <v/>
      </c>
      <c r="L104" s="42">
        <f>IF(K104&gt;=capacity_mwh-0.01,"yes","no")</f>
        <v/>
      </c>
      <c r="M104" s="18">
        <f>IF(C104="aFRR+",(MIN(DAMAS_Daily!C104*market_share_B*acceptance_rate*stack_activation,power_mw*hours_per_day,capacity_mwh))*DAMAS_Daily!E104*activation_mult_B,(MIN(DAMAS_Daily!D104*market_share_B*acceptance_rate*stack_activation,power_mw*hours_per_day,capacity_mwh))*DAMAS_Daily!F104*activation_mult_B)</f>
        <v/>
      </c>
      <c r="N104" s="19">
        <f>F104+M104</f>
        <v/>
      </c>
    </row>
    <row r="105">
      <c r="A105" s="41">
        <f>DAMAS_Daily!A105</f>
        <v/>
      </c>
      <c r="B105" s="42">
        <f>DAMAS_Daily!B105</f>
        <v/>
      </c>
      <c r="C105" s="42">
        <f>IF((power_mw*hours_per_day*damas_afrr_up*capacity_mult_B*stack_capacity*acceptance_rate+(MIN(DAMAS_Daily!C105*market_share_B*acceptance_rate*stack_activation,power_mw*hours_per_day,capacity_mwh))*DAMAS_Daily!E105*activation_mult_B)&gt;=(power_mw*hours_per_day*damas_afrr_down*capacity_mult_B*stack_capacity*acceptance_rate+(MIN(DAMAS_Daily!D105*market_share_B*acceptance_rate*stack_activation,power_mw*hours_per_day,capacity_mwh))*DAMAS_Daily!F105*activation_mult_B),"aFRR+","aFRR-")</f>
        <v/>
      </c>
      <c r="D105" s="43">
        <f>IF(C105="aFRR+",damas_afrr_up*capacity_mult_B,damas_afrr_down*capacity_mult_B)</f>
        <v/>
      </c>
      <c r="E105" s="44">
        <f>acceptance_rate</f>
        <v/>
      </c>
      <c r="F105" s="18">
        <f>IF(C105="aFRR+",power_mw*hours_per_day*damas_afrr_up*capacity_mult_B*stack_capacity*acceptance_rate,power_mw*hours_per_day*damas_afrr_down*capacity_mult_B*stack_capacity*acceptance_rate)</f>
        <v/>
      </c>
      <c r="G105" s="42">
        <f>IF(C105="aFRR+",DAMAS_Daily!I105,DAMAS_Daily!J105)</f>
        <v/>
      </c>
      <c r="H105" s="43">
        <f>IF(C105="aFRR+",DAMAS_Daily!E105,DAMAS_Daily!F105)</f>
        <v/>
      </c>
      <c r="I105" s="43">
        <f>IF(C105="aFRR+",DAMAS_Daily!G105,DAMAS_Daily!H105)</f>
        <v/>
      </c>
      <c r="J105" s="45">
        <f>IF(C105="aFRR+",DAMAS_Daily!C105,DAMAS_Daily!D105)</f>
        <v/>
      </c>
      <c r="K105" s="45">
        <f>IF(C105="aFRR+",MIN(DAMAS_Daily!C105*market_share_B*acceptance_rate*stack_activation,power_mw*hours_per_day,capacity_mwh),MIN(DAMAS_Daily!D105*market_share_B*acceptance_rate*stack_activation,power_mw*hours_per_day,capacity_mwh))</f>
        <v/>
      </c>
      <c r="L105" s="42">
        <f>IF(K105&gt;=capacity_mwh-0.01,"yes","no")</f>
        <v/>
      </c>
      <c r="M105" s="18">
        <f>IF(C105="aFRR+",(MIN(DAMAS_Daily!C105*market_share_B*acceptance_rate*stack_activation,power_mw*hours_per_day,capacity_mwh))*DAMAS_Daily!E105*activation_mult_B,(MIN(DAMAS_Daily!D105*market_share_B*acceptance_rate*stack_activation,power_mw*hours_per_day,capacity_mwh))*DAMAS_Daily!F105*activation_mult_B)</f>
        <v/>
      </c>
      <c r="N105" s="19">
        <f>F105+M105</f>
        <v/>
      </c>
    </row>
    <row r="106">
      <c r="A106" s="41">
        <f>DAMAS_Daily!A106</f>
        <v/>
      </c>
      <c r="B106" s="42">
        <f>DAMAS_Daily!B106</f>
        <v/>
      </c>
      <c r="C106" s="42">
        <f>IF((power_mw*hours_per_day*damas_afrr_up*capacity_mult_B*stack_capacity*acceptance_rate+(MIN(DAMAS_Daily!C106*market_share_B*acceptance_rate*stack_activation,power_mw*hours_per_day,capacity_mwh))*DAMAS_Daily!E106*activation_mult_B)&gt;=(power_mw*hours_per_day*damas_afrr_down*capacity_mult_B*stack_capacity*acceptance_rate+(MIN(DAMAS_Daily!D106*market_share_B*acceptance_rate*stack_activation,power_mw*hours_per_day,capacity_mwh))*DAMAS_Daily!F106*activation_mult_B),"aFRR+","aFRR-")</f>
        <v/>
      </c>
      <c r="D106" s="43">
        <f>IF(C106="aFRR+",damas_afrr_up*capacity_mult_B,damas_afrr_down*capacity_mult_B)</f>
        <v/>
      </c>
      <c r="E106" s="44">
        <f>acceptance_rate</f>
        <v/>
      </c>
      <c r="F106" s="18">
        <f>IF(C106="aFRR+",power_mw*hours_per_day*damas_afrr_up*capacity_mult_B*stack_capacity*acceptance_rate,power_mw*hours_per_day*damas_afrr_down*capacity_mult_B*stack_capacity*acceptance_rate)</f>
        <v/>
      </c>
      <c r="G106" s="42">
        <f>IF(C106="aFRR+",DAMAS_Daily!I106,DAMAS_Daily!J106)</f>
        <v/>
      </c>
      <c r="H106" s="43">
        <f>IF(C106="aFRR+",DAMAS_Daily!E106,DAMAS_Daily!F106)</f>
        <v/>
      </c>
      <c r="I106" s="43">
        <f>IF(C106="aFRR+",DAMAS_Daily!G106,DAMAS_Daily!H106)</f>
        <v/>
      </c>
      <c r="J106" s="45">
        <f>IF(C106="aFRR+",DAMAS_Daily!C106,DAMAS_Daily!D106)</f>
        <v/>
      </c>
      <c r="K106" s="45">
        <f>IF(C106="aFRR+",MIN(DAMAS_Daily!C106*market_share_B*acceptance_rate*stack_activation,power_mw*hours_per_day,capacity_mwh),MIN(DAMAS_Daily!D106*market_share_B*acceptance_rate*stack_activation,power_mw*hours_per_day,capacity_mwh))</f>
        <v/>
      </c>
      <c r="L106" s="42">
        <f>IF(K106&gt;=capacity_mwh-0.01,"yes","no")</f>
        <v/>
      </c>
      <c r="M106" s="18">
        <f>IF(C106="aFRR+",(MIN(DAMAS_Daily!C106*market_share_B*acceptance_rate*stack_activation,power_mw*hours_per_day,capacity_mwh))*DAMAS_Daily!E106*activation_mult_B,(MIN(DAMAS_Daily!D106*market_share_B*acceptance_rate*stack_activation,power_mw*hours_per_day,capacity_mwh))*DAMAS_Daily!F106*activation_mult_B)</f>
        <v/>
      </c>
      <c r="N106" s="19">
        <f>F106+M106</f>
        <v/>
      </c>
    </row>
    <row r="107">
      <c r="A107" s="41">
        <f>DAMAS_Daily!A107</f>
        <v/>
      </c>
      <c r="B107" s="42">
        <f>DAMAS_Daily!B107</f>
        <v/>
      </c>
      <c r="C107" s="42">
        <f>IF((power_mw*hours_per_day*damas_afrr_up*capacity_mult_B*stack_capacity*acceptance_rate+(MIN(DAMAS_Daily!C107*market_share_B*acceptance_rate*stack_activation,power_mw*hours_per_day,capacity_mwh))*DAMAS_Daily!E107*activation_mult_B)&gt;=(power_mw*hours_per_day*damas_afrr_down*capacity_mult_B*stack_capacity*acceptance_rate+(MIN(DAMAS_Daily!D107*market_share_B*acceptance_rate*stack_activation,power_mw*hours_per_day,capacity_mwh))*DAMAS_Daily!F107*activation_mult_B),"aFRR+","aFRR-")</f>
        <v/>
      </c>
      <c r="D107" s="43">
        <f>IF(C107="aFRR+",damas_afrr_up*capacity_mult_B,damas_afrr_down*capacity_mult_B)</f>
        <v/>
      </c>
      <c r="E107" s="44">
        <f>acceptance_rate</f>
        <v/>
      </c>
      <c r="F107" s="18">
        <f>IF(C107="aFRR+",power_mw*hours_per_day*damas_afrr_up*capacity_mult_B*stack_capacity*acceptance_rate,power_mw*hours_per_day*damas_afrr_down*capacity_mult_B*stack_capacity*acceptance_rate)</f>
        <v/>
      </c>
      <c r="G107" s="42">
        <f>IF(C107="aFRR+",DAMAS_Daily!I107,DAMAS_Daily!J107)</f>
        <v/>
      </c>
      <c r="H107" s="43">
        <f>IF(C107="aFRR+",DAMAS_Daily!E107,DAMAS_Daily!F107)</f>
        <v/>
      </c>
      <c r="I107" s="43">
        <f>IF(C107="aFRR+",DAMAS_Daily!G107,DAMAS_Daily!H107)</f>
        <v/>
      </c>
      <c r="J107" s="45">
        <f>IF(C107="aFRR+",DAMAS_Daily!C107,DAMAS_Daily!D107)</f>
        <v/>
      </c>
      <c r="K107" s="45">
        <f>IF(C107="aFRR+",MIN(DAMAS_Daily!C107*market_share_B*acceptance_rate*stack_activation,power_mw*hours_per_day,capacity_mwh),MIN(DAMAS_Daily!D107*market_share_B*acceptance_rate*stack_activation,power_mw*hours_per_day,capacity_mwh))</f>
        <v/>
      </c>
      <c r="L107" s="42">
        <f>IF(K107&gt;=capacity_mwh-0.01,"yes","no")</f>
        <v/>
      </c>
      <c r="M107" s="18">
        <f>IF(C107="aFRR+",(MIN(DAMAS_Daily!C107*market_share_B*acceptance_rate*stack_activation,power_mw*hours_per_day,capacity_mwh))*DAMAS_Daily!E107*activation_mult_B,(MIN(DAMAS_Daily!D107*market_share_B*acceptance_rate*stack_activation,power_mw*hours_per_day,capacity_mwh))*DAMAS_Daily!F107*activation_mult_B)</f>
        <v/>
      </c>
      <c r="N107" s="19">
        <f>F107+M107</f>
        <v/>
      </c>
    </row>
    <row r="108">
      <c r="A108" s="41">
        <f>DAMAS_Daily!A108</f>
        <v/>
      </c>
      <c r="B108" s="42">
        <f>DAMAS_Daily!B108</f>
        <v/>
      </c>
      <c r="C108" s="42">
        <f>IF((power_mw*hours_per_day*damas_afrr_up*capacity_mult_B*stack_capacity*acceptance_rate+(MIN(DAMAS_Daily!C108*market_share_B*acceptance_rate*stack_activation,power_mw*hours_per_day,capacity_mwh))*DAMAS_Daily!E108*activation_mult_B)&gt;=(power_mw*hours_per_day*damas_afrr_down*capacity_mult_B*stack_capacity*acceptance_rate+(MIN(DAMAS_Daily!D108*market_share_B*acceptance_rate*stack_activation,power_mw*hours_per_day,capacity_mwh))*DAMAS_Daily!F108*activation_mult_B),"aFRR+","aFRR-")</f>
        <v/>
      </c>
      <c r="D108" s="43">
        <f>IF(C108="aFRR+",damas_afrr_up*capacity_mult_B,damas_afrr_down*capacity_mult_B)</f>
        <v/>
      </c>
      <c r="E108" s="44">
        <f>acceptance_rate</f>
        <v/>
      </c>
      <c r="F108" s="18">
        <f>IF(C108="aFRR+",power_mw*hours_per_day*damas_afrr_up*capacity_mult_B*stack_capacity*acceptance_rate,power_mw*hours_per_day*damas_afrr_down*capacity_mult_B*stack_capacity*acceptance_rate)</f>
        <v/>
      </c>
      <c r="G108" s="42">
        <f>IF(C108="aFRR+",DAMAS_Daily!I108,DAMAS_Daily!J108)</f>
        <v/>
      </c>
      <c r="H108" s="43">
        <f>IF(C108="aFRR+",DAMAS_Daily!E108,DAMAS_Daily!F108)</f>
        <v/>
      </c>
      <c r="I108" s="43">
        <f>IF(C108="aFRR+",DAMAS_Daily!G108,DAMAS_Daily!H108)</f>
        <v/>
      </c>
      <c r="J108" s="45">
        <f>IF(C108="aFRR+",DAMAS_Daily!C108,DAMAS_Daily!D108)</f>
        <v/>
      </c>
      <c r="K108" s="45">
        <f>IF(C108="aFRR+",MIN(DAMAS_Daily!C108*market_share_B*acceptance_rate*stack_activation,power_mw*hours_per_day,capacity_mwh),MIN(DAMAS_Daily!D108*market_share_B*acceptance_rate*stack_activation,power_mw*hours_per_day,capacity_mwh))</f>
        <v/>
      </c>
      <c r="L108" s="42">
        <f>IF(K108&gt;=capacity_mwh-0.01,"yes","no")</f>
        <v/>
      </c>
      <c r="M108" s="18">
        <f>IF(C108="aFRR+",(MIN(DAMAS_Daily!C108*market_share_B*acceptance_rate*stack_activation,power_mw*hours_per_day,capacity_mwh))*DAMAS_Daily!E108*activation_mult_B,(MIN(DAMAS_Daily!D108*market_share_B*acceptance_rate*stack_activation,power_mw*hours_per_day,capacity_mwh))*DAMAS_Daily!F108*activation_mult_B)</f>
        <v/>
      </c>
      <c r="N108" s="19">
        <f>F108+M108</f>
        <v/>
      </c>
    </row>
    <row r="109">
      <c r="A109" s="41">
        <f>DAMAS_Daily!A109</f>
        <v/>
      </c>
      <c r="B109" s="42">
        <f>DAMAS_Daily!B109</f>
        <v/>
      </c>
      <c r="C109" s="42">
        <f>IF((power_mw*hours_per_day*damas_afrr_up*capacity_mult_B*stack_capacity*acceptance_rate+(MIN(DAMAS_Daily!C109*market_share_B*acceptance_rate*stack_activation,power_mw*hours_per_day,capacity_mwh))*DAMAS_Daily!E109*activation_mult_B)&gt;=(power_mw*hours_per_day*damas_afrr_down*capacity_mult_B*stack_capacity*acceptance_rate+(MIN(DAMAS_Daily!D109*market_share_B*acceptance_rate*stack_activation,power_mw*hours_per_day,capacity_mwh))*DAMAS_Daily!F109*activation_mult_B),"aFRR+","aFRR-")</f>
        <v/>
      </c>
      <c r="D109" s="43">
        <f>IF(C109="aFRR+",damas_afrr_up*capacity_mult_B,damas_afrr_down*capacity_mult_B)</f>
        <v/>
      </c>
      <c r="E109" s="44">
        <f>acceptance_rate</f>
        <v/>
      </c>
      <c r="F109" s="18">
        <f>IF(C109="aFRR+",power_mw*hours_per_day*damas_afrr_up*capacity_mult_B*stack_capacity*acceptance_rate,power_mw*hours_per_day*damas_afrr_down*capacity_mult_B*stack_capacity*acceptance_rate)</f>
        <v/>
      </c>
      <c r="G109" s="42">
        <f>IF(C109="aFRR+",DAMAS_Daily!I109,DAMAS_Daily!J109)</f>
        <v/>
      </c>
      <c r="H109" s="43">
        <f>IF(C109="aFRR+",DAMAS_Daily!E109,DAMAS_Daily!F109)</f>
        <v/>
      </c>
      <c r="I109" s="43">
        <f>IF(C109="aFRR+",DAMAS_Daily!G109,DAMAS_Daily!H109)</f>
        <v/>
      </c>
      <c r="J109" s="45">
        <f>IF(C109="aFRR+",DAMAS_Daily!C109,DAMAS_Daily!D109)</f>
        <v/>
      </c>
      <c r="K109" s="45">
        <f>IF(C109="aFRR+",MIN(DAMAS_Daily!C109*market_share_B*acceptance_rate*stack_activation,power_mw*hours_per_day,capacity_mwh),MIN(DAMAS_Daily!D109*market_share_B*acceptance_rate*stack_activation,power_mw*hours_per_day,capacity_mwh))</f>
        <v/>
      </c>
      <c r="L109" s="42">
        <f>IF(K109&gt;=capacity_mwh-0.01,"yes","no")</f>
        <v/>
      </c>
      <c r="M109" s="18">
        <f>IF(C109="aFRR+",(MIN(DAMAS_Daily!C109*market_share_B*acceptance_rate*stack_activation,power_mw*hours_per_day,capacity_mwh))*DAMAS_Daily!E109*activation_mult_B,(MIN(DAMAS_Daily!D109*market_share_B*acceptance_rate*stack_activation,power_mw*hours_per_day,capacity_mwh))*DAMAS_Daily!F109*activation_mult_B)</f>
        <v/>
      </c>
      <c r="N109" s="19">
        <f>F109+M109</f>
        <v/>
      </c>
    </row>
    <row r="110">
      <c r="A110" s="41">
        <f>DAMAS_Daily!A110</f>
        <v/>
      </c>
      <c r="B110" s="42">
        <f>DAMAS_Daily!B110</f>
        <v/>
      </c>
      <c r="C110" s="42">
        <f>IF((power_mw*hours_per_day*damas_afrr_up*capacity_mult_B*stack_capacity*acceptance_rate+(MIN(DAMAS_Daily!C110*market_share_B*acceptance_rate*stack_activation,power_mw*hours_per_day,capacity_mwh))*DAMAS_Daily!E110*activation_mult_B)&gt;=(power_mw*hours_per_day*damas_afrr_down*capacity_mult_B*stack_capacity*acceptance_rate+(MIN(DAMAS_Daily!D110*market_share_B*acceptance_rate*stack_activation,power_mw*hours_per_day,capacity_mwh))*DAMAS_Daily!F110*activation_mult_B),"aFRR+","aFRR-")</f>
        <v/>
      </c>
      <c r="D110" s="43">
        <f>IF(C110="aFRR+",damas_afrr_up*capacity_mult_B,damas_afrr_down*capacity_mult_B)</f>
        <v/>
      </c>
      <c r="E110" s="44">
        <f>acceptance_rate</f>
        <v/>
      </c>
      <c r="F110" s="18">
        <f>IF(C110="aFRR+",power_mw*hours_per_day*damas_afrr_up*capacity_mult_B*stack_capacity*acceptance_rate,power_mw*hours_per_day*damas_afrr_down*capacity_mult_B*stack_capacity*acceptance_rate)</f>
        <v/>
      </c>
      <c r="G110" s="42">
        <f>IF(C110="aFRR+",DAMAS_Daily!I110,DAMAS_Daily!J110)</f>
        <v/>
      </c>
      <c r="H110" s="43">
        <f>IF(C110="aFRR+",DAMAS_Daily!E110,DAMAS_Daily!F110)</f>
        <v/>
      </c>
      <c r="I110" s="43">
        <f>IF(C110="aFRR+",DAMAS_Daily!G110,DAMAS_Daily!H110)</f>
        <v/>
      </c>
      <c r="J110" s="45">
        <f>IF(C110="aFRR+",DAMAS_Daily!C110,DAMAS_Daily!D110)</f>
        <v/>
      </c>
      <c r="K110" s="45">
        <f>IF(C110="aFRR+",MIN(DAMAS_Daily!C110*market_share_B*acceptance_rate*stack_activation,power_mw*hours_per_day,capacity_mwh),MIN(DAMAS_Daily!D110*market_share_B*acceptance_rate*stack_activation,power_mw*hours_per_day,capacity_mwh))</f>
        <v/>
      </c>
      <c r="L110" s="42">
        <f>IF(K110&gt;=capacity_mwh-0.01,"yes","no")</f>
        <v/>
      </c>
      <c r="M110" s="18">
        <f>IF(C110="aFRR+",(MIN(DAMAS_Daily!C110*market_share_B*acceptance_rate*stack_activation,power_mw*hours_per_day,capacity_mwh))*DAMAS_Daily!E110*activation_mult_B,(MIN(DAMAS_Daily!D110*market_share_B*acceptance_rate*stack_activation,power_mw*hours_per_day,capacity_mwh))*DAMAS_Daily!F110*activation_mult_B)</f>
        <v/>
      </c>
      <c r="N110" s="19">
        <f>F110+M110</f>
        <v/>
      </c>
    </row>
    <row r="111">
      <c r="A111" s="41">
        <f>DAMAS_Daily!A111</f>
        <v/>
      </c>
      <c r="B111" s="42">
        <f>DAMAS_Daily!B111</f>
        <v/>
      </c>
      <c r="C111" s="42">
        <f>IF((power_mw*hours_per_day*damas_afrr_up*capacity_mult_B*stack_capacity*acceptance_rate+(MIN(DAMAS_Daily!C111*market_share_B*acceptance_rate*stack_activation,power_mw*hours_per_day,capacity_mwh))*DAMAS_Daily!E111*activation_mult_B)&gt;=(power_mw*hours_per_day*damas_afrr_down*capacity_mult_B*stack_capacity*acceptance_rate+(MIN(DAMAS_Daily!D111*market_share_B*acceptance_rate*stack_activation,power_mw*hours_per_day,capacity_mwh))*DAMAS_Daily!F111*activation_mult_B),"aFRR+","aFRR-")</f>
        <v/>
      </c>
      <c r="D111" s="43">
        <f>IF(C111="aFRR+",damas_afrr_up*capacity_mult_B,damas_afrr_down*capacity_mult_B)</f>
        <v/>
      </c>
      <c r="E111" s="44">
        <f>acceptance_rate</f>
        <v/>
      </c>
      <c r="F111" s="18">
        <f>IF(C111="aFRR+",power_mw*hours_per_day*damas_afrr_up*capacity_mult_B*stack_capacity*acceptance_rate,power_mw*hours_per_day*damas_afrr_down*capacity_mult_B*stack_capacity*acceptance_rate)</f>
        <v/>
      </c>
      <c r="G111" s="42">
        <f>IF(C111="aFRR+",DAMAS_Daily!I111,DAMAS_Daily!J111)</f>
        <v/>
      </c>
      <c r="H111" s="43">
        <f>IF(C111="aFRR+",DAMAS_Daily!E111,DAMAS_Daily!F111)</f>
        <v/>
      </c>
      <c r="I111" s="43">
        <f>IF(C111="aFRR+",DAMAS_Daily!G111,DAMAS_Daily!H111)</f>
        <v/>
      </c>
      <c r="J111" s="45">
        <f>IF(C111="aFRR+",DAMAS_Daily!C111,DAMAS_Daily!D111)</f>
        <v/>
      </c>
      <c r="K111" s="45">
        <f>IF(C111="aFRR+",MIN(DAMAS_Daily!C111*market_share_B*acceptance_rate*stack_activation,power_mw*hours_per_day,capacity_mwh),MIN(DAMAS_Daily!D111*market_share_B*acceptance_rate*stack_activation,power_mw*hours_per_day,capacity_mwh))</f>
        <v/>
      </c>
      <c r="L111" s="42">
        <f>IF(K111&gt;=capacity_mwh-0.01,"yes","no")</f>
        <v/>
      </c>
      <c r="M111" s="18">
        <f>IF(C111="aFRR+",(MIN(DAMAS_Daily!C111*market_share_B*acceptance_rate*stack_activation,power_mw*hours_per_day,capacity_mwh))*DAMAS_Daily!E111*activation_mult_B,(MIN(DAMAS_Daily!D111*market_share_B*acceptance_rate*stack_activation,power_mw*hours_per_day,capacity_mwh))*DAMAS_Daily!F111*activation_mult_B)</f>
        <v/>
      </c>
      <c r="N111" s="19">
        <f>F111+M111</f>
        <v/>
      </c>
    </row>
    <row r="112">
      <c r="A112" s="41">
        <f>DAMAS_Daily!A112</f>
        <v/>
      </c>
      <c r="B112" s="42">
        <f>DAMAS_Daily!B112</f>
        <v/>
      </c>
      <c r="C112" s="42">
        <f>IF((power_mw*hours_per_day*damas_afrr_up*capacity_mult_B*stack_capacity*acceptance_rate+(MIN(DAMAS_Daily!C112*market_share_B*acceptance_rate*stack_activation,power_mw*hours_per_day,capacity_mwh))*DAMAS_Daily!E112*activation_mult_B)&gt;=(power_mw*hours_per_day*damas_afrr_down*capacity_mult_B*stack_capacity*acceptance_rate+(MIN(DAMAS_Daily!D112*market_share_B*acceptance_rate*stack_activation,power_mw*hours_per_day,capacity_mwh))*DAMAS_Daily!F112*activation_mult_B),"aFRR+","aFRR-")</f>
        <v/>
      </c>
      <c r="D112" s="43">
        <f>IF(C112="aFRR+",damas_afrr_up*capacity_mult_B,damas_afrr_down*capacity_mult_B)</f>
        <v/>
      </c>
      <c r="E112" s="44">
        <f>acceptance_rate</f>
        <v/>
      </c>
      <c r="F112" s="18">
        <f>IF(C112="aFRR+",power_mw*hours_per_day*damas_afrr_up*capacity_mult_B*stack_capacity*acceptance_rate,power_mw*hours_per_day*damas_afrr_down*capacity_mult_B*stack_capacity*acceptance_rate)</f>
        <v/>
      </c>
      <c r="G112" s="42">
        <f>IF(C112="aFRR+",DAMAS_Daily!I112,DAMAS_Daily!J112)</f>
        <v/>
      </c>
      <c r="H112" s="43">
        <f>IF(C112="aFRR+",DAMAS_Daily!E112,DAMAS_Daily!F112)</f>
        <v/>
      </c>
      <c r="I112" s="43">
        <f>IF(C112="aFRR+",DAMAS_Daily!G112,DAMAS_Daily!H112)</f>
        <v/>
      </c>
      <c r="J112" s="45">
        <f>IF(C112="aFRR+",DAMAS_Daily!C112,DAMAS_Daily!D112)</f>
        <v/>
      </c>
      <c r="K112" s="45">
        <f>IF(C112="aFRR+",MIN(DAMAS_Daily!C112*market_share_B*acceptance_rate*stack_activation,power_mw*hours_per_day,capacity_mwh),MIN(DAMAS_Daily!D112*market_share_B*acceptance_rate*stack_activation,power_mw*hours_per_day,capacity_mwh))</f>
        <v/>
      </c>
      <c r="L112" s="42">
        <f>IF(K112&gt;=capacity_mwh-0.01,"yes","no")</f>
        <v/>
      </c>
      <c r="M112" s="18">
        <f>IF(C112="aFRR+",(MIN(DAMAS_Daily!C112*market_share_B*acceptance_rate*stack_activation,power_mw*hours_per_day,capacity_mwh))*DAMAS_Daily!E112*activation_mult_B,(MIN(DAMAS_Daily!D112*market_share_B*acceptance_rate*stack_activation,power_mw*hours_per_day,capacity_mwh))*DAMAS_Daily!F112*activation_mult_B)</f>
        <v/>
      </c>
      <c r="N112" s="19">
        <f>F112+M112</f>
        <v/>
      </c>
    </row>
    <row r="113">
      <c r="A113" s="41">
        <f>DAMAS_Daily!A113</f>
        <v/>
      </c>
      <c r="B113" s="42">
        <f>DAMAS_Daily!B113</f>
        <v/>
      </c>
      <c r="C113" s="42">
        <f>IF((power_mw*hours_per_day*damas_afrr_up*capacity_mult_B*stack_capacity*acceptance_rate+(MIN(DAMAS_Daily!C113*market_share_B*acceptance_rate*stack_activation,power_mw*hours_per_day,capacity_mwh))*DAMAS_Daily!E113*activation_mult_B)&gt;=(power_mw*hours_per_day*damas_afrr_down*capacity_mult_B*stack_capacity*acceptance_rate+(MIN(DAMAS_Daily!D113*market_share_B*acceptance_rate*stack_activation,power_mw*hours_per_day,capacity_mwh))*DAMAS_Daily!F113*activation_mult_B),"aFRR+","aFRR-")</f>
        <v/>
      </c>
      <c r="D113" s="43">
        <f>IF(C113="aFRR+",damas_afrr_up*capacity_mult_B,damas_afrr_down*capacity_mult_B)</f>
        <v/>
      </c>
      <c r="E113" s="44">
        <f>acceptance_rate</f>
        <v/>
      </c>
      <c r="F113" s="18">
        <f>IF(C113="aFRR+",power_mw*hours_per_day*damas_afrr_up*capacity_mult_B*stack_capacity*acceptance_rate,power_mw*hours_per_day*damas_afrr_down*capacity_mult_B*stack_capacity*acceptance_rate)</f>
        <v/>
      </c>
      <c r="G113" s="42">
        <f>IF(C113="aFRR+",DAMAS_Daily!I113,DAMAS_Daily!J113)</f>
        <v/>
      </c>
      <c r="H113" s="43">
        <f>IF(C113="aFRR+",DAMAS_Daily!E113,DAMAS_Daily!F113)</f>
        <v/>
      </c>
      <c r="I113" s="43">
        <f>IF(C113="aFRR+",DAMAS_Daily!G113,DAMAS_Daily!H113)</f>
        <v/>
      </c>
      <c r="J113" s="45">
        <f>IF(C113="aFRR+",DAMAS_Daily!C113,DAMAS_Daily!D113)</f>
        <v/>
      </c>
      <c r="K113" s="45">
        <f>IF(C113="aFRR+",MIN(DAMAS_Daily!C113*market_share_B*acceptance_rate*stack_activation,power_mw*hours_per_day,capacity_mwh),MIN(DAMAS_Daily!D113*market_share_B*acceptance_rate*stack_activation,power_mw*hours_per_day,capacity_mwh))</f>
        <v/>
      </c>
      <c r="L113" s="42">
        <f>IF(K113&gt;=capacity_mwh-0.01,"yes","no")</f>
        <v/>
      </c>
      <c r="M113" s="18">
        <f>IF(C113="aFRR+",(MIN(DAMAS_Daily!C113*market_share_B*acceptance_rate*stack_activation,power_mw*hours_per_day,capacity_mwh))*DAMAS_Daily!E113*activation_mult_B,(MIN(DAMAS_Daily!D113*market_share_B*acceptance_rate*stack_activation,power_mw*hours_per_day,capacity_mwh))*DAMAS_Daily!F113*activation_mult_B)</f>
        <v/>
      </c>
      <c r="N113" s="19">
        <f>F113+M113</f>
        <v/>
      </c>
    </row>
    <row r="114">
      <c r="A114" s="41">
        <f>DAMAS_Daily!A114</f>
        <v/>
      </c>
      <c r="B114" s="42">
        <f>DAMAS_Daily!B114</f>
        <v/>
      </c>
      <c r="C114" s="42">
        <f>IF((power_mw*hours_per_day*damas_afrr_up*capacity_mult_B*stack_capacity*acceptance_rate+(MIN(DAMAS_Daily!C114*market_share_B*acceptance_rate*stack_activation,power_mw*hours_per_day,capacity_mwh))*DAMAS_Daily!E114*activation_mult_B)&gt;=(power_mw*hours_per_day*damas_afrr_down*capacity_mult_B*stack_capacity*acceptance_rate+(MIN(DAMAS_Daily!D114*market_share_B*acceptance_rate*stack_activation,power_mw*hours_per_day,capacity_mwh))*DAMAS_Daily!F114*activation_mult_B),"aFRR+","aFRR-")</f>
        <v/>
      </c>
      <c r="D114" s="43">
        <f>IF(C114="aFRR+",damas_afrr_up*capacity_mult_B,damas_afrr_down*capacity_mult_B)</f>
        <v/>
      </c>
      <c r="E114" s="44">
        <f>acceptance_rate</f>
        <v/>
      </c>
      <c r="F114" s="18">
        <f>IF(C114="aFRR+",power_mw*hours_per_day*damas_afrr_up*capacity_mult_B*stack_capacity*acceptance_rate,power_mw*hours_per_day*damas_afrr_down*capacity_mult_B*stack_capacity*acceptance_rate)</f>
        <v/>
      </c>
      <c r="G114" s="42">
        <f>IF(C114="aFRR+",DAMAS_Daily!I114,DAMAS_Daily!J114)</f>
        <v/>
      </c>
      <c r="H114" s="43">
        <f>IF(C114="aFRR+",DAMAS_Daily!E114,DAMAS_Daily!F114)</f>
        <v/>
      </c>
      <c r="I114" s="43">
        <f>IF(C114="aFRR+",DAMAS_Daily!G114,DAMAS_Daily!H114)</f>
        <v/>
      </c>
      <c r="J114" s="45">
        <f>IF(C114="aFRR+",DAMAS_Daily!C114,DAMAS_Daily!D114)</f>
        <v/>
      </c>
      <c r="K114" s="45">
        <f>IF(C114="aFRR+",MIN(DAMAS_Daily!C114*market_share_B*acceptance_rate*stack_activation,power_mw*hours_per_day,capacity_mwh),MIN(DAMAS_Daily!D114*market_share_B*acceptance_rate*stack_activation,power_mw*hours_per_day,capacity_mwh))</f>
        <v/>
      </c>
      <c r="L114" s="42">
        <f>IF(K114&gt;=capacity_mwh-0.01,"yes","no")</f>
        <v/>
      </c>
      <c r="M114" s="18">
        <f>IF(C114="aFRR+",(MIN(DAMAS_Daily!C114*market_share_B*acceptance_rate*stack_activation,power_mw*hours_per_day,capacity_mwh))*DAMAS_Daily!E114*activation_mult_B,(MIN(DAMAS_Daily!D114*market_share_B*acceptance_rate*stack_activation,power_mw*hours_per_day,capacity_mwh))*DAMAS_Daily!F114*activation_mult_B)</f>
        <v/>
      </c>
      <c r="N114" s="19">
        <f>F114+M114</f>
        <v/>
      </c>
    </row>
    <row r="115">
      <c r="A115" s="41">
        <f>DAMAS_Daily!A115</f>
        <v/>
      </c>
      <c r="B115" s="42">
        <f>DAMAS_Daily!B115</f>
        <v/>
      </c>
      <c r="C115" s="42">
        <f>IF((power_mw*hours_per_day*damas_afrr_up*capacity_mult_B*stack_capacity*acceptance_rate+(MIN(DAMAS_Daily!C115*market_share_B*acceptance_rate*stack_activation,power_mw*hours_per_day,capacity_mwh))*DAMAS_Daily!E115*activation_mult_B)&gt;=(power_mw*hours_per_day*damas_afrr_down*capacity_mult_B*stack_capacity*acceptance_rate+(MIN(DAMAS_Daily!D115*market_share_B*acceptance_rate*stack_activation,power_mw*hours_per_day,capacity_mwh))*DAMAS_Daily!F115*activation_mult_B),"aFRR+","aFRR-")</f>
        <v/>
      </c>
      <c r="D115" s="43">
        <f>IF(C115="aFRR+",damas_afrr_up*capacity_mult_B,damas_afrr_down*capacity_mult_B)</f>
        <v/>
      </c>
      <c r="E115" s="44">
        <f>acceptance_rate</f>
        <v/>
      </c>
      <c r="F115" s="18">
        <f>IF(C115="aFRR+",power_mw*hours_per_day*damas_afrr_up*capacity_mult_B*stack_capacity*acceptance_rate,power_mw*hours_per_day*damas_afrr_down*capacity_mult_B*stack_capacity*acceptance_rate)</f>
        <v/>
      </c>
      <c r="G115" s="42">
        <f>IF(C115="aFRR+",DAMAS_Daily!I115,DAMAS_Daily!J115)</f>
        <v/>
      </c>
      <c r="H115" s="43">
        <f>IF(C115="aFRR+",DAMAS_Daily!E115,DAMAS_Daily!F115)</f>
        <v/>
      </c>
      <c r="I115" s="43">
        <f>IF(C115="aFRR+",DAMAS_Daily!G115,DAMAS_Daily!H115)</f>
        <v/>
      </c>
      <c r="J115" s="45">
        <f>IF(C115="aFRR+",DAMAS_Daily!C115,DAMAS_Daily!D115)</f>
        <v/>
      </c>
      <c r="K115" s="45">
        <f>IF(C115="aFRR+",MIN(DAMAS_Daily!C115*market_share_B*acceptance_rate*stack_activation,power_mw*hours_per_day,capacity_mwh),MIN(DAMAS_Daily!D115*market_share_B*acceptance_rate*stack_activation,power_mw*hours_per_day,capacity_mwh))</f>
        <v/>
      </c>
      <c r="L115" s="42">
        <f>IF(K115&gt;=capacity_mwh-0.01,"yes","no")</f>
        <v/>
      </c>
      <c r="M115" s="18">
        <f>IF(C115="aFRR+",(MIN(DAMAS_Daily!C115*market_share_B*acceptance_rate*stack_activation,power_mw*hours_per_day,capacity_mwh))*DAMAS_Daily!E115*activation_mult_B,(MIN(DAMAS_Daily!D115*market_share_B*acceptance_rate*stack_activation,power_mw*hours_per_day,capacity_mwh))*DAMAS_Daily!F115*activation_mult_B)</f>
        <v/>
      </c>
      <c r="N115" s="19">
        <f>F115+M115</f>
        <v/>
      </c>
    </row>
    <row r="116">
      <c r="A116" s="41">
        <f>DAMAS_Daily!A116</f>
        <v/>
      </c>
      <c r="B116" s="42">
        <f>DAMAS_Daily!B116</f>
        <v/>
      </c>
      <c r="C116" s="42">
        <f>IF((power_mw*hours_per_day*damas_afrr_up*capacity_mult_B*stack_capacity*acceptance_rate+(MIN(DAMAS_Daily!C116*market_share_B*acceptance_rate*stack_activation,power_mw*hours_per_day,capacity_mwh))*DAMAS_Daily!E116*activation_mult_B)&gt;=(power_mw*hours_per_day*damas_afrr_down*capacity_mult_B*stack_capacity*acceptance_rate+(MIN(DAMAS_Daily!D116*market_share_B*acceptance_rate*stack_activation,power_mw*hours_per_day,capacity_mwh))*DAMAS_Daily!F116*activation_mult_B),"aFRR+","aFRR-")</f>
        <v/>
      </c>
      <c r="D116" s="43">
        <f>IF(C116="aFRR+",damas_afrr_up*capacity_mult_B,damas_afrr_down*capacity_mult_B)</f>
        <v/>
      </c>
      <c r="E116" s="44">
        <f>acceptance_rate</f>
        <v/>
      </c>
      <c r="F116" s="18">
        <f>IF(C116="aFRR+",power_mw*hours_per_day*damas_afrr_up*capacity_mult_B*stack_capacity*acceptance_rate,power_mw*hours_per_day*damas_afrr_down*capacity_mult_B*stack_capacity*acceptance_rate)</f>
        <v/>
      </c>
      <c r="G116" s="42">
        <f>IF(C116="aFRR+",DAMAS_Daily!I116,DAMAS_Daily!J116)</f>
        <v/>
      </c>
      <c r="H116" s="43">
        <f>IF(C116="aFRR+",DAMAS_Daily!E116,DAMAS_Daily!F116)</f>
        <v/>
      </c>
      <c r="I116" s="43">
        <f>IF(C116="aFRR+",DAMAS_Daily!G116,DAMAS_Daily!H116)</f>
        <v/>
      </c>
      <c r="J116" s="45">
        <f>IF(C116="aFRR+",DAMAS_Daily!C116,DAMAS_Daily!D116)</f>
        <v/>
      </c>
      <c r="K116" s="45">
        <f>IF(C116="aFRR+",MIN(DAMAS_Daily!C116*market_share_B*acceptance_rate*stack_activation,power_mw*hours_per_day,capacity_mwh),MIN(DAMAS_Daily!D116*market_share_B*acceptance_rate*stack_activation,power_mw*hours_per_day,capacity_mwh))</f>
        <v/>
      </c>
      <c r="L116" s="42">
        <f>IF(K116&gt;=capacity_mwh-0.01,"yes","no")</f>
        <v/>
      </c>
      <c r="M116" s="18">
        <f>IF(C116="aFRR+",(MIN(DAMAS_Daily!C116*market_share_B*acceptance_rate*stack_activation,power_mw*hours_per_day,capacity_mwh))*DAMAS_Daily!E116*activation_mult_B,(MIN(DAMAS_Daily!D116*market_share_B*acceptance_rate*stack_activation,power_mw*hours_per_day,capacity_mwh))*DAMAS_Daily!F116*activation_mult_B)</f>
        <v/>
      </c>
      <c r="N116" s="19">
        <f>F116+M116</f>
        <v/>
      </c>
    </row>
    <row r="117">
      <c r="A117" s="41">
        <f>DAMAS_Daily!A117</f>
        <v/>
      </c>
      <c r="B117" s="42">
        <f>DAMAS_Daily!B117</f>
        <v/>
      </c>
      <c r="C117" s="42">
        <f>IF((power_mw*hours_per_day*damas_afrr_up*capacity_mult_B*stack_capacity*acceptance_rate+(MIN(DAMAS_Daily!C117*market_share_B*acceptance_rate*stack_activation,power_mw*hours_per_day,capacity_mwh))*DAMAS_Daily!E117*activation_mult_B)&gt;=(power_mw*hours_per_day*damas_afrr_down*capacity_mult_B*stack_capacity*acceptance_rate+(MIN(DAMAS_Daily!D117*market_share_B*acceptance_rate*stack_activation,power_mw*hours_per_day,capacity_mwh))*DAMAS_Daily!F117*activation_mult_B),"aFRR+","aFRR-")</f>
        <v/>
      </c>
      <c r="D117" s="43">
        <f>IF(C117="aFRR+",damas_afrr_up*capacity_mult_B,damas_afrr_down*capacity_mult_B)</f>
        <v/>
      </c>
      <c r="E117" s="44">
        <f>acceptance_rate</f>
        <v/>
      </c>
      <c r="F117" s="18">
        <f>IF(C117="aFRR+",power_mw*hours_per_day*damas_afrr_up*capacity_mult_B*stack_capacity*acceptance_rate,power_mw*hours_per_day*damas_afrr_down*capacity_mult_B*stack_capacity*acceptance_rate)</f>
        <v/>
      </c>
      <c r="G117" s="42">
        <f>IF(C117="aFRR+",DAMAS_Daily!I117,DAMAS_Daily!J117)</f>
        <v/>
      </c>
      <c r="H117" s="43">
        <f>IF(C117="aFRR+",DAMAS_Daily!E117,DAMAS_Daily!F117)</f>
        <v/>
      </c>
      <c r="I117" s="43">
        <f>IF(C117="aFRR+",DAMAS_Daily!G117,DAMAS_Daily!H117)</f>
        <v/>
      </c>
      <c r="J117" s="45">
        <f>IF(C117="aFRR+",DAMAS_Daily!C117,DAMAS_Daily!D117)</f>
        <v/>
      </c>
      <c r="K117" s="45">
        <f>IF(C117="aFRR+",MIN(DAMAS_Daily!C117*market_share_B*acceptance_rate*stack_activation,power_mw*hours_per_day,capacity_mwh),MIN(DAMAS_Daily!D117*market_share_B*acceptance_rate*stack_activation,power_mw*hours_per_day,capacity_mwh))</f>
        <v/>
      </c>
      <c r="L117" s="42">
        <f>IF(K117&gt;=capacity_mwh-0.01,"yes","no")</f>
        <v/>
      </c>
      <c r="M117" s="18">
        <f>IF(C117="aFRR+",(MIN(DAMAS_Daily!C117*market_share_B*acceptance_rate*stack_activation,power_mw*hours_per_day,capacity_mwh))*DAMAS_Daily!E117*activation_mult_B,(MIN(DAMAS_Daily!D117*market_share_B*acceptance_rate*stack_activation,power_mw*hours_per_day,capacity_mwh))*DAMAS_Daily!F117*activation_mult_B)</f>
        <v/>
      </c>
      <c r="N117" s="19">
        <f>F117+M117</f>
        <v/>
      </c>
    </row>
    <row r="118">
      <c r="A118" s="41">
        <f>DAMAS_Daily!A118</f>
        <v/>
      </c>
      <c r="B118" s="42">
        <f>DAMAS_Daily!B118</f>
        <v/>
      </c>
      <c r="C118" s="42">
        <f>IF((power_mw*hours_per_day*damas_afrr_up*capacity_mult_B*stack_capacity*acceptance_rate+(MIN(DAMAS_Daily!C118*market_share_B*acceptance_rate*stack_activation,power_mw*hours_per_day,capacity_mwh))*DAMAS_Daily!E118*activation_mult_B)&gt;=(power_mw*hours_per_day*damas_afrr_down*capacity_mult_B*stack_capacity*acceptance_rate+(MIN(DAMAS_Daily!D118*market_share_B*acceptance_rate*stack_activation,power_mw*hours_per_day,capacity_mwh))*DAMAS_Daily!F118*activation_mult_B),"aFRR+","aFRR-")</f>
        <v/>
      </c>
      <c r="D118" s="43">
        <f>IF(C118="aFRR+",damas_afrr_up*capacity_mult_B,damas_afrr_down*capacity_mult_B)</f>
        <v/>
      </c>
      <c r="E118" s="44">
        <f>acceptance_rate</f>
        <v/>
      </c>
      <c r="F118" s="18">
        <f>IF(C118="aFRR+",power_mw*hours_per_day*damas_afrr_up*capacity_mult_B*stack_capacity*acceptance_rate,power_mw*hours_per_day*damas_afrr_down*capacity_mult_B*stack_capacity*acceptance_rate)</f>
        <v/>
      </c>
      <c r="G118" s="42">
        <f>IF(C118="aFRR+",DAMAS_Daily!I118,DAMAS_Daily!J118)</f>
        <v/>
      </c>
      <c r="H118" s="43">
        <f>IF(C118="aFRR+",DAMAS_Daily!E118,DAMAS_Daily!F118)</f>
        <v/>
      </c>
      <c r="I118" s="43">
        <f>IF(C118="aFRR+",DAMAS_Daily!G118,DAMAS_Daily!H118)</f>
        <v/>
      </c>
      <c r="J118" s="45">
        <f>IF(C118="aFRR+",DAMAS_Daily!C118,DAMAS_Daily!D118)</f>
        <v/>
      </c>
      <c r="K118" s="45">
        <f>IF(C118="aFRR+",MIN(DAMAS_Daily!C118*market_share_B*acceptance_rate*stack_activation,power_mw*hours_per_day,capacity_mwh),MIN(DAMAS_Daily!D118*market_share_B*acceptance_rate*stack_activation,power_mw*hours_per_day,capacity_mwh))</f>
        <v/>
      </c>
      <c r="L118" s="42">
        <f>IF(K118&gt;=capacity_mwh-0.01,"yes","no")</f>
        <v/>
      </c>
      <c r="M118" s="18">
        <f>IF(C118="aFRR+",(MIN(DAMAS_Daily!C118*market_share_B*acceptance_rate*stack_activation,power_mw*hours_per_day,capacity_mwh))*DAMAS_Daily!E118*activation_mult_B,(MIN(DAMAS_Daily!D118*market_share_B*acceptance_rate*stack_activation,power_mw*hours_per_day,capacity_mwh))*DAMAS_Daily!F118*activation_mult_B)</f>
        <v/>
      </c>
      <c r="N118" s="19">
        <f>F118+M118</f>
        <v/>
      </c>
    </row>
    <row r="119">
      <c r="A119" s="41">
        <f>DAMAS_Daily!A119</f>
        <v/>
      </c>
      <c r="B119" s="42">
        <f>DAMAS_Daily!B119</f>
        <v/>
      </c>
      <c r="C119" s="42">
        <f>IF((power_mw*hours_per_day*damas_afrr_up*capacity_mult_B*stack_capacity*acceptance_rate+(MIN(DAMAS_Daily!C119*market_share_B*acceptance_rate*stack_activation,power_mw*hours_per_day,capacity_mwh))*DAMAS_Daily!E119*activation_mult_B)&gt;=(power_mw*hours_per_day*damas_afrr_down*capacity_mult_B*stack_capacity*acceptance_rate+(MIN(DAMAS_Daily!D119*market_share_B*acceptance_rate*stack_activation,power_mw*hours_per_day,capacity_mwh))*DAMAS_Daily!F119*activation_mult_B),"aFRR+","aFRR-")</f>
        <v/>
      </c>
      <c r="D119" s="43">
        <f>IF(C119="aFRR+",damas_afrr_up*capacity_mult_B,damas_afrr_down*capacity_mult_B)</f>
        <v/>
      </c>
      <c r="E119" s="44">
        <f>acceptance_rate</f>
        <v/>
      </c>
      <c r="F119" s="18">
        <f>IF(C119="aFRR+",power_mw*hours_per_day*damas_afrr_up*capacity_mult_B*stack_capacity*acceptance_rate,power_mw*hours_per_day*damas_afrr_down*capacity_mult_B*stack_capacity*acceptance_rate)</f>
        <v/>
      </c>
      <c r="G119" s="42">
        <f>IF(C119="aFRR+",DAMAS_Daily!I119,DAMAS_Daily!J119)</f>
        <v/>
      </c>
      <c r="H119" s="43">
        <f>IF(C119="aFRR+",DAMAS_Daily!E119,DAMAS_Daily!F119)</f>
        <v/>
      </c>
      <c r="I119" s="43">
        <f>IF(C119="aFRR+",DAMAS_Daily!G119,DAMAS_Daily!H119)</f>
        <v/>
      </c>
      <c r="J119" s="45">
        <f>IF(C119="aFRR+",DAMAS_Daily!C119,DAMAS_Daily!D119)</f>
        <v/>
      </c>
      <c r="K119" s="45">
        <f>IF(C119="aFRR+",MIN(DAMAS_Daily!C119*market_share_B*acceptance_rate*stack_activation,power_mw*hours_per_day,capacity_mwh),MIN(DAMAS_Daily!D119*market_share_B*acceptance_rate*stack_activation,power_mw*hours_per_day,capacity_mwh))</f>
        <v/>
      </c>
      <c r="L119" s="42">
        <f>IF(K119&gt;=capacity_mwh-0.01,"yes","no")</f>
        <v/>
      </c>
      <c r="M119" s="18">
        <f>IF(C119="aFRR+",(MIN(DAMAS_Daily!C119*market_share_B*acceptance_rate*stack_activation,power_mw*hours_per_day,capacity_mwh))*DAMAS_Daily!E119*activation_mult_B,(MIN(DAMAS_Daily!D119*market_share_B*acceptance_rate*stack_activation,power_mw*hours_per_day,capacity_mwh))*DAMAS_Daily!F119*activation_mult_B)</f>
        <v/>
      </c>
      <c r="N119" s="19">
        <f>F119+M119</f>
        <v/>
      </c>
    </row>
    <row r="120">
      <c r="A120" s="41">
        <f>DAMAS_Daily!A120</f>
        <v/>
      </c>
      <c r="B120" s="42">
        <f>DAMAS_Daily!B120</f>
        <v/>
      </c>
      <c r="C120" s="42">
        <f>IF((power_mw*hours_per_day*damas_afrr_up*capacity_mult_B*stack_capacity*acceptance_rate+(MIN(DAMAS_Daily!C120*market_share_B*acceptance_rate*stack_activation,power_mw*hours_per_day,capacity_mwh))*DAMAS_Daily!E120*activation_mult_B)&gt;=(power_mw*hours_per_day*damas_afrr_down*capacity_mult_B*stack_capacity*acceptance_rate+(MIN(DAMAS_Daily!D120*market_share_B*acceptance_rate*stack_activation,power_mw*hours_per_day,capacity_mwh))*DAMAS_Daily!F120*activation_mult_B),"aFRR+","aFRR-")</f>
        <v/>
      </c>
      <c r="D120" s="43">
        <f>IF(C120="aFRR+",damas_afrr_up*capacity_mult_B,damas_afrr_down*capacity_mult_B)</f>
        <v/>
      </c>
      <c r="E120" s="44">
        <f>acceptance_rate</f>
        <v/>
      </c>
      <c r="F120" s="18">
        <f>IF(C120="aFRR+",power_mw*hours_per_day*damas_afrr_up*capacity_mult_B*stack_capacity*acceptance_rate,power_mw*hours_per_day*damas_afrr_down*capacity_mult_B*stack_capacity*acceptance_rate)</f>
        <v/>
      </c>
      <c r="G120" s="42">
        <f>IF(C120="aFRR+",DAMAS_Daily!I120,DAMAS_Daily!J120)</f>
        <v/>
      </c>
      <c r="H120" s="43">
        <f>IF(C120="aFRR+",DAMAS_Daily!E120,DAMAS_Daily!F120)</f>
        <v/>
      </c>
      <c r="I120" s="43">
        <f>IF(C120="aFRR+",DAMAS_Daily!G120,DAMAS_Daily!H120)</f>
        <v/>
      </c>
      <c r="J120" s="45">
        <f>IF(C120="aFRR+",DAMAS_Daily!C120,DAMAS_Daily!D120)</f>
        <v/>
      </c>
      <c r="K120" s="45">
        <f>IF(C120="aFRR+",MIN(DAMAS_Daily!C120*market_share_B*acceptance_rate*stack_activation,power_mw*hours_per_day,capacity_mwh),MIN(DAMAS_Daily!D120*market_share_B*acceptance_rate*stack_activation,power_mw*hours_per_day,capacity_mwh))</f>
        <v/>
      </c>
      <c r="L120" s="42">
        <f>IF(K120&gt;=capacity_mwh-0.01,"yes","no")</f>
        <v/>
      </c>
      <c r="M120" s="18">
        <f>IF(C120="aFRR+",(MIN(DAMAS_Daily!C120*market_share_B*acceptance_rate*stack_activation,power_mw*hours_per_day,capacity_mwh))*DAMAS_Daily!E120*activation_mult_B,(MIN(DAMAS_Daily!D120*market_share_B*acceptance_rate*stack_activation,power_mw*hours_per_day,capacity_mwh))*DAMAS_Daily!F120*activation_mult_B)</f>
        <v/>
      </c>
      <c r="N120" s="19">
        <f>F120+M120</f>
        <v/>
      </c>
    </row>
    <row r="121">
      <c r="A121" s="41">
        <f>DAMAS_Daily!A121</f>
        <v/>
      </c>
      <c r="B121" s="42">
        <f>DAMAS_Daily!B121</f>
        <v/>
      </c>
      <c r="C121" s="42">
        <f>IF((power_mw*hours_per_day*damas_afrr_up*capacity_mult_B*stack_capacity*acceptance_rate+(MIN(DAMAS_Daily!C121*market_share_B*acceptance_rate*stack_activation,power_mw*hours_per_day,capacity_mwh))*DAMAS_Daily!E121*activation_mult_B)&gt;=(power_mw*hours_per_day*damas_afrr_down*capacity_mult_B*stack_capacity*acceptance_rate+(MIN(DAMAS_Daily!D121*market_share_B*acceptance_rate*stack_activation,power_mw*hours_per_day,capacity_mwh))*DAMAS_Daily!F121*activation_mult_B),"aFRR+","aFRR-")</f>
        <v/>
      </c>
      <c r="D121" s="43">
        <f>IF(C121="aFRR+",damas_afrr_up*capacity_mult_B,damas_afrr_down*capacity_mult_B)</f>
        <v/>
      </c>
      <c r="E121" s="44">
        <f>acceptance_rate</f>
        <v/>
      </c>
      <c r="F121" s="18">
        <f>IF(C121="aFRR+",power_mw*hours_per_day*damas_afrr_up*capacity_mult_B*stack_capacity*acceptance_rate,power_mw*hours_per_day*damas_afrr_down*capacity_mult_B*stack_capacity*acceptance_rate)</f>
        <v/>
      </c>
      <c r="G121" s="42">
        <f>IF(C121="aFRR+",DAMAS_Daily!I121,DAMAS_Daily!J121)</f>
        <v/>
      </c>
      <c r="H121" s="43">
        <f>IF(C121="aFRR+",DAMAS_Daily!E121,DAMAS_Daily!F121)</f>
        <v/>
      </c>
      <c r="I121" s="43">
        <f>IF(C121="aFRR+",DAMAS_Daily!G121,DAMAS_Daily!H121)</f>
        <v/>
      </c>
      <c r="J121" s="45">
        <f>IF(C121="aFRR+",DAMAS_Daily!C121,DAMAS_Daily!D121)</f>
        <v/>
      </c>
      <c r="K121" s="45">
        <f>IF(C121="aFRR+",MIN(DAMAS_Daily!C121*market_share_B*acceptance_rate*stack_activation,power_mw*hours_per_day,capacity_mwh),MIN(DAMAS_Daily!D121*market_share_B*acceptance_rate*stack_activation,power_mw*hours_per_day,capacity_mwh))</f>
        <v/>
      </c>
      <c r="L121" s="42">
        <f>IF(K121&gt;=capacity_mwh-0.01,"yes","no")</f>
        <v/>
      </c>
      <c r="M121" s="18">
        <f>IF(C121="aFRR+",(MIN(DAMAS_Daily!C121*market_share_B*acceptance_rate*stack_activation,power_mw*hours_per_day,capacity_mwh))*DAMAS_Daily!E121*activation_mult_B,(MIN(DAMAS_Daily!D121*market_share_B*acceptance_rate*stack_activation,power_mw*hours_per_day,capacity_mwh))*DAMAS_Daily!F121*activation_mult_B)</f>
        <v/>
      </c>
      <c r="N121" s="19">
        <f>F121+M121</f>
        <v/>
      </c>
    </row>
    <row r="122">
      <c r="A122" s="41">
        <f>DAMAS_Daily!A122</f>
        <v/>
      </c>
      <c r="B122" s="42">
        <f>DAMAS_Daily!B122</f>
        <v/>
      </c>
      <c r="C122" s="42">
        <f>IF((power_mw*hours_per_day*damas_afrr_up*capacity_mult_B*stack_capacity*acceptance_rate+(MIN(DAMAS_Daily!C122*market_share_B*acceptance_rate*stack_activation,power_mw*hours_per_day,capacity_mwh))*DAMAS_Daily!E122*activation_mult_B)&gt;=(power_mw*hours_per_day*damas_afrr_down*capacity_mult_B*stack_capacity*acceptance_rate+(MIN(DAMAS_Daily!D122*market_share_B*acceptance_rate*stack_activation,power_mw*hours_per_day,capacity_mwh))*DAMAS_Daily!F122*activation_mult_B),"aFRR+","aFRR-")</f>
        <v/>
      </c>
      <c r="D122" s="43">
        <f>IF(C122="aFRR+",damas_afrr_up*capacity_mult_B,damas_afrr_down*capacity_mult_B)</f>
        <v/>
      </c>
      <c r="E122" s="44">
        <f>acceptance_rate</f>
        <v/>
      </c>
      <c r="F122" s="18">
        <f>IF(C122="aFRR+",power_mw*hours_per_day*damas_afrr_up*capacity_mult_B*stack_capacity*acceptance_rate,power_mw*hours_per_day*damas_afrr_down*capacity_mult_B*stack_capacity*acceptance_rate)</f>
        <v/>
      </c>
      <c r="G122" s="42">
        <f>IF(C122="aFRR+",DAMAS_Daily!I122,DAMAS_Daily!J122)</f>
        <v/>
      </c>
      <c r="H122" s="43">
        <f>IF(C122="aFRR+",DAMAS_Daily!E122,DAMAS_Daily!F122)</f>
        <v/>
      </c>
      <c r="I122" s="43">
        <f>IF(C122="aFRR+",DAMAS_Daily!G122,DAMAS_Daily!H122)</f>
        <v/>
      </c>
      <c r="J122" s="45">
        <f>IF(C122="aFRR+",DAMAS_Daily!C122,DAMAS_Daily!D122)</f>
        <v/>
      </c>
      <c r="K122" s="45">
        <f>IF(C122="aFRR+",MIN(DAMAS_Daily!C122*market_share_B*acceptance_rate*stack_activation,power_mw*hours_per_day,capacity_mwh),MIN(DAMAS_Daily!D122*market_share_B*acceptance_rate*stack_activation,power_mw*hours_per_day,capacity_mwh))</f>
        <v/>
      </c>
      <c r="L122" s="42">
        <f>IF(K122&gt;=capacity_mwh-0.01,"yes","no")</f>
        <v/>
      </c>
      <c r="M122" s="18">
        <f>IF(C122="aFRR+",(MIN(DAMAS_Daily!C122*market_share_B*acceptance_rate*stack_activation,power_mw*hours_per_day,capacity_mwh))*DAMAS_Daily!E122*activation_mult_B,(MIN(DAMAS_Daily!D122*market_share_B*acceptance_rate*stack_activation,power_mw*hours_per_day,capacity_mwh))*DAMAS_Daily!F122*activation_mult_B)</f>
        <v/>
      </c>
      <c r="N122" s="19">
        <f>F122+M122</f>
        <v/>
      </c>
    </row>
    <row r="123">
      <c r="A123" s="41">
        <f>DAMAS_Daily!A123</f>
        <v/>
      </c>
      <c r="B123" s="42">
        <f>DAMAS_Daily!B123</f>
        <v/>
      </c>
      <c r="C123" s="42">
        <f>IF((power_mw*hours_per_day*damas_afrr_up*capacity_mult_B*stack_capacity*acceptance_rate+(MIN(DAMAS_Daily!C123*market_share_B*acceptance_rate*stack_activation,power_mw*hours_per_day,capacity_mwh))*DAMAS_Daily!E123*activation_mult_B)&gt;=(power_mw*hours_per_day*damas_afrr_down*capacity_mult_B*stack_capacity*acceptance_rate+(MIN(DAMAS_Daily!D123*market_share_B*acceptance_rate*stack_activation,power_mw*hours_per_day,capacity_mwh))*DAMAS_Daily!F123*activation_mult_B),"aFRR+","aFRR-")</f>
        <v/>
      </c>
      <c r="D123" s="43">
        <f>IF(C123="aFRR+",damas_afrr_up*capacity_mult_B,damas_afrr_down*capacity_mult_B)</f>
        <v/>
      </c>
      <c r="E123" s="44">
        <f>acceptance_rate</f>
        <v/>
      </c>
      <c r="F123" s="18">
        <f>IF(C123="aFRR+",power_mw*hours_per_day*damas_afrr_up*capacity_mult_B*stack_capacity*acceptance_rate,power_mw*hours_per_day*damas_afrr_down*capacity_mult_B*stack_capacity*acceptance_rate)</f>
        <v/>
      </c>
      <c r="G123" s="42">
        <f>IF(C123="aFRR+",DAMAS_Daily!I123,DAMAS_Daily!J123)</f>
        <v/>
      </c>
      <c r="H123" s="43">
        <f>IF(C123="aFRR+",DAMAS_Daily!E123,DAMAS_Daily!F123)</f>
        <v/>
      </c>
      <c r="I123" s="43">
        <f>IF(C123="aFRR+",DAMAS_Daily!G123,DAMAS_Daily!H123)</f>
        <v/>
      </c>
      <c r="J123" s="45">
        <f>IF(C123="aFRR+",DAMAS_Daily!C123,DAMAS_Daily!D123)</f>
        <v/>
      </c>
      <c r="K123" s="45">
        <f>IF(C123="aFRR+",MIN(DAMAS_Daily!C123*market_share_B*acceptance_rate*stack_activation,power_mw*hours_per_day,capacity_mwh),MIN(DAMAS_Daily!D123*market_share_B*acceptance_rate*stack_activation,power_mw*hours_per_day,capacity_mwh))</f>
        <v/>
      </c>
      <c r="L123" s="42">
        <f>IF(K123&gt;=capacity_mwh-0.01,"yes","no")</f>
        <v/>
      </c>
      <c r="M123" s="18">
        <f>IF(C123="aFRR+",(MIN(DAMAS_Daily!C123*market_share_B*acceptance_rate*stack_activation,power_mw*hours_per_day,capacity_mwh))*DAMAS_Daily!E123*activation_mult_B,(MIN(DAMAS_Daily!D123*market_share_B*acceptance_rate*stack_activation,power_mw*hours_per_day,capacity_mwh))*DAMAS_Daily!F123*activation_mult_B)</f>
        <v/>
      </c>
      <c r="N123" s="19">
        <f>F123+M123</f>
        <v/>
      </c>
    </row>
    <row r="124">
      <c r="A124" s="41">
        <f>DAMAS_Daily!A124</f>
        <v/>
      </c>
      <c r="B124" s="42">
        <f>DAMAS_Daily!B124</f>
        <v/>
      </c>
      <c r="C124" s="42">
        <f>IF((power_mw*hours_per_day*damas_afrr_up*capacity_mult_B*stack_capacity*acceptance_rate+(MIN(DAMAS_Daily!C124*market_share_B*acceptance_rate*stack_activation,power_mw*hours_per_day,capacity_mwh))*DAMAS_Daily!E124*activation_mult_B)&gt;=(power_mw*hours_per_day*damas_afrr_down*capacity_mult_B*stack_capacity*acceptance_rate+(MIN(DAMAS_Daily!D124*market_share_B*acceptance_rate*stack_activation,power_mw*hours_per_day,capacity_mwh))*DAMAS_Daily!F124*activation_mult_B),"aFRR+","aFRR-")</f>
        <v/>
      </c>
      <c r="D124" s="43">
        <f>IF(C124="aFRR+",damas_afrr_up*capacity_mult_B,damas_afrr_down*capacity_mult_B)</f>
        <v/>
      </c>
      <c r="E124" s="44">
        <f>acceptance_rate</f>
        <v/>
      </c>
      <c r="F124" s="18">
        <f>IF(C124="aFRR+",power_mw*hours_per_day*damas_afrr_up*capacity_mult_B*stack_capacity*acceptance_rate,power_mw*hours_per_day*damas_afrr_down*capacity_mult_B*stack_capacity*acceptance_rate)</f>
        <v/>
      </c>
      <c r="G124" s="42">
        <f>IF(C124="aFRR+",DAMAS_Daily!I124,DAMAS_Daily!J124)</f>
        <v/>
      </c>
      <c r="H124" s="43">
        <f>IF(C124="aFRR+",DAMAS_Daily!E124,DAMAS_Daily!F124)</f>
        <v/>
      </c>
      <c r="I124" s="43">
        <f>IF(C124="aFRR+",DAMAS_Daily!G124,DAMAS_Daily!H124)</f>
        <v/>
      </c>
      <c r="J124" s="45">
        <f>IF(C124="aFRR+",DAMAS_Daily!C124,DAMAS_Daily!D124)</f>
        <v/>
      </c>
      <c r="K124" s="45">
        <f>IF(C124="aFRR+",MIN(DAMAS_Daily!C124*market_share_B*acceptance_rate*stack_activation,power_mw*hours_per_day,capacity_mwh),MIN(DAMAS_Daily!D124*market_share_B*acceptance_rate*stack_activation,power_mw*hours_per_day,capacity_mwh))</f>
        <v/>
      </c>
      <c r="L124" s="42">
        <f>IF(K124&gt;=capacity_mwh-0.01,"yes","no")</f>
        <v/>
      </c>
      <c r="M124" s="18">
        <f>IF(C124="aFRR+",(MIN(DAMAS_Daily!C124*market_share_B*acceptance_rate*stack_activation,power_mw*hours_per_day,capacity_mwh))*DAMAS_Daily!E124*activation_mult_B,(MIN(DAMAS_Daily!D124*market_share_B*acceptance_rate*stack_activation,power_mw*hours_per_day,capacity_mwh))*DAMAS_Daily!F124*activation_mult_B)</f>
        <v/>
      </c>
      <c r="N124" s="19">
        <f>F124+M124</f>
        <v/>
      </c>
    </row>
    <row r="125">
      <c r="A125" s="41">
        <f>DAMAS_Daily!A125</f>
        <v/>
      </c>
      <c r="B125" s="42">
        <f>DAMAS_Daily!B125</f>
        <v/>
      </c>
      <c r="C125" s="42">
        <f>IF((power_mw*hours_per_day*damas_afrr_up*capacity_mult_B*stack_capacity*acceptance_rate+(MIN(DAMAS_Daily!C125*market_share_B*acceptance_rate*stack_activation,power_mw*hours_per_day,capacity_mwh))*DAMAS_Daily!E125*activation_mult_B)&gt;=(power_mw*hours_per_day*damas_afrr_down*capacity_mult_B*stack_capacity*acceptance_rate+(MIN(DAMAS_Daily!D125*market_share_B*acceptance_rate*stack_activation,power_mw*hours_per_day,capacity_mwh))*DAMAS_Daily!F125*activation_mult_B),"aFRR+","aFRR-")</f>
        <v/>
      </c>
      <c r="D125" s="43">
        <f>IF(C125="aFRR+",damas_afrr_up*capacity_mult_B,damas_afrr_down*capacity_mult_B)</f>
        <v/>
      </c>
      <c r="E125" s="44">
        <f>acceptance_rate</f>
        <v/>
      </c>
      <c r="F125" s="18">
        <f>IF(C125="aFRR+",power_mw*hours_per_day*damas_afrr_up*capacity_mult_B*stack_capacity*acceptance_rate,power_mw*hours_per_day*damas_afrr_down*capacity_mult_B*stack_capacity*acceptance_rate)</f>
        <v/>
      </c>
      <c r="G125" s="42">
        <f>IF(C125="aFRR+",DAMAS_Daily!I125,DAMAS_Daily!J125)</f>
        <v/>
      </c>
      <c r="H125" s="43">
        <f>IF(C125="aFRR+",DAMAS_Daily!E125,DAMAS_Daily!F125)</f>
        <v/>
      </c>
      <c r="I125" s="43">
        <f>IF(C125="aFRR+",DAMAS_Daily!G125,DAMAS_Daily!H125)</f>
        <v/>
      </c>
      <c r="J125" s="45">
        <f>IF(C125="aFRR+",DAMAS_Daily!C125,DAMAS_Daily!D125)</f>
        <v/>
      </c>
      <c r="K125" s="45">
        <f>IF(C125="aFRR+",MIN(DAMAS_Daily!C125*market_share_B*acceptance_rate*stack_activation,power_mw*hours_per_day,capacity_mwh),MIN(DAMAS_Daily!D125*market_share_B*acceptance_rate*stack_activation,power_mw*hours_per_day,capacity_mwh))</f>
        <v/>
      </c>
      <c r="L125" s="42">
        <f>IF(K125&gt;=capacity_mwh-0.01,"yes","no")</f>
        <v/>
      </c>
      <c r="M125" s="18">
        <f>IF(C125="aFRR+",(MIN(DAMAS_Daily!C125*market_share_B*acceptance_rate*stack_activation,power_mw*hours_per_day,capacity_mwh))*DAMAS_Daily!E125*activation_mult_B,(MIN(DAMAS_Daily!D125*market_share_B*acceptance_rate*stack_activation,power_mw*hours_per_day,capacity_mwh))*DAMAS_Daily!F125*activation_mult_B)</f>
        <v/>
      </c>
      <c r="N125" s="19">
        <f>F125+M125</f>
        <v/>
      </c>
    </row>
    <row r="126">
      <c r="A126" s="41">
        <f>DAMAS_Daily!A126</f>
        <v/>
      </c>
      <c r="B126" s="42">
        <f>DAMAS_Daily!B126</f>
        <v/>
      </c>
      <c r="C126" s="42">
        <f>IF((power_mw*hours_per_day*damas_afrr_up*capacity_mult_B*stack_capacity*acceptance_rate+(MIN(DAMAS_Daily!C126*market_share_B*acceptance_rate*stack_activation,power_mw*hours_per_day,capacity_mwh))*DAMAS_Daily!E126*activation_mult_B)&gt;=(power_mw*hours_per_day*damas_afrr_down*capacity_mult_B*stack_capacity*acceptance_rate+(MIN(DAMAS_Daily!D126*market_share_B*acceptance_rate*stack_activation,power_mw*hours_per_day,capacity_mwh))*DAMAS_Daily!F126*activation_mult_B),"aFRR+","aFRR-")</f>
        <v/>
      </c>
      <c r="D126" s="43">
        <f>IF(C126="aFRR+",damas_afrr_up*capacity_mult_B,damas_afrr_down*capacity_mult_B)</f>
        <v/>
      </c>
      <c r="E126" s="44">
        <f>acceptance_rate</f>
        <v/>
      </c>
      <c r="F126" s="18">
        <f>IF(C126="aFRR+",power_mw*hours_per_day*damas_afrr_up*capacity_mult_B*stack_capacity*acceptance_rate,power_mw*hours_per_day*damas_afrr_down*capacity_mult_B*stack_capacity*acceptance_rate)</f>
        <v/>
      </c>
      <c r="G126" s="42">
        <f>IF(C126="aFRR+",DAMAS_Daily!I126,DAMAS_Daily!J126)</f>
        <v/>
      </c>
      <c r="H126" s="43">
        <f>IF(C126="aFRR+",DAMAS_Daily!E126,DAMAS_Daily!F126)</f>
        <v/>
      </c>
      <c r="I126" s="43">
        <f>IF(C126="aFRR+",DAMAS_Daily!G126,DAMAS_Daily!H126)</f>
        <v/>
      </c>
      <c r="J126" s="45">
        <f>IF(C126="aFRR+",DAMAS_Daily!C126,DAMAS_Daily!D126)</f>
        <v/>
      </c>
      <c r="K126" s="45">
        <f>IF(C126="aFRR+",MIN(DAMAS_Daily!C126*market_share_B*acceptance_rate*stack_activation,power_mw*hours_per_day,capacity_mwh),MIN(DAMAS_Daily!D126*market_share_B*acceptance_rate*stack_activation,power_mw*hours_per_day,capacity_mwh))</f>
        <v/>
      </c>
      <c r="L126" s="42">
        <f>IF(K126&gt;=capacity_mwh-0.01,"yes","no")</f>
        <v/>
      </c>
      <c r="M126" s="18">
        <f>IF(C126="aFRR+",(MIN(DAMAS_Daily!C126*market_share_B*acceptance_rate*stack_activation,power_mw*hours_per_day,capacity_mwh))*DAMAS_Daily!E126*activation_mult_B,(MIN(DAMAS_Daily!D126*market_share_B*acceptance_rate*stack_activation,power_mw*hours_per_day,capacity_mwh))*DAMAS_Daily!F126*activation_mult_B)</f>
        <v/>
      </c>
      <c r="N126" s="19">
        <f>F126+M126</f>
        <v/>
      </c>
    </row>
    <row r="127">
      <c r="A127" s="41">
        <f>DAMAS_Daily!A127</f>
        <v/>
      </c>
      <c r="B127" s="42">
        <f>DAMAS_Daily!B127</f>
        <v/>
      </c>
      <c r="C127" s="42">
        <f>IF((power_mw*hours_per_day*damas_afrr_up*capacity_mult_B*stack_capacity*acceptance_rate+(MIN(DAMAS_Daily!C127*market_share_B*acceptance_rate*stack_activation,power_mw*hours_per_day,capacity_mwh))*DAMAS_Daily!E127*activation_mult_B)&gt;=(power_mw*hours_per_day*damas_afrr_down*capacity_mult_B*stack_capacity*acceptance_rate+(MIN(DAMAS_Daily!D127*market_share_B*acceptance_rate*stack_activation,power_mw*hours_per_day,capacity_mwh))*DAMAS_Daily!F127*activation_mult_B),"aFRR+","aFRR-")</f>
        <v/>
      </c>
      <c r="D127" s="43">
        <f>IF(C127="aFRR+",damas_afrr_up*capacity_mult_B,damas_afrr_down*capacity_mult_B)</f>
        <v/>
      </c>
      <c r="E127" s="44">
        <f>acceptance_rate</f>
        <v/>
      </c>
      <c r="F127" s="18">
        <f>IF(C127="aFRR+",power_mw*hours_per_day*damas_afrr_up*capacity_mult_B*stack_capacity*acceptance_rate,power_mw*hours_per_day*damas_afrr_down*capacity_mult_B*stack_capacity*acceptance_rate)</f>
        <v/>
      </c>
      <c r="G127" s="42">
        <f>IF(C127="aFRR+",DAMAS_Daily!I127,DAMAS_Daily!J127)</f>
        <v/>
      </c>
      <c r="H127" s="43">
        <f>IF(C127="aFRR+",DAMAS_Daily!E127,DAMAS_Daily!F127)</f>
        <v/>
      </c>
      <c r="I127" s="43">
        <f>IF(C127="aFRR+",DAMAS_Daily!G127,DAMAS_Daily!H127)</f>
        <v/>
      </c>
      <c r="J127" s="45">
        <f>IF(C127="aFRR+",DAMAS_Daily!C127,DAMAS_Daily!D127)</f>
        <v/>
      </c>
      <c r="K127" s="45">
        <f>IF(C127="aFRR+",MIN(DAMAS_Daily!C127*market_share_B*acceptance_rate*stack_activation,power_mw*hours_per_day,capacity_mwh),MIN(DAMAS_Daily!D127*market_share_B*acceptance_rate*stack_activation,power_mw*hours_per_day,capacity_mwh))</f>
        <v/>
      </c>
      <c r="L127" s="42">
        <f>IF(K127&gt;=capacity_mwh-0.01,"yes","no")</f>
        <v/>
      </c>
      <c r="M127" s="18">
        <f>IF(C127="aFRR+",(MIN(DAMAS_Daily!C127*market_share_B*acceptance_rate*stack_activation,power_mw*hours_per_day,capacity_mwh))*DAMAS_Daily!E127*activation_mult_B,(MIN(DAMAS_Daily!D127*market_share_B*acceptance_rate*stack_activation,power_mw*hours_per_day,capacity_mwh))*DAMAS_Daily!F127*activation_mult_B)</f>
        <v/>
      </c>
      <c r="N127" s="19">
        <f>F127+M127</f>
        <v/>
      </c>
    </row>
    <row r="128">
      <c r="A128" s="41">
        <f>DAMAS_Daily!A128</f>
        <v/>
      </c>
      <c r="B128" s="42">
        <f>DAMAS_Daily!B128</f>
        <v/>
      </c>
      <c r="C128" s="42">
        <f>IF((power_mw*hours_per_day*damas_afrr_up*capacity_mult_B*stack_capacity*acceptance_rate+(MIN(DAMAS_Daily!C128*market_share_B*acceptance_rate*stack_activation,power_mw*hours_per_day,capacity_mwh))*DAMAS_Daily!E128*activation_mult_B)&gt;=(power_mw*hours_per_day*damas_afrr_down*capacity_mult_B*stack_capacity*acceptance_rate+(MIN(DAMAS_Daily!D128*market_share_B*acceptance_rate*stack_activation,power_mw*hours_per_day,capacity_mwh))*DAMAS_Daily!F128*activation_mult_B),"aFRR+","aFRR-")</f>
        <v/>
      </c>
      <c r="D128" s="43">
        <f>IF(C128="aFRR+",damas_afrr_up*capacity_mult_B,damas_afrr_down*capacity_mult_B)</f>
        <v/>
      </c>
      <c r="E128" s="44">
        <f>acceptance_rate</f>
        <v/>
      </c>
      <c r="F128" s="18">
        <f>IF(C128="aFRR+",power_mw*hours_per_day*damas_afrr_up*capacity_mult_B*stack_capacity*acceptance_rate,power_mw*hours_per_day*damas_afrr_down*capacity_mult_B*stack_capacity*acceptance_rate)</f>
        <v/>
      </c>
      <c r="G128" s="42">
        <f>IF(C128="aFRR+",DAMAS_Daily!I128,DAMAS_Daily!J128)</f>
        <v/>
      </c>
      <c r="H128" s="43">
        <f>IF(C128="aFRR+",DAMAS_Daily!E128,DAMAS_Daily!F128)</f>
        <v/>
      </c>
      <c r="I128" s="43">
        <f>IF(C128="aFRR+",DAMAS_Daily!G128,DAMAS_Daily!H128)</f>
        <v/>
      </c>
      <c r="J128" s="45">
        <f>IF(C128="aFRR+",DAMAS_Daily!C128,DAMAS_Daily!D128)</f>
        <v/>
      </c>
      <c r="K128" s="45">
        <f>IF(C128="aFRR+",MIN(DAMAS_Daily!C128*market_share_B*acceptance_rate*stack_activation,power_mw*hours_per_day,capacity_mwh),MIN(DAMAS_Daily!D128*market_share_B*acceptance_rate*stack_activation,power_mw*hours_per_day,capacity_mwh))</f>
        <v/>
      </c>
      <c r="L128" s="42">
        <f>IF(K128&gt;=capacity_mwh-0.01,"yes","no")</f>
        <v/>
      </c>
      <c r="M128" s="18">
        <f>IF(C128="aFRR+",(MIN(DAMAS_Daily!C128*market_share_B*acceptance_rate*stack_activation,power_mw*hours_per_day,capacity_mwh))*DAMAS_Daily!E128*activation_mult_B,(MIN(DAMAS_Daily!D128*market_share_B*acceptance_rate*stack_activation,power_mw*hours_per_day,capacity_mwh))*DAMAS_Daily!F128*activation_mult_B)</f>
        <v/>
      </c>
      <c r="N128" s="19">
        <f>F128+M128</f>
        <v/>
      </c>
    </row>
    <row r="129">
      <c r="A129" s="41">
        <f>DAMAS_Daily!A129</f>
        <v/>
      </c>
      <c r="B129" s="42">
        <f>DAMAS_Daily!B129</f>
        <v/>
      </c>
      <c r="C129" s="42">
        <f>IF((power_mw*hours_per_day*damas_afrr_up*capacity_mult_B*stack_capacity*acceptance_rate+(MIN(DAMAS_Daily!C129*market_share_B*acceptance_rate*stack_activation,power_mw*hours_per_day,capacity_mwh))*DAMAS_Daily!E129*activation_mult_B)&gt;=(power_mw*hours_per_day*damas_afrr_down*capacity_mult_B*stack_capacity*acceptance_rate+(MIN(DAMAS_Daily!D129*market_share_B*acceptance_rate*stack_activation,power_mw*hours_per_day,capacity_mwh))*DAMAS_Daily!F129*activation_mult_B),"aFRR+","aFRR-")</f>
        <v/>
      </c>
      <c r="D129" s="43">
        <f>IF(C129="aFRR+",damas_afrr_up*capacity_mult_B,damas_afrr_down*capacity_mult_B)</f>
        <v/>
      </c>
      <c r="E129" s="44">
        <f>acceptance_rate</f>
        <v/>
      </c>
      <c r="F129" s="18">
        <f>IF(C129="aFRR+",power_mw*hours_per_day*damas_afrr_up*capacity_mult_B*stack_capacity*acceptance_rate,power_mw*hours_per_day*damas_afrr_down*capacity_mult_B*stack_capacity*acceptance_rate)</f>
        <v/>
      </c>
      <c r="G129" s="42">
        <f>IF(C129="aFRR+",DAMAS_Daily!I129,DAMAS_Daily!J129)</f>
        <v/>
      </c>
      <c r="H129" s="43">
        <f>IF(C129="aFRR+",DAMAS_Daily!E129,DAMAS_Daily!F129)</f>
        <v/>
      </c>
      <c r="I129" s="43">
        <f>IF(C129="aFRR+",DAMAS_Daily!G129,DAMAS_Daily!H129)</f>
        <v/>
      </c>
      <c r="J129" s="45">
        <f>IF(C129="aFRR+",DAMAS_Daily!C129,DAMAS_Daily!D129)</f>
        <v/>
      </c>
      <c r="K129" s="45">
        <f>IF(C129="aFRR+",MIN(DAMAS_Daily!C129*market_share_B*acceptance_rate*stack_activation,power_mw*hours_per_day,capacity_mwh),MIN(DAMAS_Daily!D129*market_share_B*acceptance_rate*stack_activation,power_mw*hours_per_day,capacity_mwh))</f>
        <v/>
      </c>
      <c r="L129" s="42">
        <f>IF(K129&gt;=capacity_mwh-0.01,"yes","no")</f>
        <v/>
      </c>
      <c r="M129" s="18">
        <f>IF(C129="aFRR+",(MIN(DAMAS_Daily!C129*market_share_B*acceptance_rate*stack_activation,power_mw*hours_per_day,capacity_mwh))*DAMAS_Daily!E129*activation_mult_B,(MIN(DAMAS_Daily!D129*market_share_B*acceptance_rate*stack_activation,power_mw*hours_per_day,capacity_mwh))*DAMAS_Daily!F129*activation_mult_B)</f>
        <v/>
      </c>
      <c r="N129" s="19">
        <f>F129+M129</f>
        <v/>
      </c>
    </row>
    <row r="130">
      <c r="A130" s="41">
        <f>DAMAS_Daily!A130</f>
        <v/>
      </c>
      <c r="B130" s="42">
        <f>DAMAS_Daily!B130</f>
        <v/>
      </c>
      <c r="C130" s="42">
        <f>IF((power_mw*hours_per_day*damas_afrr_up*capacity_mult_B*stack_capacity*acceptance_rate+(MIN(DAMAS_Daily!C130*market_share_B*acceptance_rate*stack_activation,power_mw*hours_per_day,capacity_mwh))*DAMAS_Daily!E130*activation_mult_B)&gt;=(power_mw*hours_per_day*damas_afrr_down*capacity_mult_B*stack_capacity*acceptance_rate+(MIN(DAMAS_Daily!D130*market_share_B*acceptance_rate*stack_activation,power_mw*hours_per_day,capacity_mwh))*DAMAS_Daily!F130*activation_mult_B),"aFRR+","aFRR-")</f>
        <v/>
      </c>
      <c r="D130" s="43">
        <f>IF(C130="aFRR+",damas_afrr_up*capacity_mult_B,damas_afrr_down*capacity_mult_B)</f>
        <v/>
      </c>
      <c r="E130" s="44">
        <f>acceptance_rate</f>
        <v/>
      </c>
      <c r="F130" s="18">
        <f>IF(C130="aFRR+",power_mw*hours_per_day*damas_afrr_up*capacity_mult_B*stack_capacity*acceptance_rate,power_mw*hours_per_day*damas_afrr_down*capacity_mult_B*stack_capacity*acceptance_rate)</f>
        <v/>
      </c>
      <c r="G130" s="42">
        <f>IF(C130="aFRR+",DAMAS_Daily!I130,DAMAS_Daily!J130)</f>
        <v/>
      </c>
      <c r="H130" s="43">
        <f>IF(C130="aFRR+",DAMAS_Daily!E130,DAMAS_Daily!F130)</f>
        <v/>
      </c>
      <c r="I130" s="43">
        <f>IF(C130="aFRR+",DAMAS_Daily!G130,DAMAS_Daily!H130)</f>
        <v/>
      </c>
      <c r="J130" s="45">
        <f>IF(C130="aFRR+",DAMAS_Daily!C130,DAMAS_Daily!D130)</f>
        <v/>
      </c>
      <c r="K130" s="45">
        <f>IF(C130="aFRR+",MIN(DAMAS_Daily!C130*market_share_B*acceptance_rate*stack_activation,power_mw*hours_per_day,capacity_mwh),MIN(DAMAS_Daily!D130*market_share_B*acceptance_rate*stack_activation,power_mw*hours_per_day,capacity_mwh))</f>
        <v/>
      </c>
      <c r="L130" s="42">
        <f>IF(K130&gt;=capacity_mwh-0.01,"yes","no")</f>
        <v/>
      </c>
      <c r="M130" s="18">
        <f>IF(C130="aFRR+",(MIN(DAMAS_Daily!C130*market_share_B*acceptance_rate*stack_activation,power_mw*hours_per_day,capacity_mwh))*DAMAS_Daily!E130*activation_mult_B,(MIN(DAMAS_Daily!D130*market_share_B*acceptance_rate*stack_activation,power_mw*hours_per_day,capacity_mwh))*DAMAS_Daily!F130*activation_mult_B)</f>
        <v/>
      </c>
      <c r="N130" s="19">
        <f>F130+M130</f>
        <v/>
      </c>
    </row>
    <row r="131">
      <c r="A131" s="41">
        <f>DAMAS_Daily!A131</f>
        <v/>
      </c>
      <c r="B131" s="42">
        <f>DAMAS_Daily!B131</f>
        <v/>
      </c>
      <c r="C131" s="42">
        <f>IF((power_mw*hours_per_day*damas_afrr_up*capacity_mult_B*stack_capacity*acceptance_rate+(MIN(DAMAS_Daily!C131*market_share_B*acceptance_rate*stack_activation,power_mw*hours_per_day,capacity_mwh))*DAMAS_Daily!E131*activation_mult_B)&gt;=(power_mw*hours_per_day*damas_afrr_down*capacity_mult_B*stack_capacity*acceptance_rate+(MIN(DAMAS_Daily!D131*market_share_B*acceptance_rate*stack_activation,power_mw*hours_per_day,capacity_mwh))*DAMAS_Daily!F131*activation_mult_B),"aFRR+","aFRR-")</f>
        <v/>
      </c>
      <c r="D131" s="43">
        <f>IF(C131="aFRR+",damas_afrr_up*capacity_mult_B,damas_afrr_down*capacity_mult_B)</f>
        <v/>
      </c>
      <c r="E131" s="44">
        <f>acceptance_rate</f>
        <v/>
      </c>
      <c r="F131" s="18">
        <f>IF(C131="aFRR+",power_mw*hours_per_day*damas_afrr_up*capacity_mult_B*stack_capacity*acceptance_rate,power_mw*hours_per_day*damas_afrr_down*capacity_mult_B*stack_capacity*acceptance_rate)</f>
        <v/>
      </c>
      <c r="G131" s="42">
        <f>IF(C131="aFRR+",DAMAS_Daily!I131,DAMAS_Daily!J131)</f>
        <v/>
      </c>
      <c r="H131" s="43">
        <f>IF(C131="aFRR+",DAMAS_Daily!E131,DAMAS_Daily!F131)</f>
        <v/>
      </c>
      <c r="I131" s="43">
        <f>IF(C131="aFRR+",DAMAS_Daily!G131,DAMAS_Daily!H131)</f>
        <v/>
      </c>
      <c r="J131" s="45">
        <f>IF(C131="aFRR+",DAMAS_Daily!C131,DAMAS_Daily!D131)</f>
        <v/>
      </c>
      <c r="K131" s="45">
        <f>IF(C131="aFRR+",MIN(DAMAS_Daily!C131*market_share_B*acceptance_rate*stack_activation,power_mw*hours_per_day,capacity_mwh),MIN(DAMAS_Daily!D131*market_share_B*acceptance_rate*stack_activation,power_mw*hours_per_day,capacity_mwh))</f>
        <v/>
      </c>
      <c r="L131" s="42">
        <f>IF(K131&gt;=capacity_mwh-0.01,"yes","no")</f>
        <v/>
      </c>
      <c r="M131" s="18">
        <f>IF(C131="aFRR+",(MIN(DAMAS_Daily!C131*market_share_B*acceptance_rate*stack_activation,power_mw*hours_per_day,capacity_mwh))*DAMAS_Daily!E131*activation_mult_B,(MIN(DAMAS_Daily!D131*market_share_B*acceptance_rate*stack_activation,power_mw*hours_per_day,capacity_mwh))*DAMAS_Daily!F131*activation_mult_B)</f>
        <v/>
      </c>
      <c r="N131" s="19">
        <f>F131+M131</f>
        <v/>
      </c>
    </row>
    <row r="132">
      <c r="A132" s="41">
        <f>DAMAS_Daily!A132</f>
        <v/>
      </c>
      <c r="B132" s="42">
        <f>DAMAS_Daily!B132</f>
        <v/>
      </c>
      <c r="C132" s="42">
        <f>IF((power_mw*hours_per_day*damas_afrr_up*capacity_mult_B*stack_capacity*acceptance_rate+(MIN(DAMAS_Daily!C132*market_share_B*acceptance_rate*stack_activation,power_mw*hours_per_day,capacity_mwh))*DAMAS_Daily!E132*activation_mult_B)&gt;=(power_mw*hours_per_day*damas_afrr_down*capacity_mult_B*stack_capacity*acceptance_rate+(MIN(DAMAS_Daily!D132*market_share_B*acceptance_rate*stack_activation,power_mw*hours_per_day,capacity_mwh))*DAMAS_Daily!F132*activation_mult_B),"aFRR+","aFRR-")</f>
        <v/>
      </c>
      <c r="D132" s="43">
        <f>IF(C132="aFRR+",damas_afrr_up*capacity_mult_B,damas_afrr_down*capacity_mult_B)</f>
        <v/>
      </c>
      <c r="E132" s="44">
        <f>acceptance_rate</f>
        <v/>
      </c>
      <c r="F132" s="18">
        <f>IF(C132="aFRR+",power_mw*hours_per_day*damas_afrr_up*capacity_mult_B*stack_capacity*acceptance_rate,power_mw*hours_per_day*damas_afrr_down*capacity_mult_B*stack_capacity*acceptance_rate)</f>
        <v/>
      </c>
      <c r="G132" s="42">
        <f>IF(C132="aFRR+",DAMAS_Daily!I132,DAMAS_Daily!J132)</f>
        <v/>
      </c>
      <c r="H132" s="43">
        <f>IF(C132="aFRR+",DAMAS_Daily!E132,DAMAS_Daily!F132)</f>
        <v/>
      </c>
      <c r="I132" s="43">
        <f>IF(C132="aFRR+",DAMAS_Daily!G132,DAMAS_Daily!H132)</f>
        <v/>
      </c>
      <c r="J132" s="45">
        <f>IF(C132="aFRR+",DAMAS_Daily!C132,DAMAS_Daily!D132)</f>
        <v/>
      </c>
      <c r="K132" s="45">
        <f>IF(C132="aFRR+",MIN(DAMAS_Daily!C132*market_share_B*acceptance_rate*stack_activation,power_mw*hours_per_day,capacity_mwh),MIN(DAMAS_Daily!D132*market_share_B*acceptance_rate*stack_activation,power_mw*hours_per_day,capacity_mwh))</f>
        <v/>
      </c>
      <c r="L132" s="42">
        <f>IF(K132&gt;=capacity_mwh-0.01,"yes","no")</f>
        <v/>
      </c>
      <c r="M132" s="18">
        <f>IF(C132="aFRR+",(MIN(DAMAS_Daily!C132*market_share_B*acceptance_rate*stack_activation,power_mw*hours_per_day,capacity_mwh))*DAMAS_Daily!E132*activation_mult_B,(MIN(DAMAS_Daily!D132*market_share_B*acceptance_rate*stack_activation,power_mw*hours_per_day,capacity_mwh))*DAMAS_Daily!F132*activation_mult_B)</f>
        <v/>
      </c>
      <c r="N132" s="19">
        <f>F132+M132</f>
        <v/>
      </c>
    </row>
    <row r="133">
      <c r="A133" s="41">
        <f>DAMAS_Daily!A133</f>
        <v/>
      </c>
      <c r="B133" s="42">
        <f>DAMAS_Daily!B133</f>
        <v/>
      </c>
      <c r="C133" s="42">
        <f>IF((power_mw*hours_per_day*damas_afrr_up*capacity_mult_B*stack_capacity*acceptance_rate+(MIN(DAMAS_Daily!C133*market_share_B*acceptance_rate*stack_activation,power_mw*hours_per_day,capacity_mwh))*DAMAS_Daily!E133*activation_mult_B)&gt;=(power_mw*hours_per_day*damas_afrr_down*capacity_mult_B*stack_capacity*acceptance_rate+(MIN(DAMAS_Daily!D133*market_share_B*acceptance_rate*stack_activation,power_mw*hours_per_day,capacity_mwh))*DAMAS_Daily!F133*activation_mult_B),"aFRR+","aFRR-")</f>
        <v/>
      </c>
      <c r="D133" s="43">
        <f>IF(C133="aFRR+",damas_afrr_up*capacity_mult_B,damas_afrr_down*capacity_mult_B)</f>
        <v/>
      </c>
      <c r="E133" s="44">
        <f>acceptance_rate</f>
        <v/>
      </c>
      <c r="F133" s="18">
        <f>IF(C133="aFRR+",power_mw*hours_per_day*damas_afrr_up*capacity_mult_B*stack_capacity*acceptance_rate,power_mw*hours_per_day*damas_afrr_down*capacity_mult_B*stack_capacity*acceptance_rate)</f>
        <v/>
      </c>
      <c r="G133" s="42">
        <f>IF(C133="aFRR+",DAMAS_Daily!I133,DAMAS_Daily!J133)</f>
        <v/>
      </c>
      <c r="H133" s="43">
        <f>IF(C133="aFRR+",DAMAS_Daily!E133,DAMAS_Daily!F133)</f>
        <v/>
      </c>
      <c r="I133" s="43">
        <f>IF(C133="aFRR+",DAMAS_Daily!G133,DAMAS_Daily!H133)</f>
        <v/>
      </c>
      <c r="J133" s="45">
        <f>IF(C133="aFRR+",DAMAS_Daily!C133,DAMAS_Daily!D133)</f>
        <v/>
      </c>
      <c r="K133" s="45">
        <f>IF(C133="aFRR+",MIN(DAMAS_Daily!C133*market_share_B*acceptance_rate*stack_activation,power_mw*hours_per_day,capacity_mwh),MIN(DAMAS_Daily!D133*market_share_B*acceptance_rate*stack_activation,power_mw*hours_per_day,capacity_mwh))</f>
        <v/>
      </c>
      <c r="L133" s="42">
        <f>IF(K133&gt;=capacity_mwh-0.01,"yes","no")</f>
        <v/>
      </c>
      <c r="M133" s="18">
        <f>IF(C133="aFRR+",(MIN(DAMAS_Daily!C133*market_share_B*acceptance_rate*stack_activation,power_mw*hours_per_day,capacity_mwh))*DAMAS_Daily!E133*activation_mult_B,(MIN(DAMAS_Daily!D133*market_share_B*acceptance_rate*stack_activation,power_mw*hours_per_day,capacity_mwh))*DAMAS_Daily!F133*activation_mult_B)</f>
        <v/>
      </c>
      <c r="N133" s="19">
        <f>F133+M133</f>
        <v/>
      </c>
    </row>
    <row r="134">
      <c r="A134" s="41">
        <f>DAMAS_Daily!A134</f>
        <v/>
      </c>
      <c r="B134" s="42">
        <f>DAMAS_Daily!B134</f>
        <v/>
      </c>
      <c r="C134" s="42">
        <f>IF((power_mw*hours_per_day*damas_afrr_up*capacity_mult_B*stack_capacity*acceptance_rate+(MIN(DAMAS_Daily!C134*market_share_B*acceptance_rate*stack_activation,power_mw*hours_per_day,capacity_mwh))*DAMAS_Daily!E134*activation_mult_B)&gt;=(power_mw*hours_per_day*damas_afrr_down*capacity_mult_B*stack_capacity*acceptance_rate+(MIN(DAMAS_Daily!D134*market_share_B*acceptance_rate*stack_activation,power_mw*hours_per_day,capacity_mwh))*DAMAS_Daily!F134*activation_mult_B),"aFRR+","aFRR-")</f>
        <v/>
      </c>
      <c r="D134" s="43">
        <f>IF(C134="aFRR+",damas_afrr_up*capacity_mult_B,damas_afrr_down*capacity_mult_B)</f>
        <v/>
      </c>
      <c r="E134" s="44">
        <f>acceptance_rate</f>
        <v/>
      </c>
      <c r="F134" s="18">
        <f>IF(C134="aFRR+",power_mw*hours_per_day*damas_afrr_up*capacity_mult_B*stack_capacity*acceptance_rate,power_mw*hours_per_day*damas_afrr_down*capacity_mult_B*stack_capacity*acceptance_rate)</f>
        <v/>
      </c>
      <c r="G134" s="42">
        <f>IF(C134="aFRR+",DAMAS_Daily!I134,DAMAS_Daily!J134)</f>
        <v/>
      </c>
      <c r="H134" s="43">
        <f>IF(C134="aFRR+",DAMAS_Daily!E134,DAMAS_Daily!F134)</f>
        <v/>
      </c>
      <c r="I134" s="43">
        <f>IF(C134="aFRR+",DAMAS_Daily!G134,DAMAS_Daily!H134)</f>
        <v/>
      </c>
      <c r="J134" s="45">
        <f>IF(C134="aFRR+",DAMAS_Daily!C134,DAMAS_Daily!D134)</f>
        <v/>
      </c>
      <c r="K134" s="45">
        <f>IF(C134="aFRR+",MIN(DAMAS_Daily!C134*market_share_B*acceptance_rate*stack_activation,power_mw*hours_per_day,capacity_mwh),MIN(DAMAS_Daily!D134*market_share_B*acceptance_rate*stack_activation,power_mw*hours_per_day,capacity_mwh))</f>
        <v/>
      </c>
      <c r="L134" s="42">
        <f>IF(K134&gt;=capacity_mwh-0.01,"yes","no")</f>
        <v/>
      </c>
      <c r="M134" s="18">
        <f>IF(C134="aFRR+",(MIN(DAMAS_Daily!C134*market_share_B*acceptance_rate*stack_activation,power_mw*hours_per_day,capacity_mwh))*DAMAS_Daily!E134*activation_mult_B,(MIN(DAMAS_Daily!D134*market_share_B*acceptance_rate*stack_activation,power_mw*hours_per_day,capacity_mwh))*DAMAS_Daily!F134*activation_mult_B)</f>
        <v/>
      </c>
      <c r="N134" s="19">
        <f>F134+M134</f>
        <v/>
      </c>
    </row>
    <row r="135">
      <c r="A135" s="41">
        <f>DAMAS_Daily!A135</f>
        <v/>
      </c>
      <c r="B135" s="42">
        <f>DAMAS_Daily!B135</f>
        <v/>
      </c>
      <c r="C135" s="42">
        <f>IF((power_mw*hours_per_day*damas_afrr_up*capacity_mult_B*stack_capacity*acceptance_rate+(MIN(DAMAS_Daily!C135*market_share_B*acceptance_rate*stack_activation,power_mw*hours_per_day,capacity_mwh))*DAMAS_Daily!E135*activation_mult_B)&gt;=(power_mw*hours_per_day*damas_afrr_down*capacity_mult_B*stack_capacity*acceptance_rate+(MIN(DAMAS_Daily!D135*market_share_B*acceptance_rate*stack_activation,power_mw*hours_per_day,capacity_mwh))*DAMAS_Daily!F135*activation_mult_B),"aFRR+","aFRR-")</f>
        <v/>
      </c>
      <c r="D135" s="43">
        <f>IF(C135="aFRR+",damas_afrr_up*capacity_mult_B,damas_afrr_down*capacity_mult_B)</f>
        <v/>
      </c>
      <c r="E135" s="44">
        <f>acceptance_rate</f>
        <v/>
      </c>
      <c r="F135" s="18">
        <f>IF(C135="aFRR+",power_mw*hours_per_day*damas_afrr_up*capacity_mult_B*stack_capacity*acceptance_rate,power_mw*hours_per_day*damas_afrr_down*capacity_mult_B*stack_capacity*acceptance_rate)</f>
        <v/>
      </c>
      <c r="G135" s="42">
        <f>IF(C135="aFRR+",DAMAS_Daily!I135,DAMAS_Daily!J135)</f>
        <v/>
      </c>
      <c r="H135" s="43">
        <f>IF(C135="aFRR+",DAMAS_Daily!E135,DAMAS_Daily!F135)</f>
        <v/>
      </c>
      <c r="I135" s="43">
        <f>IF(C135="aFRR+",DAMAS_Daily!G135,DAMAS_Daily!H135)</f>
        <v/>
      </c>
      <c r="J135" s="45">
        <f>IF(C135="aFRR+",DAMAS_Daily!C135,DAMAS_Daily!D135)</f>
        <v/>
      </c>
      <c r="K135" s="45">
        <f>IF(C135="aFRR+",MIN(DAMAS_Daily!C135*market_share_B*acceptance_rate*stack_activation,power_mw*hours_per_day,capacity_mwh),MIN(DAMAS_Daily!D135*market_share_B*acceptance_rate*stack_activation,power_mw*hours_per_day,capacity_mwh))</f>
        <v/>
      </c>
      <c r="L135" s="42">
        <f>IF(K135&gt;=capacity_mwh-0.01,"yes","no")</f>
        <v/>
      </c>
      <c r="M135" s="18">
        <f>IF(C135="aFRR+",(MIN(DAMAS_Daily!C135*market_share_B*acceptance_rate*stack_activation,power_mw*hours_per_day,capacity_mwh))*DAMAS_Daily!E135*activation_mult_B,(MIN(DAMAS_Daily!D135*market_share_B*acceptance_rate*stack_activation,power_mw*hours_per_day,capacity_mwh))*DAMAS_Daily!F135*activation_mult_B)</f>
        <v/>
      </c>
      <c r="N135" s="19">
        <f>F135+M135</f>
        <v/>
      </c>
    </row>
    <row r="136">
      <c r="A136" s="41">
        <f>DAMAS_Daily!A136</f>
        <v/>
      </c>
      <c r="B136" s="42">
        <f>DAMAS_Daily!B136</f>
        <v/>
      </c>
      <c r="C136" s="42">
        <f>IF((power_mw*hours_per_day*damas_afrr_up*capacity_mult_B*stack_capacity*acceptance_rate+(MIN(DAMAS_Daily!C136*market_share_B*acceptance_rate*stack_activation,power_mw*hours_per_day,capacity_mwh))*DAMAS_Daily!E136*activation_mult_B)&gt;=(power_mw*hours_per_day*damas_afrr_down*capacity_mult_B*stack_capacity*acceptance_rate+(MIN(DAMAS_Daily!D136*market_share_B*acceptance_rate*stack_activation,power_mw*hours_per_day,capacity_mwh))*DAMAS_Daily!F136*activation_mult_B),"aFRR+","aFRR-")</f>
        <v/>
      </c>
      <c r="D136" s="43">
        <f>IF(C136="aFRR+",damas_afrr_up*capacity_mult_B,damas_afrr_down*capacity_mult_B)</f>
        <v/>
      </c>
      <c r="E136" s="44">
        <f>acceptance_rate</f>
        <v/>
      </c>
      <c r="F136" s="18">
        <f>IF(C136="aFRR+",power_mw*hours_per_day*damas_afrr_up*capacity_mult_B*stack_capacity*acceptance_rate,power_mw*hours_per_day*damas_afrr_down*capacity_mult_B*stack_capacity*acceptance_rate)</f>
        <v/>
      </c>
      <c r="G136" s="42">
        <f>IF(C136="aFRR+",DAMAS_Daily!I136,DAMAS_Daily!J136)</f>
        <v/>
      </c>
      <c r="H136" s="43">
        <f>IF(C136="aFRR+",DAMAS_Daily!E136,DAMAS_Daily!F136)</f>
        <v/>
      </c>
      <c r="I136" s="43">
        <f>IF(C136="aFRR+",DAMAS_Daily!G136,DAMAS_Daily!H136)</f>
        <v/>
      </c>
      <c r="J136" s="45">
        <f>IF(C136="aFRR+",DAMAS_Daily!C136,DAMAS_Daily!D136)</f>
        <v/>
      </c>
      <c r="K136" s="45">
        <f>IF(C136="aFRR+",MIN(DAMAS_Daily!C136*market_share_B*acceptance_rate*stack_activation,power_mw*hours_per_day,capacity_mwh),MIN(DAMAS_Daily!D136*market_share_B*acceptance_rate*stack_activation,power_mw*hours_per_day,capacity_mwh))</f>
        <v/>
      </c>
      <c r="L136" s="42">
        <f>IF(K136&gt;=capacity_mwh-0.01,"yes","no")</f>
        <v/>
      </c>
      <c r="M136" s="18">
        <f>IF(C136="aFRR+",(MIN(DAMAS_Daily!C136*market_share_B*acceptance_rate*stack_activation,power_mw*hours_per_day,capacity_mwh))*DAMAS_Daily!E136*activation_mult_B,(MIN(DAMAS_Daily!D136*market_share_B*acceptance_rate*stack_activation,power_mw*hours_per_day,capacity_mwh))*DAMAS_Daily!F136*activation_mult_B)</f>
        <v/>
      </c>
      <c r="N136" s="19">
        <f>F136+M136</f>
        <v/>
      </c>
    </row>
    <row r="137">
      <c r="A137" s="41">
        <f>DAMAS_Daily!A137</f>
        <v/>
      </c>
      <c r="B137" s="42">
        <f>DAMAS_Daily!B137</f>
        <v/>
      </c>
      <c r="C137" s="42">
        <f>IF((power_mw*hours_per_day*damas_afrr_up*capacity_mult_B*stack_capacity*acceptance_rate+(MIN(DAMAS_Daily!C137*market_share_B*acceptance_rate*stack_activation,power_mw*hours_per_day,capacity_mwh))*DAMAS_Daily!E137*activation_mult_B)&gt;=(power_mw*hours_per_day*damas_afrr_down*capacity_mult_B*stack_capacity*acceptance_rate+(MIN(DAMAS_Daily!D137*market_share_B*acceptance_rate*stack_activation,power_mw*hours_per_day,capacity_mwh))*DAMAS_Daily!F137*activation_mult_B),"aFRR+","aFRR-")</f>
        <v/>
      </c>
      <c r="D137" s="43">
        <f>IF(C137="aFRR+",damas_afrr_up*capacity_mult_B,damas_afrr_down*capacity_mult_B)</f>
        <v/>
      </c>
      <c r="E137" s="44">
        <f>acceptance_rate</f>
        <v/>
      </c>
      <c r="F137" s="18">
        <f>IF(C137="aFRR+",power_mw*hours_per_day*damas_afrr_up*capacity_mult_B*stack_capacity*acceptance_rate,power_mw*hours_per_day*damas_afrr_down*capacity_mult_B*stack_capacity*acceptance_rate)</f>
        <v/>
      </c>
      <c r="G137" s="42">
        <f>IF(C137="aFRR+",DAMAS_Daily!I137,DAMAS_Daily!J137)</f>
        <v/>
      </c>
      <c r="H137" s="43">
        <f>IF(C137="aFRR+",DAMAS_Daily!E137,DAMAS_Daily!F137)</f>
        <v/>
      </c>
      <c r="I137" s="43">
        <f>IF(C137="aFRR+",DAMAS_Daily!G137,DAMAS_Daily!H137)</f>
        <v/>
      </c>
      <c r="J137" s="45">
        <f>IF(C137="aFRR+",DAMAS_Daily!C137,DAMAS_Daily!D137)</f>
        <v/>
      </c>
      <c r="K137" s="45">
        <f>IF(C137="aFRR+",MIN(DAMAS_Daily!C137*market_share_B*acceptance_rate*stack_activation,power_mw*hours_per_day,capacity_mwh),MIN(DAMAS_Daily!D137*market_share_B*acceptance_rate*stack_activation,power_mw*hours_per_day,capacity_mwh))</f>
        <v/>
      </c>
      <c r="L137" s="42">
        <f>IF(K137&gt;=capacity_mwh-0.01,"yes","no")</f>
        <v/>
      </c>
      <c r="M137" s="18">
        <f>IF(C137="aFRR+",(MIN(DAMAS_Daily!C137*market_share_B*acceptance_rate*stack_activation,power_mw*hours_per_day,capacity_mwh))*DAMAS_Daily!E137*activation_mult_B,(MIN(DAMAS_Daily!D137*market_share_B*acceptance_rate*stack_activation,power_mw*hours_per_day,capacity_mwh))*DAMAS_Daily!F137*activation_mult_B)</f>
        <v/>
      </c>
      <c r="N137" s="19">
        <f>F137+M137</f>
        <v/>
      </c>
    </row>
    <row r="138">
      <c r="A138" s="41">
        <f>DAMAS_Daily!A138</f>
        <v/>
      </c>
      <c r="B138" s="42">
        <f>DAMAS_Daily!B138</f>
        <v/>
      </c>
      <c r="C138" s="42">
        <f>IF((power_mw*hours_per_day*damas_afrr_up*capacity_mult_B*stack_capacity*acceptance_rate+(MIN(DAMAS_Daily!C138*market_share_B*acceptance_rate*stack_activation,power_mw*hours_per_day,capacity_mwh))*DAMAS_Daily!E138*activation_mult_B)&gt;=(power_mw*hours_per_day*damas_afrr_down*capacity_mult_B*stack_capacity*acceptance_rate+(MIN(DAMAS_Daily!D138*market_share_B*acceptance_rate*stack_activation,power_mw*hours_per_day,capacity_mwh))*DAMAS_Daily!F138*activation_mult_B),"aFRR+","aFRR-")</f>
        <v/>
      </c>
      <c r="D138" s="43">
        <f>IF(C138="aFRR+",damas_afrr_up*capacity_mult_B,damas_afrr_down*capacity_mult_B)</f>
        <v/>
      </c>
      <c r="E138" s="44">
        <f>acceptance_rate</f>
        <v/>
      </c>
      <c r="F138" s="18">
        <f>IF(C138="aFRR+",power_mw*hours_per_day*damas_afrr_up*capacity_mult_B*stack_capacity*acceptance_rate,power_mw*hours_per_day*damas_afrr_down*capacity_mult_B*stack_capacity*acceptance_rate)</f>
        <v/>
      </c>
      <c r="G138" s="42">
        <f>IF(C138="aFRR+",DAMAS_Daily!I138,DAMAS_Daily!J138)</f>
        <v/>
      </c>
      <c r="H138" s="43">
        <f>IF(C138="aFRR+",DAMAS_Daily!E138,DAMAS_Daily!F138)</f>
        <v/>
      </c>
      <c r="I138" s="43">
        <f>IF(C138="aFRR+",DAMAS_Daily!G138,DAMAS_Daily!H138)</f>
        <v/>
      </c>
      <c r="J138" s="45">
        <f>IF(C138="aFRR+",DAMAS_Daily!C138,DAMAS_Daily!D138)</f>
        <v/>
      </c>
      <c r="K138" s="45">
        <f>IF(C138="aFRR+",MIN(DAMAS_Daily!C138*market_share_B*acceptance_rate*stack_activation,power_mw*hours_per_day,capacity_mwh),MIN(DAMAS_Daily!D138*market_share_B*acceptance_rate*stack_activation,power_mw*hours_per_day,capacity_mwh))</f>
        <v/>
      </c>
      <c r="L138" s="42">
        <f>IF(K138&gt;=capacity_mwh-0.01,"yes","no")</f>
        <v/>
      </c>
      <c r="M138" s="18">
        <f>IF(C138="aFRR+",(MIN(DAMAS_Daily!C138*market_share_B*acceptance_rate*stack_activation,power_mw*hours_per_day,capacity_mwh))*DAMAS_Daily!E138*activation_mult_B,(MIN(DAMAS_Daily!D138*market_share_B*acceptance_rate*stack_activation,power_mw*hours_per_day,capacity_mwh))*DAMAS_Daily!F138*activation_mult_B)</f>
        <v/>
      </c>
      <c r="N138" s="19">
        <f>F138+M138</f>
        <v/>
      </c>
    </row>
    <row r="139">
      <c r="A139" s="41">
        <f>DAMAS_Daily!A139</f>
        <v/>
      </c>
      <c r="B139" s="42">
        <f>DAMAS_Daily!B139</f>
        <v/>
      </c>
      <c r="C139" s="42">
        <f>IF((power_mw*hours_per_day*damas_afrr_up*capacity_mult_B*stack_capacity*acceptance_rate+(MIN(DAMAS_Daily!C139*market_share_B*acceptance_rate*stack_activation,power_mw*hours_per_day,capacity_mwh))*DAMAS_Daily!E139*activation_mult_B)&gt;=(power_mw*hours_per_day*damas_afrr_down*capacity_mult_B*stack_capacity*acceptance_rate+(MIN(DAMAS_Daily!D139*market_share_B*acceptance_rate*stack_activation,power_mw*hours_per_day,capacity_mwh))*DAMAS_Daily!F139*activation_mult_B),"aFRR+","aFRR-")</f>
        <v/>
      </c>
      <c r="D139" s="43">
        <f>IF(C139="aFRR+",damas_afrr_up*capacity_mult_B,damas_afrr_down*capacity_mult_B)</f>
        <v/>
      </c>
      <c r="E139" s="44">
        <f>acceptance_rate</f>
        <v/>
      </c>
      <c r="F139" s="18">
        <f>IF(C139="aFRR+",power_mw*hours_per_day*damas_afrr_up*capacity_mult_B*stack_capacity*acceptance_rate,power_mw*hours_per_day*damas_afrr_down*capacity_mult_B*stack_capacity*acceptance_rate)</f>
        <v/>
      </c>
      <c r="G139" s="42">
        <f>IF(C139="aFRR+",DAMAS_Daily!I139,DAMAS_Daily!J139)</f>
        <v/>
      </c>
      <c r="H139" s="43">
        <f>IF(C139="aFRR+",DAMAS_Daily!E139,DAMAS_Daily!F139)</f>
        <v/>
      </c>
      <c r="I139" s="43">
        <f>IF(C139="aFRR+",DAMAS_Daily!G139,DAMAS_Daily!H139)</f>
        <v/>
      </c>
      <c r="J139" s="45">
        <f>IF(C139="aFRR+",DAMAS_Daily!C139,DAMAS_Daily!D139)</f>
        <v/>
      </c>
      <c r="K139" s="45">
        <f>IF(C139="aFRR+",MIN(DAMAS_Daily!C139*market_share_B*acceptance_rate*stack_activation,power_mw*hours_per_day,capacity_mwh),MIN(DAMAS_Daily!D139*market_share_B*acceptance_rate*stack_activation,power_mw*hours_per_day,capacity_mwh))</f>
        <v/>
      </c>
      <c r="L139" s="42">
        <f>IF(K139&gt;=capacity_mwh-0.01,"yes","no")</f>
        <v/>
      </c>
      <c r="M139" s="18">
        <f>IF(C139="aFRR+",(MIN(DAMAS_Daily!C139*market_share_B*acceptance_rate*stack_activation,power_mw*hours_per_day,capacity_mwh))*DAMAS_Daily!E139*activation_mult_B,(MIN(DAMAS_Daily!D139*market_share_B*acceptance_rate*stack_activation,power_mw*hours_per_day,capacity_mwh))*DAMAS_Daily!F139*activation_mult_B)</f>
        <v/>
      </c>
      <c r="N139" s="19">
        <f>F139+M139</f>
        <v/>
      </c>
    </row>
    <row r="140">
      <c r="A140" s="41">
        <f>DAMAS_Daily!A140</f>
        <v/>
      </c>
      <c r="B140" s="42">
        <f>DAMAS_Daily!B140</f>
        <v/>
      </c>
      <c r="C140" s="42">
        <f>IF((power_mw*hours_per_day*damas_afrr_up*capacity_mult_B*stack_capacity*acceptance_rate+(MIN(DAMAS_Daily!C140*market_share_B*acceptance_rate*stack_activation,power_mw*hours_per_day,capacity_mwh))*DAMAS_Daily!E140*activation_mult_B)&gt;=(power_mw*hours_per_day*damas_afrr_down*capacity_mult_B*stack_capacity*acceptance_rate+(MIN(DAMAS_Daily!D140*market_share_B*acceptance_rate*stack_activation,power_mw*hours_per_day,capacity_mwh))*DAMAS_Daily!F140*activation_mult_B),"aFRR+","aFRR-")</f>
        <v/>
      </c>
      <c r="D140" s="43">
        <f>IF(C140="aFRR+",damas_afrr_up*capacity_mult_B,damas_afrr_down*capacity_mult_B)</f>
        <v/>
      </c>
      <c r="E140" s="44">
        <f>acceptance_rate</f>
        <v/>
      </c>
      <c r="F140" s="18">
        <f>IF(C140="aFRR+",power_mw*hours_per_day*damas_afrr_up*capacity_mult_B*stack_capacity*acceptance_rate,power_mw*hours_per_day*damas_afrr_down*capacity_mult_B*stack_capacity*acceptance_rate)</f>
        <v/>
      </c>
      <c r="G140" s="42">
        <f>IF(C140="aFRR+",DAMAS_Daily!I140,DAMAS_Daily!J140)</f>
        <v/>
      </c>
      <c r="H140" s="43">
        <f>IF(C140="aFRR+",DAMAS_Daily!E140,DAMAS_Daily!F140)</f>
        <v/>
      </c>
      <c r="I140" s="43">
        <f>IF(C140="aFRR+",DAMAS_Daily!G140,DAMAS_Daily!H140)</f>
        <v/>
      </c>
      <c r="J140" s="45">
        <f>IF(C140="aFRR+",DAMAS_Daily!C140,DAMAS_Daily!D140)</f>
        <v/>
      </c>
      <c r="K140" s="45">
        <f>IF(C140="aFRR+",MIN(DAMAS_Daily!C140*market_share_B*acceptance_rate*stack_activation,power_mw*hours_per_day,capacity_mwh),MIN(DAMAS_Daily!D140*market_share_B*acceptance_rate*stack_activation,power_mw*hours_per_day,capacity_mwh))</f>
        <v/>
      </c>
      <c r="L140" s="42">
        <f>IF(K140&gt;=capacity_mwh-0.01,"yes","no")</f>
        <v/>
      </c>
      <c r="M140" s="18">
        <f>IF(C140="aFRR+",(MIN(DAMAS_Daily!C140*market_share_B*acceptance_rate*stack_activation,power_mw*hours_per_day,capacity_mwh))*DAMAS_Daily!E140*activation_mult_B,(MIN(DAMAS_Daily!D140*market_share_B*acceptance_rate*stack_activation,power_mw*hours_per_day,capacity_mwh))*DAMAS_Daily!F140*activation_mult_B)</f>
        <v/>
      </c>
      <c r="N140" s="19">
        <f>F140+M140</f>
        <v/>
      </c>
    </row>
    <row r="141">
      <c r="A141" s="41">
        <f>DAMAS_Daily!A141</f>
        <v/>
      </c>
      <c r="B141" s="42">
        <f>DAMAS_Daily!B141</f>
        <v/>
      </c>
      <c r="C141" s="42">
        <f>IF((power_mw*hours_per_day*damas_afrr_up*capacity_mult_B*stack_capacity*acceptance_rate+(MIN(DAMAS_Daily!C141*market_share_B*acceptance_rate*stack_activation,power_mw*hours_per_day,capacity_mwh))*DAMAS_Daily!E141*activation_mult_B)&gt;=(power_mw*hours_per_day*damas_afrr_down*capacity_mult_B*stack_capacity*acceptance_rate+(MIN(DAMAS_Daily!D141*market_share_B*acceptance_rate*stack_activation,power_mw*hours_per_day,capacity_mwh))*DAMAS_Daily!F141*activation_mult_B),"aFRR+","aFRR-")</f>
        <v/>
      </c>
      <c r="D141" s="43">
        <f>IF(C141="aFRR+",damas_afrr_up*capacity_mult_B,damas_afrr_down*capacity_mult_B)</f>
        <v/>
      </c>
      <c r="E141" s="44">
        <f>acceptance_rate</f>
        <v/>
      </c>
      <c r="F141" s="18">
        <f>IF(C141="aFRR+",power_mw*hours_per_day*damas_afrr_up*capacity_mult_B*stack_capacity*acceptance_rate,power_mw*hours_per_day*damas_afrr_down*capacity_mult_B*stack_capacity*acceptance_rate)</f>
        <v/>
      </c>
      <c r="G141" s="42">
        <f>IF(C141="aFRR+",DAMAS_Daily!I141,DAMAS_Daily!J141)</f>
        <v/>
      </c>
      <c r="H141" s="43">
        <f>IF(C141="aFRR+",DAMAS_Daily!E141,DAMAS_Daily!F141)</f>
        <v/>
      </c>
      <c r="I141" s="43">
        <f>IF(C141="aFRR+",DAMAS_Daily!G141,DAMAS_Daily!H141)</f>
        <v/>
      </c>
      <c r="J141" s="45">
        <f>IF(C141="aFRR+",DAMAS_Daily!C141,DAMAS_Daily!D141)</f>
        <v/>
      </c>
      <c r="K141" s="45">
        <f>IF(C141="aFRR+",MIN(DAMAS_Daily!C141*market_share_B*acceptance_rate*stack_activation,power_mw*hours_per_day,capacity_mwh),MIN(DAMAS_Daily!D141*market_share_B*acceptance_rate*stack_activation,power_mw*hours_per_day,capacity_mwh))</f>
        <v/>
      </c>
      <c r="L141" s="42">
        <f>IF(K141&gt;=capacity_mwh-0.01,"yes","no")</f>
        <v/>
      </c>
      <c r="M141" s="18">
        <f>IF(C141="aFRR+",(MIN(DAMAS_Daily!C141*market_share_B*acceptance_rate*stack_activation,power_mw*hours_per_day,capacity_mwh))*DAMAS_Daily!E141*activation_mult_B,(MIN(DAMAS_Daily!D141*market_share_B*acceptance_rate*stack_activation,power_mw*hours_per_day,capacity_mwh))*DAMAS_Daily!F141*activation_mult_B)</f>
        <v/>
      </c>
      <c r="N141" s="19">
        <f>F141+M141</f>
        <v/>
      </c>
    </row>
    <row r="142">
      <c r="A142" s="41">
        <f>DAMAS_Daily!A142</f>
        <v/>
      </c>
      <c r="B142" s="42">
        <f>DAMAS_Daily!B142</f>
        <v/>
      </c>
      <c r="C142" s="42">
        <f>IF((power_mw*hours_per_day*damas_afrr_up*capacity_mult_B*stack_capacity*acceptance_rate+(MIN(DAMAS_Daily!C142*market_share_B*acceptance_rate*stack_activation,power_mw*hours_per_day,capacity_mwh))*DAMAS_Daily!E142*activation_mult_B)&gt;=(power_mw*hours_per_day*damas_afrr_down*capacity_mult_B*stack_capacity*acceptance_rate+(MIN(DAMAS_Daily!D142*market_share_B*acceptance_rate*stack_activation,power_mw*hours_per_day,capacity_mwh))*DAMAS_Daily!F142*activation_mult_B),"aFRR+","aFRR-")</f>
        <v/>
      </c>
      <c r="D142" s="43">
        <f>IF(C142="aFRR+",damas_afrr_up*capacity_mult_B,damas_afrr_down*capacity_mult_B)</f>
        <v/>
      </c>
      <c r="E142" s="44">
        <f>acceptance_rate</f>
        <v/>
      </c>
      <c r="F142" s="18">
        <f>IF(C142="aFRR+",power_mw*hours_per_day*damas_afrr_up*capacity_mult_B*stack_capacity*acceptance_rate,power_mw*hours_per_day*damas_afrr_down*capacity_mult_B*stack_capacity*acceptance_rate)</f>
        <v/>
      </c>
      <c r="G142" s="42">
        <f>IF(C142="aFRR+",DAMAS_Daily!I142,DAMAS_Daily!J142)</f>
        <v/>
      </c>
      <c r="H142" s="43">
        <f>IF(C142="aFRR+",DAMAS_Daily!E142,DAMAS_Daily!F142)</f>
        <v/>
      </c>
      <c r="I142" s="43">
        <f>IF(C142="aFRR+",DAMAS_Daily!G142,DAMAS_Daily!H142)</f>
        <v/>
      </c>
      <c r="J142" s="45">
        <f>IF(C142="aFRR+",DAMAS_Daily!C142,DAMAS_Daily!D142)</f>
        <v/>
      </c>
      <c r="K142" s="45">
        <f>IF(C142="aFRR+",MIN(DAMAS_Daily!C142*market_share_B*acceptance_rate*stack_activation,power_mw*hours_per_day,capacity_mwh),MIN(DAMAS_Daily!D142*market_share_B*acceptance_rate*stack_activation,power_mw*hours_per_day,capacity_mwh))</f>
        <v/>
      </c>
      <c r="L142" s="42">
        <f>IF(K142&gt;=capacity_mwh-0.01,"yes","no")</f>
        <v/>
      </c>
      <c r="M142" s="18">
        <f>IF(C142="aFRR+",(MIN(DAMAS_Daily!C142*market_share_B*acceptance_rate*stack_activation,power_mw*hours_per_day,capacity_mwh))*DAMAS_Daily!E142*activation_mult_B,(MIN(DAMAS_Daily!D142*market_share_B*acceptance_rate*stack_activation,power_mw*hours_per_day,capacity_mwh))*DAMAS_Daily!F142*activation_mult_B)</f>
        <v/>
      </c>
      <c r="N142" s="19">
        <f>F142+M142</f>
        <v/>
      </c>
    </row>
    <row r="143">
      <c r="A143" s="41">
        <f>DAMAS_Daily!A143</f>
        <v/>
      </c>
      <c r="B143" s="42">
        <f>DAMAS_Daily!B143</f>
        <v/>
      </c>
      <c r="C143" s="42">
        <f>IF((power_mw*hours_per_day*damas_afrr_up*capacity_mult_B*stack_capacity*acceptance_rate+(MIN(DAMAS_Daily!C143*market_share_B*acceptance_rate*stack_activation,power_mw*hours_per_day,capacity_mwh))*DAMAS_Daily!E143*activation_mult_B)&gt;=(power_mw*hours_per_day*damas_afrr_down*capacity_mult_B*stack_capacity*acceptance_rate+(MIN(DAMAS_Daily!D143*market_share_B*acceptance_rate*stack_activation,power_mw*hours_per_day,capacity_mwh))*DAMAS_Daily!F143*activation_mult_B),"aFRR+","aFRR-")</f>
        <v/>
      </c>
      <c r="D143" s="43">
        <f>IF(C143="aFRR+",damas_afrr_up*capacity_mult_B,damas_afrr_down*capacity_mult_B)</f>
        <v/>
      </c>
      <c r="E143" s="44">
        <f>acceptance_rate</f>
        <v/>
      </c>
      <c r="F143" s="18">
        <f>IF(C143="aFRR+",power_mw*hours_per_day*damas_afrr_up*capacity_mult_B*stack_capacity*acceptance_rate,power_mw*hours_per_day*damas_afrr_down*capacity_mult_B*stack_capacity*acceptance_rate)</f>
        <v/>
      </c>
      <c r="G143" s="42">
        <f>IF(C143="aFRR+",DAMAS_Daily!I143,DAMAS_Daily!J143)</f>
        <v/>
      </c>
      <c r="H143" s="43">
        <f>IF(C143="aFRR+",DAMAS_Daily!E143,DAMAS_Daily!F143)</f>
        <v/>
      </c>
      <c r="I143" s="43">
        <f>IF(C143="aFRR+",DAMAS_Daily!G143,DAMAS_Daily!H143)</f>
        <v/>
      </c>
      <c r="J143" s="45">
        <f>IF(C143="aFRR+",DAMAS_Daily!C143,DAMAS_Daily!D143)</f>
        <v/>
      </c>
      <c r="K143" s="45">
        <f>IF(C143="aFRR+",MIN(DAMAS_Daily!C143*market_share_B*acceptance_rate*stack_activation,power_mw*hours_per_day,capacity_mwh),MIN(DAMAS_Daily!D143*market_share_B*acceptance_rate*stack_activation,power_mw*hours_per_day,capacity_mwh))</f>
        <v/>
      </c>
      <c r="L143" s="42">
        <f>IF(K143&gt;=capacity_mwh-0.01,"yes","no")</f>
        <v/>
      </c>
      <c r="M143" s="18">
        <f>IF(C143="aFRR+",(MIN(DAMAS_Daily!C143*market_share_B*acceptance_rate*stack_activation,power_mw*hours_per_day,capacity_mwh))*DAMAS_Daily!E143*activation_mult_B,(MIN(DAMAS_Daily!D143*market_share_B*acceptance_rate*stack_activation,power_mw*hours_per_day,capacity_mwh))*DAMAS_Daily!F143*activation_mult_B)</f>
        <v/>
      </c>
      <c r="N143" s="19">
        <f>F143+M143</f>
        <v/>
      </c>
    </row>
    <row r="144">
      <c r="A144" s="41">
        <f>DAMAS_Daily!A144</f>
        <v/>
      </c>
      <c r="B144" s="42">
        <f>DAMAS_Daily!B144</f>
        <v/>
      </c>
      <c r="C144" s="42">
        <f>IF((power_mw*hours_per_day*damas_afrr_up*capacity_mult_B*stack_capacity*acceptance_rate+(MIN(DAMAS_Daily!C144*market_share_B*acceptance_rate*stack_activation,power_mw*hours_per_day,capacity_mwh))*DAMAS_Daily!E144*activation_mult_B)&gt;=(power_mw*hours_per_day*damas_afrr_down*capacity_mult_B*stack_capacity*acceptance_rate+(MIN(DAMAS_Daily!D144*market_share_B*acceptance_rate*stack_activation,power_mw*hours_per_day,capacity_mwh))*DAMAS_Daily!F144*activation_mult_B),"aFRR+","aFRR-")</f>
        <v/>
      </c>
      <c r="D144" s="43">
        <f>IF(C144="aFRR+",damas_afrr_up*capacity_mult_B,damas_afrr_down*capacity_mult_B)</f>
        <v/>
      </c>
      <c r="E144" s="44">
        <f>acceptance_rate</f>
        <v/>
      </c>
      <c r="F144" s="18">
        <f>IF(C144="aFRR+",power_mw*hours_per_day*damas_afrr_up*capacity_mult_B*stack_capacity*acceptance_rate,power_mw*hours_per_day*damas_afrr_down*capacity_mult_B*stack_capacity*acceptance_rate)</f>
        <v/>
      </c>
      <c r="G144" s="42">
        <f>IF(C144="aFRR+",DAMAS_Daily!I144,DAMAS_Daily!J144)</f>
        <v/>
      </c>
      <c r="H144" s="43">
        <f>IF(C144="aFRR+",DAMAS_Daily!E144,DAMAS_Daily!F144)</f>
        <v/>
      </c>
      <c r="I144" s="43">
        <f>IF(C144="aFRR+",DAMAS_Daily!G144,DAMAS_Daily!H144)</f>
        <v/>
      </c>
      <c r="J144" s="45">
        <f>IF(C144="aFRR+",DAMAS_Daily!C144,DAMAS_Daily!D144)</f>
        <v/>
      </c>
      <c r="K144" s="45">
        <f>IF(C144="aFRR+",MIN(DAMAS_Daily!C144*market_share_B*acceptance_rate*stack_activation,power_mw*hours_per_day,capacity_mwh),MIN(DAMAS_Daily!D144*market_share_B*acceptance_rate*stack_activation,power_mw*hours_per_day,capacity_mwh))</f>
        <v/>
      </c>
      <c r="L144" s="42">
        <f>IF(K144&gt;=capacity_mwh-0.01,"yes","no")</f>
        <v/>
      </c>
      <c r="M144" s="18">
        <f>IF(C144="aFRR+",(MIN(DAMAS_Daily!C144*market_share_B*acceptance_rate*stack_activation,power_mw*hours_per_day,capacity_mwh))*DAMAS_Daily!E144*activation_mult_B,(MIN(DAMAS_Daily!D144*market_share_B*acceptance_rate*stack_activation,power_mw*hours_per_day,capacity_mwh))*DAMAS_Daily!F144*activation_mult_B)</f>
        <v/>
      </c>
      <c r="N144" s="19">
        <f>F144+M144</f>
        <v/>
      </c>
    </row>
    <row r="145">
      <c r="A145" s="41">
        <f>DAMAS_Daily!A145</f>
        <v/>
      </c>
      <c r="B145" s="42">
        <f>DAMAS_Daily!B145</f>
        <v/>
      </c>
      <c r="C145" s="42">
        <f>IF((power_mw*hours_per_day*damas_afrr_up*capacity_mult_B*stack_capacity*acceptance_rate+(MIN(DAMAS_Daily!C145*market_share_B*acceptance_rate*stack_activation,power_mw*hours_per_day,capacity_mwh))*DAMAS_Daily!E145*activation_mult_B)&gt;=(power_mw*hours_per_day*damas_afrr_down*capacity_mult_B*stack_capacity*acceptance_rate+(MIN(DAMAS_Daily!D145*market_share_B*acceptance_rate*stack_activation,power_mw*hours_per_day,capacity_mwh))*DAMAS_Daily!F145*activation_mult_B),"aFRR+","aFRR-")</f>
        <v/>
      </c>
      <c r="D145" s="43">
        <f>IF(C145="aFRR+",damas_afrr_up*capacity_mult_B,damas_afrr_down*capacity_mult_B)</f>
        <v/>
      </c>
      <c r="E145" s="44">
        <f>acceptance_rate</f>
        <v/>
      </c>
      <c r="F145" s="18">
        <f>IF(C145="aFRR+",power_mw*hours_per_day*damas_afrr_up*capacity_mult_B*stack_capacity*acceptance_rate,power_mw*hours_per_day*damas_afrr_down*capacity_mult_B*stack_capacity*acceptance_rate)</f>
        <v/>
      </c>
      <c r="G145" s="42">
        <f>IF(C145="aFRR+",DAMAS_Daily!I145,DAMAS_Daily!J145)</f>
        <v/>
      </c>
      <c r="H145" s="43">
        <f>IF(C145="aFRR+",DAMAS_Daily!E145,DAMAS_Daily!F145)</f>
        <v/>
      </c>
      <c r="I145" s="43">
        <f>IF(C145="aFRR+",DAMAS_Daily!G145,DAMAS_Daily!H145)</f>
        <v/>
      </c>
      <c r="J145" s="45">
        <f>IF(C145="aFRR+",DAMAS_Daily!C145,DAMAS_Daily!D145)</f>
        <v/>
      </c>
      <c r="K145" s="45">
        <f>IF(C145="aFRR+",MIN(DAMAS_Daily!C145*market_share_B*acceptance_rate*stack_activation,power_mw*hours_per_day,capacity_mwh),MIN(DAMAS_Daily!D145*market_share_B*acceptance_rate*stack_activation,power_mw*hours_per_day,capacity_mwh))</f>
        <v/>
      </c>
      <c r="L145" s="42">
        <f>IF(K145&gt;=capacity_mwh-0.01,"yes","no")</f>
        <v/>
      </c>
      <c r="M145" s="18">
        <f>IF(C145="aFRR+",(MIN(DAMAS_Daily!C145*market_share_B*acceptance_rate*stack_activation,power_mw*hours_per_day,capacity_mwh))*DAMAS_Daily!E145*activation_mult_B,(MIN(DAMAS_Daily!D145*market_share_B*acceptance_rate*stack_activation,power_mw*hours_per_day,capacity_mwh))*DAMAS_Daily!F145*activation_mult_B)</f>
        <v/>
      </c>
      <c r="N145" s="19">
        <f>F145+M145</f>
        <v/>
      </c>
    </row>
    <row r="146">
      <c r="A146" s="41">
        <f>DAMAS_Daily!A146</f>
        <v/>
      </c>
      <c r="B146" s="42">
        <f>DAMAS_Daily!B146</f>
        <v/>
      </c>
      <c r="C146" s="42">
        <f>IF((power_mw*hours_per_day*damas_afrr_up*capacity_mult_B*stack_capacity*acceptance_rate+(MIN(DAMAS_Daily!C146*market_share_B*acceptance_rate*stack_activation,power_mw*hours_per_day,capacity_mwh))*DAMAS_Daily!E146*activation_mult_B)&gt;=(power_mw*hours_per_day*damas_afrr_down*capacity_mult_B*stack_capacity*acceptance_rate+(MIN(DAMAS_Daily!D146*market_share_B*acceptance_rate*stack_activation,power_mw*hours_per_day,capacity_mwh))*DAMAS_Daily!F146*activation_mult_B),"aFRR+","aFRR-")</f>
        <v/>
      </c>
      <c r="D146" s="43">
        <f>IF(C146="aFRR+",damas_afrr_up*capacity_mult_B,damas_afrr_down*capacity_mult_B)</f>
        <v/>
      </c>
      <c r="E146" s="44">
        <f>acceptance_rate</f>
        <v/>
      </c>
      <c r="F146" s="18">
        <f>IF(C146="aFRR+",power_mw*hours_per_day*damas_afrr_up*capacity_mult_B*stack_capacity*acceptance_rate,power_mw*hours_per_day*damas_afrr_down*capacity_mult_B*stack_capacity*acceptance_rate)</f>
        <v/>
      </c>
      <c r="G146" s="42">
        <f>IF(C146="aFRR+",DAMAS_Daily!I146,DAMAS_Daily!J146)</f>
        <v/>
      </c>
      <c r="H146" s="43">
        <f>IF(C146="aFRR+",DAMAS_Daily!E146,DAMAS_Daily!F146)</f>
        <v/>
      </c>
      <c r="I146" s="43">
        <f>IF(C146="aFRR+",DAMAS_Daily!G146,DAMAS_Daily!H146)</f>
        <v/>
      </c>
      <c r="J146" s="45">
        <f>IF(C146="aFRR+",DAMAS_Daily!C146,DAMAS_Daily!D146)</f>
        <v/>
      </c>
      <c r="K146" s="45">
        <f>IF(C146="aFRR+",MIN(DAMAS_Daily!C146*market_share_B*acceptance_rate*stack_activation,power_mw*hours_per_day,capacity_mwh),MIN(DAMAS_Daily!D146*market_share_B*acceptance_rate*stack_activation,power_mw*hours_per_day,capacity_mwh))</f>
        <v/>
      </c>
      <c r="L146" s="42">
        <f>IF(K146&gt;=capacity_mwh-0.01,"yes","no")</f>
        <v/>
      </c>
      <c r="M146" s="18">
        <f>IF(C146="aFRR+",(MIN(DAMAS_Daily!C146*market_share_B*acceptance_rate*stack_activation,power_mw*hours_per_day,capacity_mwh))*DAMAS_Daily!E146*activation_mult_B,(MIN(DAMAS_Daily!D146*market_share_B*acceptance_rate*stack_activation,power_mw*hours_per_day,capacity_mwh))*DAMAS_Daily!F146*activation_mult_B)</f>
        <v/>
      </c>
      <c r="N146" s="19">
        <f>F146+M146</f>
        <v/>
      </c>
    </row>
    <row r="147">
      <c r="A147" s="41">
        <f>DAMAS_Daily!A147</f>
        <v/>
      </c>
      <c r="B147" s="42">
        <f>DAMAS_Daily!B147</f>
        <v/>
      </c>
      <c r="C147" s="42">
        <f>IF((power_mw*hours_per_day*damas_afrr_up*capacity_mult_B*stack_capacity*acceptance_rate+(MIN(DAMAS_Daily!C147*market_share_B*acceptance_rate*stack_activation,power_mw*hours_per_day,capacity_mwh))*DAMAS_Daily!E147*activation_mult_B)&gt;=(power_mw*hours_per_day*damas_afrr_down*capacity_mult_B*stack_capacity*acceptance_rate+(MIN(DAMAS_Daily!D147*market_share_B*acceptance_rate*stack_activation,power_mw*hours_per_day,capacity_mwh))*DAMAS_Daily!F147*activation_mult_B),"aFRR+","aFRR-")</f>
        <v/>
      </c>
      <c r="D147" s="43">
        <f>IF(C147="aFRR+",damas_afrr_up*capacity_mult_B,damas_afrr_down*capacity_mult_B)</f>
        <v/>
      </c>
      <c r="E147" s="44">
        <f>acceptance_rate</f>
        <v/>
      </c>
      <c r="F147" s="18">
        <f>IF(C147="aFRR+",power_mw*hours_per_day*damas_afrr_up*capacity_mult_B*stack_capacity*acceptance_rate,power_mw*hours_per_day*damas_afrr_down*capacity_mult_B*stack_capacity*acceptance_rate)</f>
        <v/>
      </c>
      <c r="G147" s="42">
        <f>IF(C147="aFRR+",DAMAS_Daily!I147,DAMAS_Daily!J147)</f>
        <v/>
      </c>
      <c r="H147" s="43">
        <f>IF(C147="aFRR+",DAMAS_Daily!E147,DAMAS_Daily!F147)</f>
        <v/>
      </c>
      <c r="I147" s="43">
        <f>IF(C147="aFRR+",DAMAS_Daily!G147,DAMAS_Daily!H147)</f>
        <v/>
      </c>
      <c r="J147" s="45">
        <f>IF(C147="aFRR+",DAMAS_Daily!C147,DAMAS_Daily!D147)</f>
        <v/>
      </c>
      <c r="K147" s="45">
        <f>IF(C147="aFRR+",MIN(DAMAS_Daily!C147*market_share_B*acceptance_rate*stack_activation,power_mw*hours_per_day,capacity_mwh),MIN(DAMAS_Daily!D147*market_share_B*acceptance_rate*stack_activation,power_mw*hours_per_day,capacity_mwh))</f>
        <v/>
      </c>
      <c r="L147" s="42">
        <f>IF(K147&gt;=capacity_mwh-0.01,"yes","no")</f>
        <v/>
      </c>
      <c r="M147" s="18">
        <f>IF(C147="aFRR+",(MIN(DAMAS_Daily!C147*market_share_B*acceptance_rate*stack_activation,power_mw*hours_per_day,capacity_mwh))*DAMAS_Daily!E147*activation_mult_B,(MIN(DAMAS_Daily!D147*market_share_B*acceptance_rate*stack_activation,power_mw*hours_per_day,capacity_mwh))*DAMAS_Daily!F147*activation_mult_B)</f>
        <v/>
      </c>
      <c r="N147" s="19">
        <f>F147+M147</f>
        <v/>
      </c>
    </row>
    <row r="148">
      <c r="A148" s="41">
        <f>DAMAS_Daily!A148</f>
        <v/>
      </c>
      <c r="B148" s="42">
        <f>DAMAS_Daily!B148</f>
        <v/>
      </c>
      <c r="C148" s="42">
        <f>IF((power_mw*hours_per_day*damas_afrr_up*capacity_mult_B*stack_capacity*acceptance_rate+(MIN(DAMAS_Daily!C148*market_share_B*acceptance_rate*stack_activation,power_mw*hours_per_day,capacity_mwh))*DAMAS_Daily!E148*activation_mult_B)&gt;=(power_mw*hours_per_day*damas_afrr_down*capacity_mult_B*stack_capacity*acceptance_rate+(MIN(DAMAS_Daily!D148*market_share_B*acceptance_rate*stack_activation,power_mw*hours_per_day,capacity_mwh))*DAMAS_Daily!F148*activation_mult_B),"aFRR+","aFRR-")</f>
        <v/>
      </c>
      <c r="D148" s="43">
        <f>IF(C148="aFRR+",damas_afrr_up*capacity_mult_B,damas_afrr_down*capacity_mult_B)</f>
        <v/>
      </c>
      <c r="E148" s="44">
        <f>acceptance_rate</f>
        <v/>
      </c>
      <c r="F148" s="18">
        <f>IF(C148="aFRR+",power_mw*hours_per_day*damas_afrr_up*capacity_mult_B*stack_capacity*acceptance_rate,power_mw*hours_per_day*damas_afrr_down*capacity_mult_B*stack_capacity*acceptance_rate)</f>
        <v/>
      </c>
      <c r="G148" s="42">
        <f>IF(C148="aFRR+",DAMAS_Daily!I148,DAMAS_Daily!J148)</f>
        <v/>
      </c>
      <c r="H148" s="43">
        <f>IF(C148="aFRR+",DAMAS_Daily!E148,DAMAS_Daily!F148)</f>
        <v/>
      </c>
      <c r="I148" s="43">
        <f>IF(C148="aFRR+",DAMAS_Daily!G148,DAMAS_Daily!H148)</f>
        <v/>
      </c>
      <c r="J148" s="45">
        <f>IF(C148="aFRR+",DAMAS_Daily!C148,DAMAS_Daily!D148)</f>
        <v/>
      </c>
      <c r="K148" s="45">
        <f>IF(C148="aFRR+",MIN(DAMAS_Daily!C148*market_share_B*acceptance_rate*stack_activation,power_mw*hours_per_day,capacity_mwh),MIN(DAMAS_Daily!D148*market_share_B*acceptance_rate*stack_activation,power_mw*hours_per_day,capacity_mwh))</f>
        <v/>
      </c>
      <c r="L148" s="42">
        <f>IF(K148&gt;=capacity_mwh-0.01,"yes","no")</f>
        <v/>
      </c>
      <c r="M148" s="18">
        <f>IF(C148="aFRR+",(MIN(DAMAS_Daily!C148*market_share_B*acceptance_rate*stack_activation,power_mw*hours_per_day,capacity_mwh))*DAMAS_Daily!E148*activation_mult_B,(MIN(DAMAS_Daily!D148*market_share_B*acceptance_rate*stack_activation,power_mw*hours_per_day,capacity_mwh))*DAMAS_Daily!F148*activation_mult_B)</f>
        <v/>
      </c>
      <c r="N148" s="19">
        <f>F148+M148</f>
        <v/>
      </c>
    </row>
    <row r="149">
      <c r="A149" s="41">
        <f>DAMAS_Daily!A149</f>
        <v/>
      </c>
      <c r="B149" s="42">
        <f>DAMAS_Daily!B149</f>
        <v/>
      </c>
      <c r="C149" s="42">
        <f>IF((power_mw*hours_per_day*damas_afrr_up*capacity_mult_B*stack_capacity*acceptance_rate+(MIN(DAMAS_Daily!C149*market_share_B*acceptance_rate*stack_activation,power_mw*hours_per_day,capacity_mwh))*DAMAS_Daily!E149*activation_mult_B)&gt;=(power_mw*hours_per_day*damas_afrr_down*capacity_mult_B*stack_capacity*acceptance_rate+(MIN(DAMAS_Daily!D149*market_share_B*acceptance_rate*stack_activation,power_mw*hours_per_day,capacity_mwh))*DAMAS_Daily!F149*activation_mult_B),"aFRR+","aFRR-")</f>
        <v/>
      </c>
      <c r="D149" s="43">
        <f>IF(C149="aFRR+",damas_afrr_up*capacity_mult_B,damas_afrr_down*capacity_mult_B)</f>
        <v/>
      </c>
      <c r="E149" s="44">
        <f>acceptance_rate</f>
        <v/>
      </c>
      <c r="F149" s="18">
        <f>IF(C149="aFRR+",power_mw*hours_per_day*damas_afrr_up*capacity_mult_B*stack_capacity*acceptance_rate,power_mw*hours_per_day*damas_afrr_down*capacity_mult_B*stack_capacity*acceptance_rate)</f>
        <v/>
      </c>
      <c r="G149" s="42">
        <f>IF(C149="aFRR+",DAMAS_Daily!I149,DAMAS_Daily!J149)</f>
        <v/>
      </c>
      <c r="H149" s="43">
        <f>IF(C149="aFRR+",DAMAS_Daily!E149,DAMAS_Daily!F149)</f>
        <v/>
      </c>
      <c r="I149" s="43">
        <f>IF(C149="aFRR+",DAMAS_Daily!G149,DAMAS_Daily!H149)</f>
        <v/>
      </c>
      <c r="J149" s="45">
        <f>IF(C149="aFRR+",DAMAS_Daily!C149,DAMAS_Daily!D149)</f>
        <v/>
      </c>
      <c r="K149" s="45">
        <f>IF(C149="aFRR+",MIN(DAMAS_Daily!C149*market_share_B*acceptance_rate*stack_activation,power_mw*hours_per_day,capacity_mwh),MIN(DAMAS_Daily!D149*market_share_B*acceptance_rate*stack_activation,power_mw*hours_per_day,capacity_mwh))</f>
        <v/>
      </c>
      <c r="L149" s="42">
        <f>IF(K149&gt;=capacity_mwh-0.01,"yes","no")</f>
        <v/>
      </c>
      <c r="M149" s="18">
        <f>IF(C149="aFRR+",(MIN(DAMAS_Daily!C149*market_share_B*acceptance_rate*stack_activation,power_mw*hours_per_day,capacity_mwh))*DAMAS_Daily!E149*activation_mult_B,(MIN(DAMAS_Daily!D149*market_share_B*acceptance_rate*stack_activation,power_mw*hours_per_day,capacity_mwh))*DAMAS_Daily!F149*activation_mult_B)</f>
        <v/>
      </c>
      <c r="N149" s="19">
        <f>F149+M149</f>
        <v/>
      </c>
    </row>
    <row r="150">
      <c r="A150" s="41">
        <f>DAMAS_Daily!A150</f>
        <v/>
      </c>
      <c r="B150" s="42">
        <f>DAMAS_Daily!B150</f>
        <v/>
      </c>
      <c r="C150" s="42">
        <f>IF((power_mw*hours_per_day*damas_afrr_up*capacity_mult_B*stack_capacity*acceptance_rate+(MIN(DAMAS_Daily!C150*market_share_B*acceptance_rate*stack_activation,power_mw*hours_per_day,capacity_mwh))*DAMAS_Daily!E150*activation_mult_B)&gt;=(power_mw*hours_per_day*damas_afrr_down*capacity_mult_B*stack_capacity*acceptance_rate+(MIN(DAMAS_Daily!D150*market_share_B*acceptance_rate*stack_activation,power_mw*hours_per_day,capacity_mwh))*DAMAS_Daily!F150*activation_mult_B),"aFRR+","aFRR-")</f>
        <v/>
      </c>
      <c r="D150" s="43">
        <f>IF(C150="aFRR+",damas_afrr_up*capacity_mult_B,damas_afrr_down*capacity_mult_B)</f>
        <v/>
      </c>
      <c r="E150" s="44">
        <f>acceptance_rate</f>
        <v/>
      </c>
      <c r="F150" s="18">
        <f>IF(C150="aFRR+",power_mw*hours_per_day*damas_afrr_up*capacity_mult_B*stack_capacity*acceptance_rate,power_mw*hours_per_day*damas_afrr_down*capacity_mult_B*stack_capacity*acceptance_rate)</f>
        <v/>
      </c>
      <c r="G150" s="42">
        <f>IF(C150="aFRR+",DAMAS_Daily!I150,DAMAS_Daily!J150)</f>
        <v/>
      </c>
      <c r="H150" s="43">
        <f>IF(C150="aFRR+",DAMAS_Daily!E150,DAMAS_Daily!F150)</f>
        <v/>
      </c>
      <c r="I150" s="43">
        <f>IF(C150="aFRR+",DAMAS_Daily!G150,DAMAS_Daily!H150)</f>
        <v/>
      </c>
      <c r="J150" s="45">
        <f>IF(C150="aFRR+",DAMAS_Daily!C150,DAMAS_Daily!D150)</f>
        <v/>
      </c>
      <c r="K150" s="45">
        <f>IF(C150="aFRR+",MIN(DAMAS_Daily!C150*market_share_B*acceptance_rate*stack_activation,power_mw*hours_per_day,capacity_mwh),MIN(DAMAS_Daily!D150*market_share_B*acceptance_rate*stack_activation,power_mw*hours_per_day,capacity_mwh))</f>
        <v/>
      </c>
      <c r="L150" s="42">
        <f>IF(K150&gt;=capacity_mwh-0.01,"yes","no")</f>
        <v/>
      </c>
      <c r="M150" s="18">
        <f>IF(C150="aFRR+",(MIN(DAMAS_Daily!C150*market_share_B*acceptance_rate*stack_activation,power_mw*hours_per_day,capacity_mwh))*DAMAS_Daily!E150*activation_mult_B,(MIN(DAMAS_Daily!D150*market_share_B*acceptance_rate*stack_activation,power_mw*hours_per_day,capacity_mwh))*DAMAS_Daily!F150*activation_mult_B)</f>
        <v/>
      </c>
      <c r="N150" s="19">
        <f>F150+M150</f>
        <v/>
      </c>
    </row>
    <row r="151">
      <c r="A151" s="41">
        <f>DAMAS_Daily!A151</f>
        <v/>
      </c>
      <c r="B151" s="42">
        <f>DAMAS_Daily!B151</f>
        <v/>
      </c>
      <c r="C151" s="42">
        <f>IF((power_mw*hours_per_day*damas_afrr_up*capacity_mult_B*stack_capacity*acceptance_rate+(MIN(DAMAS_Daily!C151*market_share_B*acceptance_rate*stack_activation,power_mw*hours_per_day,capacity_mwh))*DAMAS_Daily!E151*activation_mult_B)&gt;=(power_mw*hours_per_day*damas_afrr_down*capacity_mult_B*stack_capacity*acceptance_rate+(MIN(DAMAS_Daily!D151*market_share_B*acceptance_rate*stack_activation,power_mw*hours_per_day,capacity_mwh))*DAMAS_Daily!F151*activation_mult_B),"aFRR+","aFRR-")</f>
        <v/>
      </c>
      <c r="D151" s="43">
        <f>IF(C151="aFRR+",damas_afrr_up*capacity_mult_B,damas_afrr_down*capacity_mult_B)</f>
        <v/>
      </c>
      <c r="E151" s="44">
        <f>acceptance_rate</f>
        <v/>
      </c>
      <c r="F151" s="18">
        <f>IF(C151="aFRR+",power_mw*hours_per_day*damas_afrr_up*capacity_mult_B*stack_capacity*acceptance_rate,power_mw*hours_per_day*damas_afrr_down*capacity_mult_B*stack_capacity*acceptance_rate)</f>
        <v/>
      </c>
      <c r="G151" s="42">
        <f>IF(C151="aFRR+",DAMAS_Daily!I151,DAMAS_Daily!J151)</f>
        <v/>
      </c>
      <c r="H151" s="43">
        <f>IF(C151="aFRR+",DAMAS_Daily!E151,DAMAS_Daily!F151)</f>
        <v/>
      </c>
      <c r="I151" s="43">
        <f>IF(C151="aFRR+",DAMAS_Daily!G151,DAMAS_Daily!H151)</f>
        <v/>
      </c>
      <c r="J151" s="45">
        <f>IF(C151="aFRR+",DAMAS_Daily!C151,DAMAS_Daily!D151)</f>
        <v/>
      </c>
      <c r="K151" s="45">
        <f>IF(C151="aFRR+",MIN(DAMAS_Daily!C151*market_share_B*acceptance_rate*stack_activation,power_mw*hours_per_day,capacity_mwh),MIN(DAMAS_Daily!D151*market_share_B*acceptance_rate*stack_activation,power_mw*hours_per_day,capacity_mwh))</f>
        <v/>
      </c>
      <c r="L151" s="42">
        <f>IF(K151&gt;=capacity_mwh-0.01,"yes","no")</f>
        <v/>
      </c>
      <c r="M151" s="18">
        <f>IF(C151="aFRR+",(MIN(DAMAS_Daily!C151*market_share_B*acceptance_rate*stack_activation,power_mw*hours_per_day,capacity_mwh))*DAMAS_Daily!E151*activation_mult_B,(MIN(DAMAS_Daily!D151*market_share_B*acceptance_rate*stack_activation,power_mw*hours_per_day,capacity_mwh))*DAMAS_Daily!F151*activation_mult_B)</f>
        <v/>
      </c>
      <c r="N151" s="19">
        <f>F151+M151</f>
        <v/>
      </c>
    </row>
    <row r="152">
      <c r="A152" s="41">
        <f>DAMAS_Daily!A152</f>
        <v/>
      </c>
      <c r="B152" s="42">
        <f>DAMAS_Daily!B152</f>
        <v/>
      </c>
      <c r="C152" s="42">
        <f>IF((power_mw*hours_per_day*damas_afrr_up*capacity_mult_B*stack_capacity*acceptance_rate+(MIN(DAMAS_Daily!C152*market_share_B*acceptance_rate*stack_activation,power_mw*hours_per_day,capacity_mwh))*DAMAS_Daily!E152*activation_mult_B)&gt;=(power_mw*hours_per_day*damas_afrr_down*capacity_mult_B*stack_capacity*acceptance_rate+(MIN(DAMAS_Daily!D152*market_share_B*acceptance_rate*stack_activation,power_mw*hours_per_day,capacity_mwh))*DAMAS_Daily!F152*activation_mult_B),"aFRR+","aFRR-")</f>
        <v/>
      </c>
      <c r="D152" s="43">
        <f>IF(C152="aFRR+",damas_afrr_up*capacity_mult_B,damas_afrr_down*capacity_mult_B)</f>
        <v/>
      </c>
      <c r="E152" s="44">
        <f>acceptance_rate</f>
        <v/>
      </c>
      <c r="F152" s="18">
        <f>IF(C152="aFRR+",power_mw*hours_per_day*damas_afrr_up*capacity_mult_B*stack_capacity*acceptance_rate,power_mw*hours_per_day*damas_afrr_down*capacity_mult_B*stack_capacity*acceptance_rate)</f>
        <v/>
      </c>
      <c r="G152" s="42">
        <f>IF(C152="aFRR+",DAMAS_Daily!I152,DAMAS_Daily!J152)</f>
        <v/>
      </c>
      <c r="H152" s="43">
        <f>IF(C152="aFRR+",DAMAS_Daily!E152,DAMAS_Daily!F152)</f>
        <v/>
      </c>
      <c r="I152" s="43">
        <f>IF(C152="aFRR+",DAMAS_Daily!G152,DAMAS_Daily!H152)</f>
        <v/>
      </c>
      <c r="J152" s="45">
        <f>IF(C152="aFRR+",DAMAS_Daily!C152,DAMAS_Daily!D152)</f>
        <v/>
      </c>
      <c r="K152" s="45">
        <f>IF(C152="aFRR+",MIN(DAMAS_Daily!C152*market_share_B*acceptance_rate*stack_activation,power_mw*hours_per_day,capacity_mwh),MIN(DAMAS_Daily!D152*market_share_B*acceptance_rate*stack_activation,power_mw*hours_per_day,capacity_mwh))</f>
        <v/>
      </c>
      <c r="L152" s="42">
        <f>IF(K152&gt;=capacity_mwh-0.01,"yes","no")</f>
        <v/>
      </c>
      <c r="M152" s="18">
        <f>IF(C152="aFRR+",(MIN(DAMAS_Daily!C152*market_share_B*acceptance_rate*stack_activation,power_mw*hours_per_day,capacity_mwh))*DAMAS_Daily!E152*activation_mult_B,(MIN(DAMAS_Daily!D152*market_share_B*acceptance_rate*stack_activation,power_mw*hours_per_day,capacity_mwh))*DAMAS_Daily!F152*activation_mult_B)</f>
        <v/>
      </c>
      <c r="N152" s="19">
        <f>F152+M152</f>
        <v/>
      </c>
    </row>
    <row r="153">
      <c r="A153" s="41">
        <f>DAMAS_Daily!A153</f>
        <v/>
      </c>
      <c r="B153" s="42">
        <f>DAMAS_Daily!B153</f>
        <v/>
      </c>
      <c r="C153" s="42">
        <f>IF((power_mw*hours_per_day*damas_afrr_up*capacity_mult_B*stack_capacity*acceptance_rate+(MIN(DAMAS_Daily!C153*market_share_B*acceptance_rate*stack_activation,power_mw*hours_per_day,capacity_mwh))*DAMAS_Daily!E153*activation_mult_B)&gt;=(power_mw*hours_per_day*damas_afrr_down*capacity_mult_B*stack_capacity*acceptance_rate+(MIN(DAMAS_Daily!D153*market_share_B*acceptance_rate*stack_activation,power_mw*hours_per_day,capacity_mwh))*DAMAS_Daily!F153*activation_mult_B),"aFRR+","aFRR-")</f>
        <v/>
      </c>
      <c r="D153" s="43">
        <f>IF(C153="aFRR+",damas_afrr_up*capacity_mult_B,damas_afrr_down*capacity_mult_B)</f>
        <v/>
      </c>
      <c r="E153" s="44">
        <f>acceptance_rate</f>
        <v/>
      </c>
      <c r="F153" s="18">
        <f>IF(C153="aFRR+",power_mw*hours_per_day*damas_afrr_up*capacity_mult_B*stack_capacity*acceptance_rate,power_mw*hours_per_day*damas_afrr_down*capacity_mult_B*stack_capacity*acceptance_rate)</f>
        <v/>
      </c>
      <c r="G153" s="42">
        <f>IF(C153="aFRR+",DAMAS_Daily!I153,DAMAS_Daily!J153)</f>
        <v/>
      </c>
      <c r="H153" s="43">
        <f>IF(C153="aFRR+",DAMAS_Daily!E153,DAMAS_Daily!F153)</f>
        <v/>
      </c>
      <c r="I153" s="43">
        <f>IF(C153="aFRR+",DAMAS_Daily!G153,DAMAS_Daily!H153)</f>
        <v/>
      </c>
      <c r="J153" s="45">
        <f>IF(C153="aFRR+",DAMAS_Daily!C153,DAMAS_Daily!D153)</f>
        <v/>
      </c>
      <c r="K153" s="45">
        <f>IF(C153="aFRR+",MIN(DAMAS_Daily!C153*market_share_B*acceptance_rate*stack_activation,power_mw*hours_per_day,capacity_mwh),MIN(DAMAS_Daily!D153*market_share_B*acceptance_rate*stack_activation,power_mw*hours_per_day,capacity_mwh))</f>
        <v/>
      </c>
      <c r="L153" s="42">
        <f>IF(K153&gt;=capacity_mwh-0.01,"yes","no")</f>
        <v/>
      </c>
      <c r="M153" s="18">
        <f>IF(C153="aFRR+",(MIN(DAMAS_Daily!C153*market_share_B*acceptance_rate*stack_activation,power_mw*hours_per_day,capacity_mwh))*DAMAS_Daily!E153*activation_mult_B,(MIN(DAMAS_Daily!D153*market_share_B*acceptance_rate*stack_activation,power_mw*hours_per_day,capacity_mwh))*DAMAS_Daily!F153*activation_mult_B)</f>
        <v/>
      </c>
      <c r="N153" s="19">
        <f>F153+M153</f>
        <v/>
      </c>
    </row>
    <row r="154">
      <c r="A154" s="41">
        <f>DAMAS_Daily!A154</f>
        <v/>
      </c>
      <c r="B154" s="42">
        <f>DAMAS_Daily!B154</f>
        <v/>
      </c>
      <c r="C154" s="42">
        <f>IF((power_mw*hours_per_day*damas_afrr_up*capacity_mult_B*stack_capacity*acceptance_rate+(MIN(DAMAS_Daily!C154*market_share_B*acceptance_rate*stack_activation,power_mw*hours_per_day,capacity_mwh))*DAMAS_Daily!E154*activation_mult_B)&gt;=(power_mw*hours_per_day*damas_afrr_down*capacity_mult_B*stack_capacity*acceptance_rate+(MIN(DAMAS_Daily!D154*market_share_B*acceptance_rate*stack_activation,power_mw*hours_per_day,capacity_mwh))*DAMAS_Daily!F154*activation_mult_B),"aFRR+","aFRR-")</f>
        <v/>
      </c>
      <c r="D154" s="43">
        <f>IF(C154="aFRR+",damas_afrr_up*capacity_mult_B,damas_afrr_down*capacity_mult_B)</f>
        <v/>
      </c>
      <c r="E154" s="44">
        <f>acceptance_rate</f>
        <v/>
      </c>
      <c r="F154" s="18">
        <f>IF(C154="aFRR+",power_mw*hours_per_day*damas_afrr_up*capacity_mult_B*stack_capacity*acceptance_rate,power_mw*hours_per_day*damas_afrr_down*capacity_mult_B*stack_capacity*acceptance_rate)</f>
        <v/>
      </c>
      <c r="G154" s="42">
        <f>IF(C154="aFRR+",DAMAS_Daily!I154,DAMAS_Daily!J154)</f>
        <v/>
      </c>
      <c r="H154" s="43">
        <f>IF(C154="aFRR+",DAMAS_Daily!E154,DAMAS_Daily!F154)</f>
        <v/>
      </c>
      <c r="I154" s="43">
        <f>IF(C154="aFRR+",DAMAS_Daily!G154,DAMAS_Daily!H154)</f>
        <v/>
      </c>
      <c r="J154" s="45">
        <f>IF(C154="aFRR+",DAMAS_Daily!C154,DAMAS_Daily!D154)</f>
        <v/>
      </c>
      <c r="K154" s="45">
        <f>IF(C154="aFRR+",MIN(DAMAS_Daily!C154*market_share_B*acceptance_rate*stack_activation,power_mw*hours_per_day,capacity_mwh),MIN(DAMAS_Daily!D154*market_share_B*acceptance_rate*stack_activation,power_mw*hours_per_day,capacity_mwh))</f>
        <v/>
      </c>
      <c r="L154" s="42">
        <f>IF(K154&gt;=capacity_mwh-0.01,"yes","no")</f>
        <v/>
      </c>
      <c r="M154" s="18">
        <f>IF(C154="aFRR+",(MIN(DAMAS_Daily!C154*market_share_B*acceptance_rate*stack_activation,power_mw*hours_per_day,capacity_mwh))*DAMAS_Daily!E154*activation_mult_B,(MIN(DAMAS_Daily!D154*market_share_B*acceptance_rate*stack_activation,power_mw*hours_per_day,capacity_mwh))*DAMAS_Daily!F154*activation_mult_B)</f>
        <v/>
      </c>
      <c r="N154" s="19">
        <f>F154+M154</f>
        <v/>
      </c>
    </row>
    <row r="155">
      <c r="A155" s="41">
        <f>DAMAS_Daily!A155</f>
        <v/>
      </c>
      <c r="B155" s="42">
        <f>DAMAS_Daily!B155</f>
        <v/>
      </c>
      <c r="C155" s="42">
        <f>IF((power_mw*hours_per_day*damas_afrr_up*capacity_mult_B*stack_capacity*acceptance_rate+(MIN(DAMAS_Daily!C155*market_share_B*acceptance_rate*stack_activation,power_mw*hours_per_day,capacity_mwh))*DAMAS_Daily!E155*activation_mult_B)&gt;=(power_mw*hours_per_day*damas_afrr_down*capacity_mult_B*stack_capacity*acceptance_rate+(MIN(DAMAS_Daily!D155*market_share_B*acceptance_rate*stack_activation,power_mw*hours_per_day,capacity_mwh))*DAMAS_Daily!F155*activation_mult_B),"aFRR+","aFRR-")</f>
        <v/>
      </c>
      <c r="D155" s="43">
        <f>IF(C155="aFRR+",damas_afrr_up*capacity_mult_B,damas_afrr_down*capacity_mult_B)</f>
        <v/>
      </c>
      <c r="E155" s="44">
        <f>acceptance_rate</f>
        <v/>
      </c>
      <c r="F155" s="18">
        <f>IF(C155="aFRR+",power_mw*hours_per_day*damas_afrr_up*capacity_mult_B*stack_capacity*acceptance_rate,power_mw*hours_per_day*damas_afrr_down*capacity_mult_B*stack_capacity*acceptance_rate)</f>
        <v/>
      </c>
      <c r="G155" s="42">
        <f>IF(C155="aFRR+",DAMAS_Daily!I155,DAMAS_Daily!J155)</f>
        <v/>
      </c>
      <c r="H155" s="43">
        <f>IF(C155="aFRR+",DAMAS_Daily!E155,DAMAS_Daily!F155)</f>
        <v/>
      </c>
      <c r="I155" s="43">
        <f>IF(C155="aFRR+",DAMAS_Daily!G155,DAMAS_Daily!H155)</f>
        <v/>
      </c>
      <c r="J155" s="45">
        <f>IF(C155="aFRR+",DAMAS_Daily!C155,DAMAS_Daily!D155)</f>
        <v/>
      </c>
      <c r="K155" s="45">
        <f>IF(C155="aFRR+",MIN(DAMAS_Daily!C155*market_share_B*acceptance_rate*stack_activation,power_mw*hours_per_day,capacity_mwh),MIN(DAMAS_Daily!D155*market_share_B*acceptance_rate*stack_activation,power_mw*hours_per_day,capacity_mwh))</f>
        <v/>
      </c>
      <c r="L155" s="42">
        <f>IF(K155&gt;=capacity_mwh-0.01,"yes","no")</f>
        <v/>
      </c>
      <c r="M155" s="18">
        <f>IF(C155="aFRR+",(MIN(DAMAS_Daily!C155*market_share_B*acceptance_rate*stack_activation,power_mw*hours_per_day,capacity_mwh))*DAMAS_Daily!E155*activation_mult_B,(MIN(DAMAS_Daily!D155*market_share_B*acceptance_rate*stack_activation,power_mw*hours_per_day,capacity_mwh))*DAMAS_Daily!F155*activation_mult_B)</f>
        <v/>
      </c>
      <c r="N155" s="19">
        <f>F155+M155</f>
        <v/>
      </c>
    </row>
    <row r="156">
      <c r="A156" s="41">
        <f>DAMAS_Daily!A156</f>
        <v/>
      </c>
      <c r="B156" s="42">
        <f>DAMAS_Daily!B156</f>
        <v/>
      </c>
      <c r="C156" s="42">
        <f>IF((power_mw*hours_per_day*damas_afrr_up*capacity_mult_B*stack_capacity*acceptance_rate+(MIN(DAMAS_Daily!C156*market_share_B*acceptance_rate*stack_activation,power_mw*hours_per_day,capacity_mwh))*DAMAS_Daily!E156*activation_mult_B)&gt;=(power_mw*hours_per_day*damas_afrr_down*capacity_mult_B*stack_capacity*acceptance_rate+(MIN(DAMAS_Daily!D156*market_share_B*acceptance_rate*stack_activation,power_mw*hours_per_day,capacity_mwh))*DAMAS_Daily!F156*activation_mult_B),"aFRR+","aFRR-")</f>
        <v/>
      </c>
      <c r="D156" s="43">
        <f>IF(C156="aFRR+",damas_afrr_up*capacity_mult_B,damas_afrr_down*capacity_mult_B)</f>
        <v/>
      </c>
      <c r="E156" s="44">
        <f>acceptance_rate</f>
        <v/>
      </c>
      <c r="F156" s="18">
        <f>IF(C156="aFRR+",power_mw*hours_per_day*damas_afrr_up*capacity_mult_B*stack_capacity*acceptance_rate,power_mw*hours_per_day*damas_afrr_down*capacity_mult_B*stack_capacity*acceptance_rate)</f>
        <v/>
      </c>
      <c r="G156" s="42">
        <f>IF(C156="aFRR+",DAMAS_Daily!I156,DAMAS_Daily!J156)</f>
        <v/>
      </c>
      <c r="H156" s="43">
        <f>IF(C156="aFRR+",DAMAS_Daily!E156,DAMAS_Daily!F156)</f>
        <v/>
      </c>
      <c r="I156" s="43">
        <f>IF(C156="aFRR+",DAMAS_Daily!G156,DAMAS_Daily!H156)</f>
        <v/>
      </c>
      <c r="J156" s="45">
        <f>IF(C156="aFRR+",DAMAS_Daily!C156,DAMAS_Daily!D156)</f>
        <v/>
      </c>
      <c r="K156" s="45">
        <f>IF(C156="aFRR+",MIN(DAMAS_Daily!C156*market_share_B*acceptance_rate*stack_activation,power_mw*hours_per_day,capacity_mwh),MIN(DAMAS_Daily!D156*market_share_B*acceptance_rate*stack_activation,power_mw*hours_per_day,capacity_mwh))</f>
        <v/>
      </c>
      <c r="L156" s="42">
        <f>IF(K156&gt;=capacity_mwh-0.01,"yes","no")</f>
        <v/>
      </c>
      <c r="M156" s="18">
        <f>IF(C156="aFRR+",(MIN(DAMAS_Daily!C156*market_share_B*acceptance_rate*stack_activation,power_mw*hours_per_day,capacity_mwh))*DAMAS_Daily!E156*activation_mult_B,(MIN(DAMAS_Daily!D156*market_share_B*acceptance_rate*stack_activation,power_mw*hours_per_day,capacity_mwh))*DAMAS_Daily!F156*activation_mult_B)</f>
        <v/>
      </c>
      <c r="N156" s="19">
        <f>F156+M156</f>
        <v/>
      </c>
    </row>
    <row r="157">
      <c r="A157" s="41">
        <f>DAMAS_Daily!A157</f>
        <v/>
      </c>
      <c r="B157" s="42">
        <f>DAMAS_Daily!B157</f>
        <v/>
      </c>
      <c r="C157" s="42">
        <f>IF((power_mw*hours_per_day*damas_afrr_up*capacity_mult_B*stack_capacity*acceptance_rate+(MIN(DAMAS_Daily!C157*market_share_B*acceptance_rate*stack_activation,power_mw*hours_per_day,capacity_mwh))*DAMAS_Daily!E157*activation_mult_B)&gt;=(power_mw*hours_per_day*damas_afrr_down*capacity_mult_B*stack_capacity*acceptance_rate+(MIN(DAMAS_Daily!D157*market_share_B*acceptance_rate*stack_activation,power_mw*hours_per_day,capacity_mwh))*DAMAS_Daily!F157*activation_mult_B),"aFRR+","aFRR-")</f>
        <v/>
      </c>
      <c r="D157" s="43">
        <f>IF(C157="aFRR+",damas_afrr_up*capacity_mult_B,damas_afrr_down*capacity_mult_B)</f>
        <v/>
      </c>
      <c r="E157" s="44">
        <f>acceptance_rate</f>
        <v/>
      </c>
      <c r="F157" s="18">
        <f>IF(C157="aFRR+",power_mw*hours_per_day*damas_afrr_up*capacity_mult_B*stack_capacity*acceptance_rate,power_mw*hours_per_day*damas_afrr_down*capacity_mult_B*stack_capacity*acceptance_rate)</f>
        <v/>
      </c>
      <c r="G157" s="42">
        <f>IF(C157="aFRR+",DAMAS_Daily!I157,DAMAS_Daily!J157)</f>
        <v/>
      </c>
      <c r="H157" s="43">
        <f>IF(C157="aFRR+",DAMAS_Daily!E157,DAMAS_Daily!F157)</f>
        <v/>
      </c>
      <c r="I157" s="43">
        <f>IF(C157="aFRR+",DAMAS_Daily!G157,DAMAS_Daily!H157)</f>
        <v/>
      </c>
      <c r="J157" s="45">
        <f>IF(C157="aFRR+",DAMAS_Daily!C157,DAMAS_Daily!D157)</f>
        <v/>
      </c>
      <c r="K157" s="45">
        <f>IF(C157="aFRR+",MIN(DAMAS_Daily!C157*market_share_B*acceptance_rate*stack_activation,power_mw*hours_per_day,capacity_mwh),MIN(DAMAS_Daily!D157*market_share_B*acceptance_rate*stack_activation,power_mw*hours_per_day,capacity_mwh))</f>
        <v/>
      </c>
      <c r="L157" s="42">
        <f>IF(K157&gt;=capacity_mwh-0.01,"yes","no")</f>
        <v/>
      </c>
      <c r="M157" s="18">
        <f>IF(C157="aFRR+",(MIN(DAMAS_Daily!C157*market_share_B*acceptance_rate*stack_activation,power_mw*hours_per_day,capacity_mwh))*DAMAS_Daily!E157*activation_mult_B,(MIN(DAMAS_Daily!D157*market_share_B*acceptance_rate*stack_activation,power_mw*hours_per_day,capacity_mwh))*DAMAS_Daily!F157*activation_mult_B)</f>
        <v/>
      </c>
      <c r="N157" s="19">
        <f>F157+M157</f>
        <v/>
      </c>
    </row>
    <row r="158">
      <c r="A158" s="41">
        <f>DAMAS_Daily!A158</f>
        <v/>
      </c>
      <c r="B158" s="42">
        <f>DAMAS_Daily!B158</f>
        <v/>
      </c>
      <c r="C158" s="42">
        <f>IF((power_mw*hours_per_day*damas_afrr_up*capacity_mult_B*stack_capacity*acceptance_rate+(MIN(DAMAS_Daily!C158*market_share_B*acceptance_rate*stack_activation,power_mw*hours_per_day,capacity_mwh))*DAMAS_Daily!E158*activation_mult_B)&gt;=(power_mw*hours_per_day*damas_afrr_down*capacity_mult_B*stack_capacity*acceptance_rate+(MIN(DAMAS_Daily!D158*market_share_B*acceptance_rate*stack_activation,power_mw*hours_per_day,capacity_mwh))*DAMAS_Daily!F158*activation_mult_B),"aFRR+","aFRR-")</f>
        <v/>
      </c>
      <c r="D158" s="43">
        <f>IF(C158="aFRR+",damas_afrr_up*capacity_mult_B,damas_afrr_down*capacity_mult_B)</f>
        <v/>
      </c>
      <c r="E158" s="44">
        <f>acceptance_rate</f>
        <v/>
      </c>
      <c r="F158" s="18">
        <f>IF(C158="aFRR+",power_mw*hours_per_day*damas_afrr_up*capacity_mult_B*stack_capacity*acceptance_rate,power_mw*hours_per_day*damas_afrr_down*capacity_mult_B*stack_capacity*acceptance_rate)</f>
        <v/>
      </c>
      <c r="G158" s="42">
        <f>IF(C158="aFRR+",DAMAS_Daily!I158,DAMAS_Daily!J158)</f>
        <v/>
      </c>
      <c r="H158" s="43">
        <f>IF(C158="aFRR+",DAMAS_Daily!E158,DAMAS_Daily!F158)</f>
        <v/>
      </c>
      <c r="I158" s="43">
        <f>IF(C158="aFRR+",DAMAS_Daily!G158,DAMAS_Daily!H158)</f>
        <v/>
      </c>
      <c r="J158" s="45">
        <f>IF(C158="aFRR+",DAMAS_Daily!C158,DAMAS_Daily!D158)</f>
        <v/>
      </c>
      <c r="K158" s="45">
        <f>IF(C158="aFRR+",MIN(DAMAS_Daily!C158*market_share_B*acceptance_rate*stack_activation,power_mw*hours_per_day,capacity_mwh),MIN(DAMAS_Daily!D158*market_share_B*acceptance_rate*stack_activation,power_mw*hours_per_day,capacity_mwh))</f>
        <v/>
      </c>
      <c r="L158" s="42">
        <f>IF(K158&gt;=capacity_mwh-0.01,"yes","no")</f>
        <v/>
      </c>
      <c r="M158" s="18">
        <f>IF(C158="aFRR+",(MIN(DAMAS_Daily!C158*market_share_B*acceptance_rate*stack_activation,power_mw*hours_per_day,capacity_mwh))*DAMAS_Daily!E158*activation_mult_B,(MIN(DAMAS_Daily!D158*market_share_B*acceptance_rate*stack_activation,power_mw*hours_per_day,capacity_mwh))*DAMAS_Daily!F158*activation_mult_B)</f>
        <v/>
      </c>
      <c r="N158" s="19">
        <f>F158+M158</f>
        <v/>
      </c>
    </row>
    <row r="159">
      <c r="A159" s="41">
        <f>DAMAS_Daily!A159</f>
        <v/>
      </c>
      <c r="B159" s="42">
        <f>DAMAS_Daily!B159</f>
        <v/>
      </c>
      <c r="C159" s="42">
        <f>IF((power_mw*hours_per_day*damas_afrr_up*capacity_mult_B*stack_capacity*acceptance_rate+(MIN(DAMAS_Daily!C159*market_share_B*acceptance_rate*stack_activation,power_mw*hours_per_day,capacity_mwh))*DAMAS_Daily!E159*activation_mult_B)&gt;=(power_mw*hours_per_day*damas_afrr_down*capacity_mult_B*stack_capacity*acceptance_rate+(MIN(DAMAS_Daily!D159*market_share_B*acceptance_rate*stack_activation,power_mw*hours_per_day,capacity_mwh))*DAMAS_Daily!F159*activation_mult_B),"aFRR+","aFRR-")</f>
        <v/>
      </c>
      <c r="D159" s="43">
        <f>IF(C159="aFRR+",damas_afrr_up*capacity_mult_B,damas_afrr_down*capacity_mult_B)</f>
        <v/>
      </c>
      <c r="E159" s="44">
        <f>acceptance_rate</f>
        <v/>
      </c>
      <c r="F159" s="18">
        <f>IF(C159="aFRR+",power_mw*hours_per_day*damas_afrr_up*capacity_mult_B*stack_capacity*acceptance_rate,power_mw*hours_per_day*damas_afrr_down*capacity_mult_B*stack_capacity*acceptance_rate)</f>
        <v/>
      </c>
      <c r="G159" s="42">
        <f>IF(C159="aFRR+",DAMAS_Daily!I159,DAMAS_Daily!J159)</f>
        <v/>
      </c>
      <c r="H159" s="43">
        <f>IF(C159="aFRR+",DAMAS_Daily!E159,DAMAS_Daily!F159)</f>
        <v/>
      </c>
      <c r="I159" s="43">
        <f>IF(C159="aFRR+",DAMAS_Daily!G159,DAMAS_Daily!H159)</f>
        <v/>
      </c>
      <c r="J159" s="45">
        <f>IF(C159="aFRR+",DAMAS_Daily!C159,DAMAS_Daily!D159)</f>
        <v/>
      </c>
      <c r="K159" s="45">
        <f>IF(C159="aFRR+",MIN(DAMAS_Daily!C159*market_share_B*acceptance_rate*stack_activation,power_mw*hours_per_day,capacity_mwh),MIN(DAMAS_Daily!D159*market_share_B*acceptance_rate*stack_activation,power_mw*hours_per_day,capacity_mwh))</f>
        <v/>
      </c>
      <c r="L159" s="42">
        <f>IF(K159&gt;=capacity_mwh-0.01,"yes","no")</f>
        <v/>
      </c>
      <c r="M159" s="18">
        <f>IF(C159="aFRR+",(MIN(DAMAS_Daily!C159*market_share_B*acceptance_rate*stack_activation,power_mw*hours_per_day,capacity_mwh))*DAMAS_Daily!E159*activation_mult_B,(MIN(DAMAS_Daily!D159*market_share_B*acceptance_rate*stack_activation,power_mw*hours_per_day,capacity_mwh))*DAMAS_Daily!F159*activation_mult_B)</f>
        <v/>
      </c>
      <c r="N159" s="19">
        <f>F159+M159</f>
        <v/>
      </c>
    </row>
    <row r="160">
      <c r="A160" s="41">
        <f>DAMAS_Daily!A160</f>
        <v/>
      </c>
      <c r="B160" s="42">
        <f>DAMAS_Daily!B160</f>
        <v/>
      </c>
      <c r="C160" s="42">
        <f>IF((power_mw*hours_per_day*damas_afrr_up*capacity_mult_B*stack_capacity*acceptance_rate+(MIN(DAMAS_Daily!C160*market_share_B*acceptance_rate*stack_activation,power_mw*hours_per_day,capacity_mwh))*DAMAS_Daily!E160*activation_mult_B)&gt;=(power_mw*hours_per_day*damas_afrr_down*capacity_mult_B*stack_capacity*acceptance_rate+(MIN(DAMAS_Daily!D160*market_share_B*acceptance_rate*stack_activation,power_mw*hours_per_day,capacity_mwh))*DAMAS_Daily!F160*activation_mult_B),"aFRR+","aFRR-")</f>
        <v/>
      </c>
      <c r="D160" s="43">
        <f>IF(C160="aFRR+",damas_afrr_up*capacity_mult_B,damas_afrr_down*capacity_mult_B)</f>
        <v/>
      </c>
      <c r="E160" s="44">
        <f>acceptance_rate</f>
        <v/>
      </c>
      <c r="F160" s="18">
        <f>IF(C160="aFRR+",power_mw*hours_per_day*damas_afrr_up*capacity_mult_B*stack_capacity*acceptance_rate,power_mw*hours_per_day*damas_afrr_down*capacity_mult_B*stack_capacity*acceptance_rate)</f>
        <v/>
      </c>
      <c r="G160" s="42">
        <f>IF(C160="aFRR+",DAMAS_Daily!I160,DAMAS_Daily!J160)</f>
        <v/>
      </c>
      <c r="H160" s="43">
        <f>IF(C160="aFRR+",DAMAS_Daily!E160,DAMAS_Daily!F160)</f>
        <v/>
      </c>
      <c r="I160" s="43">
        <f>IF(C160="aFRR+",DAMAS_Daily!G160,DAMAS_Daily!H160)</f>
        <v/>
      </c>
      <c r="J160" s="45">
        <f>IF(C160="aFRR+",DAMAS_Daily!C160,DAMAS_Daily!D160)</f>
        <v/>
      </c>
      <c r="K160" s="45">
        <f>IF(C160="aFRR+",MIN(DAMAS_Daily!C160*market_share_B*acceptance_rate*stack_activation,power_mw*hours_per_day,capacity_mwh),MIN(DAMAS_Daily!D160*market_share_B*acceptance_rate*stack_activation,power_mw*hours_per_day,capacity_mwh))</f>
        <v/>
      </c>
      <c r="L160" s="42">
        <f>IF(K160&gt;=capacity_mwh-0.01,"yes","no")</f>
        <v/>
      </c>
      <c r="M160" s="18">
        <f>IF(C160="aFRR+",(MIN(DAMAS_Daily!C160*market_share_B*acceptance_rate*stack_activation,power_mw*hours_per_day,capacity_mwh))*DAMAS_Daily!E160*activation_mult_B,(MIN(DAMAS_Daily!D160*market_share_B*acceptance_rate*stack_activation,power_mw*hours_per_day,capacity_mwh))*DAMAS_Daily!F160*activation_mult_B)</f>
        <v/>
      </c>
      <c r="N160" s="19">
        <f>F160+M160</f>
        <v/>
      </c>
    </row>
    <row r="161">
      <c r="A161" s="41">
        <f>DAMAS_Daily!A161</f>
        <v/>
      </c>
      <c r="B161" s="42">
        <f>DAMAS_Daily!B161</f>
        <v/>
      </c>
      <c r="C161" s="42">
        <f>IF((power_mw*hours_per_day*damas_afrr_up*capacity_mult_B*stack_capacity*acceptance_rate+(MIN(DAMAS_Daily!C161*market_share_B*acceptance_rate*stack_activation,power_mw*hours_per_day,capacity_mwh))*DAMAS_Daily!E161*activation_mult_B)&gt;=(power_mw*hours_per_day*damas_afrr_down*capacity_mult_B*stack_capacity*acceptance_rate+(MIN(DAMAS_Daily!D161*market_share_B*acceptance_rate*stack_activation,power_mw*hours_per_day,capacity_mwh))*DAMAS_Daily!F161*activation_mult_B),"aFRR+","aFRR-")</f>
        <v/>
      </c>
      <c r="D161" s="43">
        <f>IF(C161="aFRR+",damas_afrr_up*capacity_mult_B,damas_afrr_down*capacity_mult_B)</f>
        <v/>
      </c>
      <c r="E161" s="44">
        <f>acceptance_rate</f>
        <v/>
      </c>
      <c r="F161" s="18">
        <f>IF(C161="aFRR+",power_mw*hours_per_day*damas_afrr_up*capacity_mult_B*stack_capacity*acceptance_rate,power_mw*hours_per_day*damas_afrr_down*capacity_mult_B*stack_capacity*acceptance_rate)</f>
        <v/>
      </c>
      <c r="G161" s="42">
        <f>IF(C161="aFRR+",DAMAS_Daily!I161,DAMAS_Daily!J161)</f>
        <v/>
      </c>
      <c r="H161" s="43">
        <f>IF(C161="aFRR+",DAMAS_Daily!E161,DAMAS_Daily!F161)</f>
        <v/>
      </c>
      <c r="I161" s="43">
        <f>IF(C161="aFRR+",DAMAS_Daily!G161,DAMAS_Daily!H161)</f>
        <v/>
      </c>
      <c r="J161" s="45">
        <f>IF(C161="aFRR+",DAMAS_Daily!C161,DAMAS_Daily!D161)</f>
        <v/>
      </c>
      <c r="K161" s="45">
        <f>IF(C161="aFRR+",MIN(DAMAS_Daily!C161*market_share_B*acceptance_rate*stack_activation,power_mw*hours_per_day,capacity_mwh),MIN(DAMAS_Daily!D161*market_share_B*acceptance_rate*stack_activation,power_mw*hours_per_day,capacity_mwh))</f>
        <v/>
      </c>
      <c r="L161" s="42">
        <f>IF(K161&gt;=capacity_mwh-0.01,"yes","no")</f>
        <v/>
      </c>
      <c r="M161" s="18">
        <f>IF(C161="aFRR+",(MIN(DAMAS_Daily!C161*market_share_B*acceptance_rate*stack_activation,power_mw*hours_per_day,capacity_mwh))*DAMAS_Daily!E161*activation_mult_B,(MIN(DAMAS_Daily!D161*market_share_B*acceptance_rate*stack_activation,power_mw*hours_per_day,capacity_mwh))*DAMAS_Daily!F161*activation_mult_B)</f>
        <v/>
      </c>
      <c r="N161" s="19">
        <f>F161+M161</f>
        <v/>
      </c>
    </row>
    <row r="162">
      <c r="A162" s="41">
        <f>DAMAS_Daily!A162</f>
        <v/>
      </c>
      <c r="B162" s="42">
        <f>DAMAS_Daily!B162</f>
        <v/>
      </c>
      <c r="C162" s="42">
        <f>IF((power_mw*hours_per_day*damas_afrr_up*capacity_mult_B*stack_capacity*acceptance_rate+(MIN(DAMAS_Daily!C162*market_share_B*acceptance_rate*stack_activation,power_mw*hours_per_day,capacity_mwh))*DAMAS_Daily!E162*activation_mult_B)&gt;=(power_mw*hours_per_day*damas_afrr_down*capacity_mult_B*stack_capacity*acceptance_rate+(MIN(DAMAS_Daily!D162*market_share_B*acceptance_rate*stack_activation,power_mw*hours_per_day,capacity_mwh))*DAMAS_Daily!F162*activation_mult_B),"aFRR+","aFRR-")</f>
        <v/>
      </c>
      <c r="D162" s="43">
        <f>IF(C162="aFRR+",damas_afrr_up*capacity_mult_B,damas_afrr_down*capacity_mult_B)</f>
        <v/>
      </c>
      <c r="E162" s="44">
        <f>acceptance_rate</f>
        <v/>
      </c>
      <c r="F162" s="18">
        <f>IF(C162="aFRR+",power_mw*hours_per_day*damas_afrr_up*capacity_mult_B*stack_capacity*acceptance_rate,power_mw*hours_per_day*damas_afrr_down*capacity_mult_B*stack_capacity*acceptance_rate)</f>
        <v/>
      </c>
      <c r="G162" s="42">
        <f>IF(C162="aFRR+",DAMAS_Daily!I162,DAMAS_Daily!J162)</f>
        <v/>
      </c>
      <c r="H162" s="43">
        <f>IF(C162="aFRR+",DAMAS_Daily!E162,DAMAS_Daily!F162)</f>
        <v/>
      </c>
      <c r="I162" s="43">
        <f>IF(C162="aFRR+",DAMAS_Daily!G162,DAMAS_Daily!H162)</f>
        <v/>
      </c>
      <c r="J162" s="45">
        <f>IF(C162="aFRR+",DAMAS_Daily!C162,DAMAS_Daily!D162)</f>
        <v/>
      </c>
      <c r="K162" s="45">
        <f>IF(C162="aFRR+",MIN(DAMAS_Daily!C162*market_share_B*acceptance_rate*stack_activation,power_mw*hours_per_day,capacity_mwh),MIN(DAMAS_Daily!D162*market_share_B*acceptance_rate*stack_activation,power_mw*hours_per_day,capacity_mwh))</f>
        <v/>
      </c>
      <c r="L162" s="42">
        <f>IF(K162&gt;=capacity_mwh-0.01,"yes","no")</f>
        <v/>
      </c>
      <c r="M162" s="18">
        <f>IF(C162="aFRR+",(MIN(DAMAS_Daily!C162*market_share_B*acceptance_rate*stack_activation,power_mw*hours_per_day,capacity_mwh))*DAMAS_Daily!E162*activation_mult_B,(MIN(DAMAS_Daily!D162*market_share_B*acceptance_rate*stack_activation,power_mw*hours_per_day,capacity_mwh))*DAMAS_Daily!F162*activation_mult_B)</f>
        <v/>
      </c>
      <c r="N162" s="19">
        <f>F162+M162</f>
        <v/>
      </c>
    </row>
    <row r="163">
      <c r="A163" s="41">
        <f>DAMAS_Daily!A163</f>
        <v/>
      </c>
      <c r="B163" s="42">
        <f>DAMAS_Daily!B163</f>
        <v/>
      </c>
      <c r="C163" s="42">
        <f>IF((power_mw*hours_per_day*damas_afrr_up*capacity_mult_B*stack_capacity*acceptance_rate+(MIN(DAMAS_Daily!C163*market_share_B*acceptance_rate*stack_activation,power_mw*hours_per_day,capacity_mwh))*DAMAS_Daily!E163*activation_mult_B)&gt;=(power_mw*hours_per_day*damas_afrr_down*capacity_mult_B*stack_capacity*acceptance_rate+(MIN(DAMAS_Daily!D163*market_share_B*acceptance_rate*stack_activation,power_mw*hours_per_day,capacity_mwh))*DAMAS_Daily!F163*activation_mult_B),"aFRR+","aFRR-")</f>
        <v/>
      </c>
      <c r="D163" s="43">
        <f>IF(C163="aFRR+",damas_afrr_up*capacity_mult_B,damas_afrr_down*capacity_mult_B)</f>
        <v/>
      </c>
      <c r="E163" s="44">
        <f>acceptance_rate</f>
        <v/>
      </c>
      <c r="F163" s="18">
        <f>IF(C163="aFRR+",power_mw*hours_per_day*damas_afrr_up*capacity_mult_B*stack_capacity*acceptance_rate,power_mw*hours_per_day*damas_afrr_down*capacity_mult_B*stack_capacity*acceptance_rate)</f>
        <v/>
      </c>
      <c r="G163" s="42">
        <f>IF(C163="aFRR+",DAMAS_Daily!I163,DAMAS_Daily!J163)</f>
        <v/>
      </c>
      <c r="H163" s="43">
        <f>IF(C163="aFRR+",DAMAS_Daily!E163,DAMAS_Daily!F163)</f>
        <v/>
      </c>
      <c r="I163" s="43">
        <f>IF(C163="aFRR+",DAMAS_Daily!G163,DAMAS_Daily!H163)</f>
        <v/>
      </c>
      <c r="J163" s="45">
        <f>IF(C163="aFRR+",DAMAS_Daily!C163,DAMAS_Daily!D163)</f>
        <v/>
      </c>
      <c r="K163" s="45">
        <f>IF(C163="aFRR+",MIN(DAMAS_Daily!C163*market_share_B*acceptance_rate*stack_activation,power_mw*hours_per_day,capacity_mwh),MIN(DAMAS_Daily!D163*market_share_B*acceptance_rate*stack_activation,power_mw*hours_per_day,capacity_mwh))</f>
        <v/>
      </c>
      <c r="L163" s="42">
        <f>IF(K163&gt;=capacity_mwh-0.01,"yes","no")</f>
        <v/>
      </c>
      <c r="M163" s="18">
        <f>IF(C163="aFRR+",(MIN(DAMAS_Daily!C163*market_share_B*acceptance_rate*stack_activation,power_mw*hours_per_day,capacity_mwh))*DAMAS_Daily!E163*activation_mult_B,(MIN(DAMAS_Daily!D163*market_share_B*acceptance_rate*stack_activation,power_mw*hours_per_day,capacity_mwh))*DAMAS_Daily!F163*activation_mult_B)</f>
        <v/>
      </c>
      <c r="N163" s="19">
        <f>F163+M163</f>
        <v/>
      </c>
    </row>
    <row r="164">
      <c r="A164" s="41">
        <f>DAMAS_Daily!A164</f>
        <v/>
      </c>
      <c r="B164" s="42">
        <f>DAMAS_Daily!B164</f>
        <v/>
      </c>
      <c r="C164" s="42">
        <f>IF((power_mw*hours_per_day*damas_afrr_up*capacity_mult_B*stack_capacity*acceptance_rate+(MIN(DAMAS_Daily!C164*market_share_B*acceptance_rate*stack_activation,power_mw*hours_per_day,capacity_mwh))*DAMAS_Daily!E164*activation_mult_B)&gt;=(power_mw*hours_per_day*damas_afrr_down*capacity_mult_B*stack_capacity*acceptance_rate+(MIN(DAMAS_Daily!D164*market_share_B*acceptance_rate*stack_activation,power_mw*hours_per_day,capacity_mwh))*DAMAS_Daily!F164*activation_mult_B),"aFRR+","aFRR-")</f>
        <v/>
      </c>
      <c r="D164" s="43">
        <f>IF(C164="aFRR+",damas_afrr_up*capacity_mult_B,damas_afrr_down*capacity_mult_B)</f>
        <v/>
      </c>
      <c r="E164" s="44">
        <f>acceptance_rate</f>
        <v/>
      </c>
      <c r="F164" s="18">
        <f>IF(C164="aFRR+",power_mw*hours_per_day*damas_afrr_up*capacity_mult_B*stack_capacity*acceptance_rate,power_mw*hours_per_day*damas_afrr_down*capacity_mult_B*stack_capacity*acceptance_rate)</f>
        <v/>
      </c>
      <c r="G164" s="42">
        <f>IF(C164="aFRR+",DAMAS_Daily!I164,DAMAS_Daily!J164)</f>
        <v/>
      </c>
      <c r="H164" s="43">
        <f>IF(C164="aFRR+",DAMAS_Daily!E164,DAMAS_Daily!F164)</f>
        <v/>
      </c>
      <c r="I164" s="43">
        <f>IF(C164="aFRR+",DAMAS_Daily!G164,DAMAS_Daily!H164)</f>
        <v/>
      </c>
      <c r="J164" s="45">
        <f>IF(C164="aFRR+",DAMAS_Daily!C164,DAMAS_Daily!D164)</f>
        <v/>
      </c>
      <c r="K164" s="45">
        <f>IF(C164="aFRR+",MIN(DAMAS_Daily!C164*market_share_B*acceptance_rate*stack_activation,power_mw*hours_per_day,capacity_mwh),MIN(DAMAS_Daily!D164*market_share_B*acceptance_rate*stack_activation,power_mw*hours_per_day,capacity_mwh))</f>
        <v/>
      </c>
      <c r="L164" s="42">
        <f>IF(K164&gt;=capacity_mwh-0.01,"yes","no")</f>
        <v/>
      </c>
      <c r="M164" s="18">
        <f>IF(C164="aFRR+",(MIN(DAMAS_Daily!C164*market_share_B*acceptance_rate*stack_activation,power_mw*hours_per_day,capacity_mwh))*DAMAS_Daily!E164*activation_mult_B,(MIN(DAMAS_Daily!D164*market_share_B*acceptance_rate*stack_activation,power_mw*hours_per_day,capacity_mwh))*DAMAS_Daily!F164*activation_mult_B)</f>
        <v/>
      </c>
      <c r="N164" s="19">
        <f>F164+M164</f>
        <v/>
      </c>
    </row>
    <row r="165">
      <c r="A165" s="41">
        <f>DAMAS_Daily!A165</f>
        <v/>
      </c>
      <c r="B165" s="42">
        <f>DAMAS_Daily!B165</f>
        <v/>
      </c>
      <c r="C165" s="42">
        <f>IF((power_mw*hours_per_day*damas_afrr_up*capacity_mult_B*stack_capacity*acceptance_rate+(MIN(DAMAS_Daily!C165*market_share_B*acceptance_rate*stack_activation,power_mw*hours_per_day,capacity_mwh))*DAMAS_Daily!E165*activation_mult_B)&gt;=(power_mw*hours_per_day*damas_afrr_down*capacity_mult_B*stack_capacity*acceptance_rate+(MIN(DAMAS_Daily!D165*market_share_B*acceptance_rate*stack_activation,power_mw*hours_per_day,capacity_mwh))*DAMAS_Daily!F165*activation_mult_B),"aFRR+","aFRR-")</f>
        <v/>
      </c>
      <c r="D165" s="43">
        <f>IF(C165="aFRR+",damas_afrr_up*capacity_mult_B,damas_afrr_down*capacity_mult_B)</f>
        <v/>
      </c>
      <c r="E165" s="44">
        <f>acceptance_rate</f>
        <v/>
      </c>
      <c r="F165" s="18">
        <f>IF(C165="aFRR+",power_mw*hours_per_day*damas_afrr_up*capacity_mult_B*stack_capacity*acceptance_rate,power_mw*hours_per_day*damas_afrr_down*capacity_mult_B*stack_capacity*acceptance_rate)</f>
        <v/>
      </c>
      <c r="G165" s="42">
        <f>IF(C165="aFRR+",DAMAS_Daily!I165,DAMAS_Daily!J165)</f>
        <v/>
      </c>
      <c r="H165" s="43">
        <f>IF(C165="aFRR+",DAMAS_Daily!E165,DAMAS_Daily!F165)</f>
        <v/>
      </c>
      <c r="I165" s="43">
        <f>IF(C165="aFRR+",DAMAS_Daily!G165,DAMAS_Daily!H165)</f>
        <v/>
      </c>
      <c r="J165" s="45">
        <f>IF(C165="aFRR+",DAMAS_Daily!C165,DAMAS_Daily!D165)</f>
        <v/>
      </c>
      <c r="K165" s="45">
        <f>IF(C165="aFRR+",MIN(DAMAS_Daily!C165*market_share_B*acceptance_rate*stack_activation,power_mw*hours_per_day,capacity_mwh),MIN(DAMAS_Daily!D165*market_share_B*acceptance_rate*stack_activation,power_mw*hours_per_day,capacity_mwh))</f>
        <v/>
      </c>
      <c r="L165" s="42">
        <f>IF(K165&gt;=capacity_mwh-0.01,"yes","no")</f>
        <v/>
      </c>
      <c r="M165" s="18">
        <f>IF(C165="aFRR+",(MIN(DAMAS_Daily!C165*market_share_B*acceptance_rate*stack_activation,power_mw*hours_per_day,capacity_mwh))*DAMAS_Daily!E165*activation_mult_B,(MIN(DAMAS_Daily!D165*market_share_B*acceptance_rate*stack_activation,power_mw*hours_per_day,capacity_mwh))*DAMAS_Daily!F165*activation_mult_B)</f>
        <v/>
      </c>
      <c r="N165" s="19">
        <f>F165+M165</f>
        <v/>
      </c>
    </row>
    <row r="166">
      <c r="A166" s="41">
        <f>DAMAS_Daily!A166</f>
        <v/>
      </c>
      <c r="B166" s="42">
        <f>DAMAS_Daily!B166</f>
        <v/>
      </c>
      <c r="C166" s="42">
        <f>IF((power_mw*hours_per_day*damas_afrr_up*capacity_mult_B*stack_capacity*acceptance_rate+(MIN(DAMAS_Daily!C166*market_share_B*acceptance_rate*stack_activation,power_mw*hours_per_day,capacity_mwh))*DAMAS_Daily!E166*activation_mult_B)&gt;=(power_mw*hours_per_day*damas_afrr_down*capacity_mult_B*stack_capacity*acceptance_rate+(MIN(DAMAS_Daily!D166*market_share_B*acceptance_rate*stack_activation,power_mw*hours_per_day,capacity_mwh))*DAMAS_Daily!F166*activation_mult_B),"aFRR+","aFRR-")</f>
        <v/>
      </c>
      <c r="D166" s="43">
        <f>IF(C166="aFRR+",damas_afrr_up*capacity_mult_B,damas_afrr_down*capacity_mult_B)</f>
        <v/>
      </c>
      <c r="E166" s="44">
        <f>acceptance_rate</f>
        <v/>
      </c>
      <c r="F166" s="18">
        <f>IF(C166="aFRR+",power_mw*hours_per_day*damas_afrr_up*capacity_mult_B*stack_capacity*acceptance_rate,power_mw*hours_per_day*damas_afrr_down*capacity_mult_B*stack_capacity*acceptance_rate)</f>
        <v/>
      </c>
      <c r="G166" s="42">
        <f>IF(C166="aFRR+",DAMAS_Daily!I166,DAMAS_Daily!J166)</f>
        <v/>
      </c>
      <c r="H166" s="43">
        <f>IF(C166="aFRR+",DAMAS_Daily!E166,DAMAS_Daily!F166)</f>
        <v/>
      </c>
      <c r="I166" s="43">
        <f>IF(C166="aFRR+",DAMAS_Daily!G166,DAMAS_Daily!H166)</f>
        <v/>
      </c>
      <c r="J166" s="45">
        <f>IF(C166="aFRR+",DAMAS_Daily!C166,DAMAS_Daily!D166)</f>
        <v/>
      </c>
      <c r="K166" s="45">
        <f>IF(C166="aFRR+",MIN(DAMAS_Daily!C166*market_share_B*acceptance_rate*stack_activation,power_mw*hours_per_day,capacity_mwh),MIN(DAMAS_Daily!D166*market_share_B*acceptance_rate*stack_activation,power_mw*hours_per_day,capacity_mwh))</f>
        <v/>
      </c>
      <c r="L166" s="42">
        <f>IF(K166&gt;=capacity_mwh-0.01,"yes","no")</f>
        <v/>
      </c>
      <c r="M166" s="18">
        <f>IF(C166="aFRR+",(MIN(DAMAS_Daily!C166*market_share_B*acceptance_rate*stack_activation,power_mw*hours_per_day,capacity_mwh))*DAMAS_Daily!E166*activation_mult_B,(MIN(DAMAS_Daily!D166*market_share_B*acceptance_rate*stack_activation,power_mw*hours_per_day,capacity_mwh))*DAMAS_Daily!F166*activation_mult_B)</f>
        <v/>
      </c>
      <c r="N166" s="19">
        <f>F166+M166</f>
        <v/>
      </c>
    </row>
    <row r="167">
      <c r="A167" s="41">
        <f>DAMAS_Daily!A167</f>
        <v/>
      </c>
      <c r="B167" s="42">
        <f>DAMAS_Daily!B167</f>
        <v/>
      </c>
      <c r="C167" s="42">
        <f>IF((power_mw*hours_per_day*damas_afrr_up*capacity_mult_B*stack_capacity*acceptance_rate+(MIN(DAMAS_Daily!C167*market_share_B*acceptance_rate*stack_activation,power_mw*hours_per_day,capacity_mwh))*DAMAS_Daily!E167*activation_mult_B)&gt;=(power_mw*hours_per_day*damas_afrr_down*capacity_mult_B*stack_capacity*acceptance_rate+(MIN(DAMAS_Daily!D167*market_share_B*acceptance_rate*stack_activation,power_mw*hours_per_day,capacity_mwh))*DAMAS_Daily!F167*activation_mult_B),"aFRR+","aFRR-")</f>
        <v/>
      </c>
      <c r="D167" s="43">
        <f>IF(C167="aFRR+",damas_afrr_up*capacity_mult_B,damas_afrr_down*capacity_mult_B)</f>
        <v/>
      </c>
      <c r="E167" s="44">
        <f>acceptance_rate</f>
        <v/>
      </c>
      <c r="F167" s="18">
        <f>IF(C167="aFRR+",power_mw*hours_per_day*damas_afrr_up*capacity_mult_B*stack_capacity*acceptance_rate,power_mw*hours_per_day*damas_afrr_down*capacity_mult_B*stack_capacity*acceptance_rate)</f>
        <v/>
      </c>
      <c r="G167" s="42">
        <f>IF(C167="aFRR+",DAMAS_Daily!I167,DAMAS_Daily!J167)</f>
        <v/>
      </c>
      <c r="H167" s="43">
        <f>IF(C167="aFRR+",DAMAS_Daily!E167,DAMAS_Daily!F167)</f>
        <v/>
      </c>
      <c r="I167" s="43">
        <f>IF(C167="aFRR+",DAMAS_Daily!G167,DAMAS_Daily!H167)</f>
        <v/>
      </c>
      <c r="J167" s="45">
        <f>IF(C167="aFRR+",DAMAS_Daily!C167,DAMAS_Daily!D167)</f>
        <v/>
      </c>
      <c r="K167" s="45">
        <f>IF(C167="aFRR+",MIN(DAMAS_Daily!C167*market_share_B*acceptance_rate*stack_activation,power_mw*hours_per_day,capacity_mwh),MIN(DAMAS_Daily!D167*market_share_B*acceptance_rate*stack_activation,power_mw*hours_per_day,capacity_mwh))</f>
        <v/>
      </c>
      <c r="L167" s="42">
        <f>IF(K167&gt;=capacity_mwh-0.01,"yes","no")</f>
        <v/>
      </c>
      <c r="M167" s="18">
        <f>IF(C167="aFRR+",(MIN(DAMAS_Daily!C167*market_share_B*acceptance_rate*stack_activation,power_mw*hours_per_day,capacity_mwh))*DAMAS_Daily!E167*activation_mult_B,(MIN(DAMAS_Daily!D167*market_share_B*acceptance_rate*stack_activation,power_mw*hours_per_day,capacity_mwh))*DAMAS_Daily!F167*activation_mult_B)</f>
        <v/>
      </c>
      <c r="N167" s="19">
        <f>F167+M167</f>
        <v/>
      </c>
    </row>
    <row r="168">
      <c r="A168" s="41">
        <f>DAMAS_Daily!A168</f>
        <v/>
      </c>
      <c r="B168" s="42">
        <f>DAMAS_Daily!B168</f>
        <v/>
      </c>
      <c r="C168" s="42">
        <f>IF((power_mw*hours_per_day*damas_afrr_up*capacity_mult_B*stack_capacity*acceptance_rate+(MIN(DAMAS_Daily!C168*market_share_B*acceptance_rate*stack_activation,power_mw*hours_per_day,capacity_mwh))*DAMAS_Daily!E168*activation_mult_B)&gt;=(power_mw*hours_per_day*damas_afrr_down*capacity_mult_B*stack_capacity*acceptance_rate+(MIN(DAMAS_Daily!D168*market_share_B*acceptance_rate*stack_activation,power_mw*hours_per_day,capacity_mwh))*DAMAS_Daily!F168*activation_mult_B),"aFRR+","aFRR-")</f>
        <v/>
      </c>
      <c r="D168" s="43">
        <f>IF(C168="aFRR+",damas_afrr_up*capacity_mult_B,damas_afrr_down*capacity_mult_B)</f>
        <v/>
      </c>
      <c r="E168" s="44">
        <f>acceptance_rate</f>
        <v/>
      </c>
      <c r="F168" s="18">
        <f>IF(C168="aFRR+",power_mw*hours_per_day*damas_afrr_up*capacity_mult_B*stack_capacity*acceptance_rate,power_mw*hours_per_day*damas_afrr_down*capacity_mult_B*stack_capacity*acceptance_rate)</f>
        <v/>
      </c>
      <c r="G168" s="42">
        <f>IF(C168="aFRR+",DAMAS_Daily!I168,DAMAS_Daily!J168)</f>
        <v/>
      </c>
      <c r="H168" s="43">
        <f>IF(C168="aFRR+",DAMAS_Daily!E168,DAMAS_Daily!F168)</f>
        <v/>
      </c>
      <c r="I168" s="43">
        <f>IF(C168="aFRR+",DAMAS_Daily!G168,DAMAS_Daily!H168)</f>
        <v/>
      </c>
      <c r="J168" s="45">
        <f>IF(C168="aFRR+",DAMAS_Daily!C168,DAMAS_Daily!D168)</f>
        <v/>
      </c>
      <c r="K168" s="45">
        <f>IF(C168="aFRR+",MIN(DAMAS_Daily!C168*market_share_B*acceptance_rate*stack_activation,power_mw*hours_per_day,capacity_mwh),MIN(DAMAS_Daily!D168*market_share_B*acceptance_rate*stack_activation,power_mw*hours_per_day,capacity_mwh))</f>
        <v/>
      </c>
      <c r="L168" s="42">
        <f>IF(K168&gt;=capacity_mwh-0.01,"yes","no")</f>
        <v/>
      </c>
      <c r="M168" s="18">
        <f>IF(C168="aFRR+",(MIN(DAMAS_Daily!C168*market_share_B*acceptance_rate*stack_activation,power_mw*hours_per_day,capacity_mwh))*DAMAS_Daily!E168*activation_mult_B,(MIN(DAMAS_Daily!D168*market_share_B*acceptance_rate*stack_activation,power_mw*hours_per_day,capacity_mwh))*DAMAS_Daily!F168*activation_mult_B)</f>
        <v/>
      </c>
      <c r="N168" s="19">
        <f>F168+M168</f>
        <v/>
      </c>
    </row>
    <row r="169">
      <c r="A169" s="41">
        <f>DAMAS_Daily!A169</f>
        <v/>
      </c>
      <c r="B169" s="42">
        <f>DAMAS_Daily!B169</f>
        <v/>
      </c>
      <c r="C169" s="42">
        <f>IF((power_mw*hours_per_day*damas_afrr_up*capacity_mult_B*stack_capacity*acceptance_rate+(MIN(DAMAS_Daily!C169*market_share_B*acceptance_rate*stack_activation,power_mw*hours_per_day,capacity_mwh))*DAMAS_Daily!E169*activation_mult_B)&gt;=(power_mw*hours_per_day*damas_afrr_down*capacity_mult_B*stack_capacity*acceptance_rate+(MIN(DAMAS_Daily!D169*market_share_B*acceptance_rate*stack_activation,power_mw*hours_per_day,capacity_mwh))*DAMAS_Daily!F169*activation_mult_B),"aFRR+","aFRR-")</f>
        <v/>
      </c>
      <c r="D169" s="43">
        <f>IF(C169="aFRR+",damas_afrr_up*capacity_mult_B,damas_afrr_down*capacity_mult_B)</f>
        <v/>
      </c>
      <c r="E169" s="44">
        <f>acceptance_rate</f>
        <v/>
      </c>
      <c r="F169" s="18">
        <f>IF(C169="aFRR+",power_mw*hours_per_day*damas_afrr_up*capacity_mult_B*stack_capacity*acceptance_rate,power_mw*hours_per_day*damas_afrr_down*capacity_mult_B*stack_capacity*acceptance_rate)</f>
        <v/>
      </c>
      <c r="G169" s="42">
        <f>IF(C169="aFRR+",DAMAS_Daily!I169,DAMAS_Daily!J169)</f>
        <v/>
      </c>
      <c r="H169" s="43">
        <f>IF(C169="aFRR+",DAMAS_Daily!E169,DAMAS_Daily!F169)</f>
        <v/>
      </c>
      <c r="I169" s="43">
        <f>IF(C169="aFRR+",DAMAS_Daily!G169,DAMAS_Daily!H169)</f>
        <v/>
      </c>
      <c r="J169" s="45">
        <f>IF(C169="aFRR+",DAMAS_Daily!C169,DAMAS_Daily!D169)</f>
        <v/>
      </c>
      <c r="K169" s="45">
        <f>IF(C169="aFRR+",MIN(DAMAS_Daily!C169*market_share_B*acceptance_rate*stack_activation,power_mw*hours_per_day,capacity_mwh),MIN(DAMAS_Daily!D169*market_share_B*acceptance_rate*stack_activation,power_mw*hours_per_day,capacity_mwh))</f>
        <v/>
      </c>
      <c r="L169" s="42">
        <f>IF(K169&gt;=capacity_mwh-0.01,"yes","no")</f>
        <v/>
      </c>
      <c r="M169" s="18">
        <f>IF(C169="aFRR+",(MIN(DAMAS_Daily!C169*market_share_B*acceptance_rate*stack_activation,power_mw*hours_per_day,capacity_mwh))*DAMAS_Daily!E169*activation_mult_B,(MIN(DAMAS_Daily!D169*market_share_B*acceptance_rate*stack_activation,power_mw*hours_per_day,capacity_mwh))*DAMAS_Daily!F169*activation_mult_B)</f>
        <v/>
      </c>
      <c r="N169" s="19">
        <f>F169+M169</f>
        <v/>
      </c>
    </row>
    <row r="170">
      <c r="A170" s="41">
        <f>DAMAS_Daily!A170</f>
        <v/>
      </c>
      <c r="B170" s="42">
        <f>DAMAS_Daily!B170</f>
        <v/>
      </c>
      <c r="C170" s="42">
        <f>IF((power_mw*hours_per_day*damas_afrr_up*capacity_mult_B*stack_capacity*acceptance_rate+(MIN(DAMAS_Daily!C170*market_share_B*acceptance_rate*stack_activation,power_mw*hours_per_day,capacity_mwh))*DAMAS_Daily!E170*activation_mult_B)&gt;=(power_mw*hours_per_day*damas_afrr_down*capacity_mult_B*stack_capacity*acceptance_rate+(MIN(DAMAS_Daily!D170*market_share_B*acceptance_rate*stack_activation,power_mw*hours_per_day,capacity_mwh))*DAMAS_Daily!F170*activation_mult_B),"aFRR+","aFRR-")</f>
        <v/>
      </c>
      <c r="D170" s="43">
        <f>IF(C170="aFRR+",damas_afrr_up*capacity_mult_B,damas_afrr_down*capacity_mult_B)</f>
        <v/>
      </c>
      <c r="E170" s="44">
        <f>acceptance_rate</f>
        <v/>
      </c>
      <c r="F170" s="18">
        <f>IF(C170="aFRR+",power_mw*hours_per_day*damas_afrr_up*capacity_mult_B*stack_capacity*acceptance_rate,power_mw*hours_per_day*damas_afrr_down*capacity_mult_B*stack_capacity*acceptance_rate)</f>
        <v/>
      </c>
      <c r="G170" s="42">
        <f>IF(C170="aFRR+",DAMAS_Daily!I170,DAMAS_Daily!J170)</f>
        <v/>
      </c>
      <c r="H170" s="43">
        <f>IF(C170="aFRR+",DAMAS_Daily!E170,DAMAS_Daily!F170)</f>
        <v/>
      </c>
      <c r="I170" s="43">
        <f>IF(C170="aFRR+",DAMAS_Daily!G170,DAMAS_Daily!H170)</f>
        <v/>
      </c>
      <c r="J170" s="45">
        <f>IF(C170="aFRR+",DAMAS_Daily!C170,DAMAS_Daily!D170)</f>
        <v/>
      </c>
      <c r="K170" s="45">
        <f>IF(C170="aFRR+",MIN(DAMAS_Daily!C170*market_share_B*acceptance_rate*stack_activation,power_mw*hours_per_day,capacity_mwh),MIN(DAMAS_Daily!D170*market_share_B*acceptance_rate*stack_activation,power_mw*hours_per_day,capacity_mwh))</f>
        <v/>
      </c>
      <c r="L170" s="42">
        <f>IF(K170&gt;=capacity_mwh-0.01,"yes","no")</f>
        <v/>
      </c>
      <c r="M170" s="18">
        <f>IF(C170="aFRR+",(MIN(DAMAS_Daily!C170*market_share_B*acceptance_rate*stack_activation,power_mw*hours_per_day,capacity_mwh))*DAMAS_Daily!E170*activation_mult_B,(MIN(DAMAS_Daily!D170*market_share_B*acceptance_rate*stack_activation,power_mw*hours_per_day,capacity_mwh))*DAMAS_Daily!F170*activation_mult_B)</f>
        <v/>
      </c>
      <c r="N170" s="19">
        <f>F170+M170</f>
        <v/>
      </c>
    </row>
    <row r="171">
      <c r="A171" s="41">
        <f>DAMAS_Daily!A171</f>
        <v/>
      </c>
      <c r="B171" s="42">
        <f>DAMAS_Daily!B171</f>
        <v/>
      </c>
      <c r="C171" s="42">
        <f>IF((power_mw*hours_per_day*damas_afrr_up*capacity_mult_B*stack_capacity*acceptance_rate+(MIN(DAMAS_Daily!C171*market_share_B*acceptance_rate*stack_activation,power_mw*hours_per_day,capacity_mwh))*DAMAS_Daily!E171*activation_mult_B)&gt;=(power_mw*hours_per_day*damas_afrr_down*capacity_mult_B*stack_capacity*acceptance_rate+(MIN(DAMAS_Daily!D171*market_share_B*acceptance_rate*stack_activation,power_mw*hours_per_day,capacity_mwh))*DAMAS_Daily!F171*activation_mult_B),"aFRR+","aFRR-")</f>
        <v/>
      </c>
      <c r="D171" s="43">
        <f>IF(C171="aFRR+",damas_afrr_up*capacity_mult_B,damas_afrr_down*capacity_mult_B)</f>
        <v/>
      </c>
      <c r="E171" s="44">
        <f>acceptance_rate</f>
        <v/>
      </c>
      <c r="F171" s="18">
        <f>IF(C171="aFRR+",power_mw*hours_per_day*damas_afrr_up*capacity_mult_B*stack_capacity*acceptance_rate,power_mw*hours_per_day*damas_afrr_down*capacity_mult_B*stack_capacity*acceptance_rate)</f>
        <v/>
      </c>
      <c r="G171" s="42">
        <f>IF(C171="aFRR+",DAMAS_Daily!I171,DAMAS_Daily!J171)</f>
        <v/>
      </c>
      <c r="H171" s="43">
        <f>IF(C171="aFRR+",DAMAS_Daily!E171,DAMAS_Daily!F171)</f>
        <v/>
      </c>
      <c r="I171" s="43">
        <f>IF(C171="aFRR+",DAMAS_Daily!G171,DAMAS_Daily!H171)</f>
        <v/>
      </c>
      <c r="J171" s="45">
        <f>IF(C171="aFRR+",DAMAS_Daily!C171,DAMAS_Daily!D171)</f>
        <v/>
      </c>
      <c r="K171" s="45">
        <f>IF(C171="aFRR+",MIN(DAMAS_Daily!C171*market_share_B*acceptance_rate*stack_activation,power_mw*hours_per_day,capacity_mwh),MIN(DAMAS_Daily!D171*market_share_B*acceptance_rate*stack_activation,power_mw*hours_per_day,capacity_mwh))</f>
        <v/>
      </c>
      <c r="L171" s="42">
        <f>IF(K171&gt;=capacity_mwh-0.01,"yes","no")</f>
        <v/>
      </c>
      <c r="M171" s="18">
        <f>IF(C171="aFRR+",(MIN(DAMAS_Daily!C171*market_share_B*acceptance_rate*stack_activation,power_mw*hours_per_day,capacity_mwh))*DAMAS_Daily!E171*activation_mult_B,(MIN(DAMAS_Daily!D171*market_share_B*acceptance_rate*stack_activation,power_mw*hours_per_day,capacity_mwh))*DAMAS_Daily!F171*activation_mult_B)</f>
        <v/>
      </c>
      <c r="N171" s="19">
        <f>F171+M171</f>
        <v/>
      </c>
    </row>
    <row r="172">
      <c r="A172" s="41">
        <f>DAMAS_Daily!A172</f>
        <v/>
      </c>
      <c r="B172" s="42">
        <f>DAMAS_Daily!B172</f>
        <v/>
      </c>
      <c r="C172" s="42">
        <f>IF((power_mw*hours_per_day*damas_afrr_up*capacity_mult_B*stack_capacity*acceptance_rate+(MIN(DAMAS_Daily!C172*market_share_B*acceptance_rate*stack_activation,power_mw*hours_per_day,capacity_mwh))*DAMAS_Daily!E172*activation_mult_B)&gt;=(power_mw*hours_per_day*damas_afrr_down*capacity_mult_B*stack_capacity*acceptance_rate+(MIN(DAMAS_Daily!D172*market_share_B*acceptance_rate*stack_activation,power_mw*hours_per_day,capacity_mwh))*DAMAS_Daily!F172*activation_mult_B),"aFRR+","aFRR-")</f>
        <v/>
      </c>
      <c r="D172" s="43">
        <f>IF(C172="aFRR+",damas_afrr_up*capacity_mult_B,damas_afrr_down*capacity_mult_B)</f>
        <v/>
      </c>
      <c r="E172" s="44">
        <f>acceptance_rate</f>
        <v/>
      </c>
      <c r="F172" s="18">
        <f>IF(C172="aFRR+",power_mw*hours_per_day*damas_afrr_up*capacity_mult_B*stack_capacity*acceptance_rate,power_mw*hours_per_day*damas_afrr_down*capacity_mult_B*stack_capacity*acceptance_rate)</f>
        <v/>
      </c>
      <c r="G172" s="42">
        <f>IF(C172="aFRR+",DAMAS_Daily!I172,DAMAS_Daily!J172)</f>
        <v/>
      </c>
      <c r="H172" s="43">
        <f>IF(C172="aFRR+",DAMAS_Daily!E172,DAMAS_Daily!F172)</f>
        <v/>
      </c>
      <c r="I172" s="43">
        <f>IF(C172="aFRR+",DAMAS_Daily!G172,DAMAS_Daily!H172)</f>
        <v/>
      </c>
      <c r="J172" s="45">
        <f>IF(C172="aFRR+",DAMAS_Daily!C172,DAMAS_Daily!D172)</f>
        <v/>
      </c>
      <c r="K172" s="45">
        <f>IF(C172="aFRR+",MIN(DAMAS_Daily!C172*market_share_B*acceptance_rate*stack_activation,power_mw*hours_per_day,capacity_mwh),MIN(DAMAS_Daily!D172*market_share_B*acceptance_rate*stack_activation,power_mw*hours_per_day,capacity_mwh))</f>
        <v/>
      </c>
      <c r="L172" s="42">
        <f>IF(K172&gt;=capacity_mwh-0.01,"yes","no")</f>
        <v/>
      </c>
      <c r="M172" s="18">
        <f>IF(C172="aFRR+",(MIN(DAMAS_Daily!C172*market_share_B*acceptance_rate*stack_activation,power_mw*hours_per_day,capacity_mwh))*DAMAS_Daily!E172*activation_mult_B,(MIN(DAMAS_Daily!D172*market_share_B*acceptance_rate*stack_activation,power_mw*hours_per_day,capacity_mwh))*DAMAS_Daily!F172*activation_mult_B)</f>
        <v/>
      </c>
      <c r="N172" s="19">
        <f>F172+M172</f>
        <v/>
      </c>
    </row>
    <row r="173">
      <c r="A173" s="41">
        <f>DAMAS_Daily!A173</f>
        <v/>
      </c>
      <c r="B173" s="42">
        <f>DAMAS_Daily!B173</f>
        <v/>
      </c>
      <c r="C173" s="42">
        <f>IF((power_mw*hours_per_day*damas_afrr_up*capacity_mult_B*stack_capacity*acceptance_rate+(MIN(DAMAS_Daily!C173*market_share_B*acceptance_rate*stack_activation,power_mw*hours_per_day,capacity_mwh))*DAMAS_Daily!E173*activation_mult_B)&gt;=(power_mw*hours_per_day*damas_afrr_down*capacity_mult_B*stack_capacity*acceptance_rate+(MIN(DAMAS_Daily!D173*market_share_B*acceptance_rate*stack_activation,power_mw*hours_per_day,capacity_mwh))*DAMAS_Daily!F173*activation_mult_B),"aFRR+","aFRR-")</f>
        <v/>
      </c>
      <c r="D173" s="43">
        <f>IF(C173="aFRR+",damas_afrr_up*capacity_mult_B,damas_afrr_down*capacity_mult_B)</f>
        <v/>
      </c>
      <c r="E173" s="44">
        <f>acceptance_rate</f>
        <v/>
      </c>
      <c r="F173" s="18">
        <f>IF(C173="aFRR+",power_mw*hours_per_day*damas_afrr_up*capacity_mult_B*stack_capacity*acceptance_rate,power_mw*hours_per_day*damas_afrr_down*capacity_mult_B*stack_capacity*acceptance_rate)</f>
        <v/>
      </c>
      <c r="G173" s="42">
        <f>IF(C173="aFRR+",DAMAS_Daily!I173,DAMAS_Daily!J173)</f>
        <v/>
      </c>
      <c r="H173" s="43">
        <f>IF(C173="aFRR+",DAMAS_Daily!E173,DAMAS_Daily!F173)</f>
        <v/>
      </c>
      <c r="I173" s="43">
        <f>IF(C173="aFRR+",DAMAS_Daily!G173,DAMAS_Daily!H173)</f>
        <v/>
      </c>
      <c r="J173" s="45">
        <f>IF(C173="aFRR+",DAMAS_Daily!C173,DAMAS_Daily!D173)</f>
        <v/>
      </c>
      <c r="K173" s="45">
        <f>IF(C173="aFRR+",MIN(DAMAS_Daily!C173*market_share_B*acceptance_rate*stack_activation,power_mw*hours_per_day,capacity_mwh),MIN(DAMAS_Daily!D173*market_share_B*acceptance_rate*stack_activation,power_mw*hours_per_day,capacity_mwh))</f>
        <v/>
      </c>
      <c r="L173" s="42">
        <f>IF(K173&gt;=capacity_mwh-0.01,"yes","no")</f>
        <v/>
      </c>
      <c r="M173" s="18">
        <f>IF(C173="aFRR+",(MIN(DAMAS_Daily!C173*market_share_B*acceptance_rate*stack_activation,power_mw*hours_per_day,capacity_mwh))*DAMAS_Daily!E173*activation_mult_B,(MIN(DAMAS_Daily!D173*market_share_B*acceptance_rate*stack_activation,power_mw*hours_per_day,capacity_mwh))*DAMAS_Daily!F173*activation_mult_B)</f>
        <v/>
      </c>
      <c r="N173" s="19">
        <f>F173+M173</f>
        <v/>
      </c>
    </row>
    <row r="174">
      <c r="A174" s="41">
        <f>DAMAS_Daily!A174</f>
        <v/>
      </c>
      <c r="B174" s="42">
        <f>DAMAS_Daily!B174</f>
        <v/>
      </c>
      <c r="C174" s="42">
        <f>IF((power_mw*hours_per_day*damas_afrr_up*capacity_mult_B*stack_capacity*acceptance_rate+(MIN(DAMAS_Daily!C174*market_share_B*acceptance_rate*stack_activation,power_mw*hours_per_day,capacity_mwh))*DAMAS_Daily!E174*activation_mult_B)&gt;=(power_mw*hours_per_day*damas_afrr_down*capacity_mult_B*stack_capacity*acceptance_rate+(MIN(DAMAS_Daily!D174*market_share_B*acceptance_rate*stack_activation,power_mw*hours_per_day,capacity_mwh))*DAMAS_Daily!F174*activation_mult_B),"aFRR+","aFRR-")</f>
        <v/>
      </c>
      <c r="D174" s="43">
        <f>IF(C174="aFRR+",damas_afrr_up*capacity_mult_B,damas_afrr_down*capacity_mult_B)</f>
        <v/>
      </c>
      <c r="E174" s="44">
        <f>acceptance_rate</f>
        <v/>
      </c>
      <c r="F174" s="18">
        <f>IF(C174="aFRR+",power_mw*hours_per_day*damas_afrr_up*capacity_mult_B*stack_capacity*acceptance_rate,power_mw*hours_per_day*damas_afrr_down*capacity_mult_B*stack_capacity*acceptance_rate)</f>
        <v/>
      </c>
      <c r="G174" s="42">
        <f>IF(C174="aFRR+",DAMAS_Daily!I174,DAMAS_Daily!J174)</f>
        <v/>
      </c>
      <c r="H174" s="43">
        <f>IF(C174="aFRR+",DAMAS_Daily!E174,DAMAS_Daily!F174)</f>
        <v/>
      </c>
      <c r="I174" s="43">
        <f>IF(C174="aFRR+",DAMAS_Daily!G174,DAMAS_Daily!H174)</f>
        <v/>
      </c>
      <c r="J174" s="45">
        <f>IF(C174="aFRR+",DAMAS_Daily!C174,DAMAS_Daily!D174)</f>
        <v/>
      </c>
      <c r="K174" s="45">
        <f>IF(C174="aFRR+",MIN(DAMAS_Daily!C174*market_share_B*acceptance_rate*stack_activation,power_mw*hours_per_day,capacity_mwh),MIN(DAMAS_Daily!D174*market_share_B*acceptance_rate*stack_activation,power_mw*hours_per_day,capacity_mwh))</f>
        <v/>
      </c>
      <c r="L174" s="42">
        <f>IF(K174&gt;=capacity_mwh-0.01,"yes","no")</f>
        <v/>
      </c>
      <c r="M174" s="18">
        <f>IF(C174="aFRR+",(MIN(DAMAS_Daily!C174*market_share_B*acceptance_rate*stack_activation,power_mw*hours_per_day,capacity_mwh))*DAMAS_Daily!E174*activation_mult_B,(MIN(DAMAS_Daily!D174*market_share_B*acceptance_rate*stack_activation,power_mw*hours_per_day,capacity_mwh))*DAMAS_Daily!F174*activation_mult_B)</f>
        <v/>
      </c>
      <c r="N174" s="19">
        <f>F174+M174</f>
        <v/>
      </c>
    </row>
    <row r="175">
      <c r="A175" s="41">
        <f>DAMAS_Daily!A175</f>
        <v/>
      </c>
      <c r="B175" s="42">
        <f>DAMAS_Daily!B175</f>
        <v/>
      </c>
      <c r="C175" s="42">
        <f>IF((power_mw*hours_per_day*damas_afrr_up*capacity_mult_B*stack_capacity*acceptance_rate+(MIN(DAMAS_Daily!C175*market_share_B*acceptance_rate*stack_activation,power_mw*hours_per_day,capacity_mwh))*DAMAS_Daily!E175*activation_mult_B)&gt;=(power_mw*hours_per_day*damas_afrr_down*capacity_mult_B*stack_capacity*acceptance_rate+(MIN(DAMAS_Daily!D175*market_share_B*acceptance_rate*stack_activation,power_mw*hours_per_day,capacity_mwh))*DAMAS_Daily!F175*activation_mult_B),"aFRR+","aFRR-")</f>
        <v/>
      </c>
      <c r="D175" s="43">
        <f>IF(C175="aFRR+",damas_afrr_up*capacity_mult_B,damas_afrr_down*capacity_mult_B)</f>
        <v/>
      </c>
      <c r="E175" s="44">
        <f>acceptance_rate</f>
        <v/>
      </c>
      <c r="F175" s="18">
        <f>IF(C175="aFRR+",power_mw*hours_per_day*damas_afrr_up*capacity_mult_B*stack_capacity*acceptance_rate,power_mw*hours_per_day*damas_afrr_down*capacity_mult_B*stack_capacity*acceptance_rate)</f>
        <v/>
      </c>
      <c r="G175" s="42">
        <f>IF(C175="aFRR+",DAMAS_Daily!I175,DAMAS_Daily!J175)</f>
        <v/>
      </c>
      <c r="H175" s="43">
        <f>IF(C175="aFRR+",DAMAS_Daily!E175,DAMAS_Daily!F175)</f>
        <v/>
      </c>
      <c r="I175" s="43">
        <f>IF(C175="aFRR+",DAMAS_Daily!G175,DAMAS_Daily!H175)</f>
        <v/>
      </c>
      <c r="J175" s="45">
        <f>IF(C175="aFRR+",DAMAS_Daily!C175,DAMAS_Daily!D175)</f>
        <v/>
      </c>
      <c r="K175" s="45">
        <f>IF(C175="aFRR+",MIN(DAMAS_Daily!C175*market_share_B*acceptance_rate*stack_activation,power_mw*hours_per_day,capacity_mwh),MIN(DAMAS_Daily!D175*market_share_B*acceptance_rate*stack_activation,power_mw*hours_per_day,capacity_mwh))</f>
        <v/>
      </c>
      <c r="L175" s="42">
        <f>IF(K175&gt;=capacity_mwh-0.01,"yes","no")</f>
        <v/>
      </c>
      <c r="M175" s="18">
        <f>IF(C175="aFRR+",(MIN(DAMAS_Daily!C175*market_share_B*acceptance_rate*stack_activation,power_mw*hours_per_day,capacity_mwh))*DAMAS_Daily!E175*activation_mult_B,(MIN(DAMAS_Daily!D175*market_share_B*acceptance_rate*stack_activation,power_mw*hours_per_day,capacity_mwh))*DAMAS_Daily!F175*activation_mult_B)</f>
        <v/>
      </c>
      <c r="N175" s="19">
        <f>F175+M175</f>
        <v/>
      </c>
    </row>
    <row r="176">
      <c r="A176" s="41">
        <f>DAMAS_Daily!A176</f>
        <v/>
      </c>
      <c r="B176" s="42">
        <f>DAMAS_Daily!B176</f>
        <v/>
      </c>
      <c r="C176" s="42">
        <f>IF((power_mw*hours_per_day*damas_afrr_up*capacity_mult_B*stack_capacity*acceptance_rate+(MIN(DAMAS_Daily!C176*market_share_B*acceptance_rate*stack_activation,power_mw*hours_per_day,capacity_mwh))*DAMAS_Daily!E176*activation_mult_B)&gt;=(power_mw*hours_per_day*damas_afrr_down*capacity_mult_B*stack_capacity*acceptance_rate+(MIN(DAMAS_Daily!D176*market_share_B*acceptance_rate*stack_activation,power_mw*hours_per_day,capacity_mwh))*DAMAS_Daily!F176*activation_mult_B),"aFRR+","aFRR-")</f>
        <v/>
      </c>
      <c r="D176" s="43">
        <f>IF(C176="aFRR+",damas_afrr_up*capacity_mult_B,damas_afrr_down*capacity_mult_B)</f>
        <v/>
      </c>
      <c r="E176" s="44">
        <f>acceptance_rate</f>
        <v/>
      </c>
      <c r="F176" s="18">
        <f>IF(C176="aFRR+",power_mw*hours_per_day*damas_afrr_up*capacity_mult_B*stack_capacity*acceptance_rate,power_mw*hours_per_day*damas_afrr_down*capacity_mult_B*stack_capacity*acceptance_rate)</f>
        <v/>
      </c>
      <c r="G176" s="42">
        <f>IF(C176="aFRR+",DAMAS_Daily!I176,DAMAS_Daily!J176)</f>
        <v/>
      </c>
      <c r="H176" s="43">
        <f>IF(C176="aFRR+",DAMAS_Daily!E176,DAMAS_Daily!F176)</f>
        <v/>
      </c>
      <c r="I176" s="43">
        <f>IF(C176="aFRR+",DAMAS_Daily!G176,DAMAS_Daily!H176)</f>
        <v/>
      </c>
      <c r="J176" s="45">
        <f>IF(C176="aFRR+",DAMAS_Daily!C176,DAMAS_Daily!D176)</f>
        <v/>
      </c>
      <c r="K176" s="45">
        <f>IF(C176="aFRR+",MIN(DAMAS_Daily!C176*market_share_B*acceptance_rate*stack_activation,power_mw*hours_per_day,capacity_mwh),MIN(DAMAS_Daily!D176*market_share_B*acceptance_rate*stack_activation,power_mw*hours_per_day,capacity_mwh))</f>
        <v/>
      </c>
      <c r="L176" s="42">
        <f>IF(K176&gt;=capacity_mwh-0.01,"yes","no")</f>
        <v/>
      </c>
      <c r="M176" s="18">
        <f>IF(C176="aFRR+",(MIN(DAMAS_Daily!C176*market_share_B*acceptance_rate*stack_activation,power_mw*hours_per_day,capacity_mwh))*DAMAS_Daily!E176*activation_mult_B,(MIN(DAMAS_Daily!D176*market_share_B*acceptance_rate*stack_activation,power_mw*hours_per_day,capacity_mwh))*DAMAS_Daily!F176*activation_mult_B)</f>
        <v/>
      </c>
      <c r="N176" s="19">
        <f>F176+M176</f>
        <v/>
      </c>
    </row>
    <row r="177">
      <c r="A177" s="41">
        <f>DAMAS_Daily!A177</f>
        <v/>
      </c>
      <c r="B177" s="42">
        <f>DAMAS_Daily!B177</f>
        <v/>
      </c>
      <c r="C177" s="42">
        <f>IF((power_mw*hours_per_day*damas_afrr_up*capacity_mult_B*stack_capacity*acceptance_rate+(MIN(DAMAS_Daily!C177*market_share_B*acceptance_rate*stack_activation,power_mw*hours_per_day,capacity_mwh))*DAMAS_Daily!E177*activation_mult_B)&gt;=(power_mw*hours_per_day*damas_afrr_down*capacity_mult_B*stack_capacity*acceptance_rate+(MIN(DAMAS_Daily!D177*market_share_B*acceptance_rate*stack_activation,power_mw*hours_per_day,capacity_mwh))*DAMAS_Daily!F177*activation_mult_B),"aFRR+","aFRR-")</f>
        <v/>
      </c>
      <c r="D177" s="43">
        <f>IF(C177="aFRR+",damas_afrr_up*capacity_mult_B,damas_afrr_down*capacity_mult_B)</f>
        <v/>
      </c>
      <c r="E177" s="44">
        <f>acceptance_rate</f>
        <v/>
      </c>
      <c r="F177" s="18">
        <f>IF(C177="aFRR+",power_mw*hours_per_day*damas_afrr_up*capacity_mult_B*stack_capacity*acceptance_rate,power_mw*hours_per_day*damas_afrr_down*capacity_mult_B*stack_capacity*acceptance_rate)</f>
        <v/>
      </c>
      <c r="G177" s="42">
        <f>IF(C177="aFRR+",DAMAS_Daily!I177,DAMAS_Daily!J177)</f>
        <v/>
      </c>
      <c r="H177" s="43">
        <f>IF(C177="aFRR+",DAMAS_Daily!E177,DAMAS_Daily!F177)</f>
        <v/>
      </c>
      <c r="I177" s="43">
        <f>IF(C177="aFRR+",DAMAS_Daily!G177,DAMAS_Daily!H177)</f>
        <v/>
      </c>
      <c r="J177" s="45">
        <f>IF(C177="aFRR+",DAMAS_Daily!C177,DAMAS_Daily!D177)</f>
        <v/>
      </c>
      <c r="K177" s="45">
        <f>IF(C177="aFRR+",MIN(DAMAS_Daily!C177*market_share_B*acceptance_rate*stack_activation,power_mw*hours_per_day,capacity_mwh),MIN(DAMAS_Daily!D177*market_share_B*acceptance_rate*stack_activation,power_mw*hours_per_day,capacity_mwh))</f>
        <v/>
      </c>
      <c r="L177" s="42">
        <f>IF(K177&gt;=capacity_mwh-0.01,"yes","no")</f>
        <v/>
      </c>
      <c r="M177" s="18">
        <f>IF(C177="aFRR+",(MIN(DAMAS_Daily!C177*market_share_B*acceptance_rate*stack_activation,power_mw*hours_per_day,capacity_mwh))*DAMAS_Daily!E177*activation_mult_B,(MIN(DAMAS_Daily!D177*market_share_B*acceptance_rate*stack_activation,power_mw*hours_per_day,capacity_mwh))*DAMAS_Daily!F177*activation_mult_B)</f>
        <v/>
      </c>
      <c r="N177" s="19">
        <f>F177+M177</f>
        <v/>
      </c>
    </row>
    <row r="178">
      <c r="A178" s="41">
        <f>DAMAS_Daily!A178</f>
        <v/>
      </c>
      <c r="B178" s="42">
        <f>DAMAS_Daily!B178</f>
        <v/>
      </c>
      <c r="C178" s="42">
        <f>IF((power_mw*hours_per_day*damas_afrr_up*capacity_mult_B*stack_capacity*acceptance_rate+(MIN(DAMAS_Daily!C178*market_share_B*acceptance_rate*stack_activation,power_mw*hours_per_day,capacity_mwh))*DAMAS_Daily!E178*activation_mult_B)&gt;=(power_mw*hours_per_day*damas_afrr_down*capacity_mult_B*stack_capacity*acceptance_rate+(MIN(DAMAS_Daily!D178*market_share_B*acceptance_rate*stack_activation,power_mw*hours_per_day,capacity_mwh))*DAMAS_Daily!F178*activation_mult_B),"aFRR+","aFRR-")</f>
        <v/>
      </c>
      <c r="D178" s="43">
        <f>IF(C178="aFRR+",damas_afrr_up*capacity_mult_B,damas_afrr_down*capacity_mult_B)</f>
        <v/>
      </c>
      <c r="E178" s="44">
        <f>acceptance_rate</f>
        <v/>
      </c>
      <c r="F178" s="18">
        <f>IF(C178="aFRR+",power_mw*hours_per_day*damas_afrr_up*capacity_mult_B*stack_capacity*acceptance_rate,power_mw*hours_per_day*damas_afrr_down*capacity_mult_B*stack_capacity*acceptance_rate)</f>
        <v/>
      </c>
      <c r="G178" s="42">
        <f>IF(C178="aFRR+",DAMAS_Daily!I178,DAMAS_Daily!J178)</f>
        <v/>
      </c>
      <c r="H178" s="43">
        <f>IF(C178="aFRR+",DAMAS_Daily!E178,DAMAS_Daily!F178)</f>
        <v/>
      </c>
      <c r="I178" s="43">
        <f>IF(C178="aFRR+",DAMAS_Daily!G178,DAMAS_Daily!H178)</f>
        <v/>
      </c>
      <c r="J178" s="45">
        <f>IF(C178="aFRR+",DAMAS_Daily!C178,DAMAS_Daily!D178)</f>
        <v/>
      </c>
      <c r="K178" s="45">
        <f>IF(C178="aFRR+",MIN(DAMAS_Daily!C178*market_share_B*acceptance_rate*stack_activation,power_mw*hours_per_day,capacity_mwh),MIN(DAMAS_Daily!D178*market_share_B*acceptance_rate*stack_activation,power_mw*hours_per_day,capacity_mwh))</f>
        <v/>
      </c>
      <c r="L178" s="42">
        <f>IF(K178&gt;=capacity_mwh-0.01,"yes","no")</f>
        <v/>
      </c>
      <c r="M178" s="18">
        <f>IF(C178="aFRR+",(MIN(DAMAS_Daily!C178*market_share_B*acceptance_rate*stack_activation,power_mw*hours_per_day,capacity_mwh))*DAMAS_Daily!E178*activation_mult_B,(MIN(DAMAS_Daily!D178*market_share_B*acceptance_rate*stack_activation,power_mw*hours_per_day,capacity_mwh))*DAMAS_Daily!F178*activation_mult_B)</f>
        <v/>
      </c>
      <c r="N178" s="19">
        <f>F178+M178</f>
        <v/>
      </c>
    </row>
    <row r="179">
      <c r="A179" s="41">
        <f>DAMAS_Daily!A179</f>
        <v/>
      </c>
      <c r="B179" s="42">
        <f>DAMAS_Daily!B179</f>
        <v/>
      </c>
      <c r="C179" s="42">
        <f>IF((power_mw*hours_per_day*damas_afrr_up*capacity_mult_B*stack_capacity*acceptance_rate+(MIN(DAMAS_Daily!C179*market_share_B*acceptance_rate*stack_activation,power_mw*hours_per_day,capacity_mwh))*DAMAS_Daily!E179*activation_mult_B)&gt;=(power_mw*hours_per_day*damas_afrr_down*capacity_mult_B*stack_capacity*acceptance_rate+(MIN(DAMAS_Daily!D179*market_share_B*acceptance_rate*stack_activation,power_mw*hours_per_day,capacity_mwh))*DAMAS_Daily!F179*activation_mult_B),"aFRR+","aFRR-")</f>
        <v/>
      </c>
      <c r="D179" s="43">
        <f>IF(C179="aFRR+",damas_afrr_up*capacity_mult_B,damas_afrr_down*capacity_mult_B)</f>
        <v/>
      </c>
      <c r="E179" s="44">
        <f>acceptance_rate</f>
        <v/>
      </c>
      <c r="F179" s="18">
        <f>IF(C179="aFRR+",power_mw*hours_per_day*damas_afrr_up*capacity_mult_B*stack_capacity*acceptance_rate,power_mw*hours_per_day*damas_afrr_down*capacity_mult_B*stack_capacity*acceptance_rate)</f>
        <v/>
      </c>
      <c r="G179" s="42">
        <f>IF(C179="aFRR+",DAMAS_Daily!I179,DAMAS_Daily!J179)</f>
        <v/>
      </c>
      <c r="H179" s="43">
        <f>IF(C179="aFRR+",DAMAS_Daily!E179,DAMAS_Daily!F179)</f>
        <v/>
      </c>
      <c r="I179" s="43">
        <f>IF(C179="aFRR+",DAMAS_Daily!G179,DAMAS_Daily!H179)</f>
        <v/>
      </c>
      <c r="J179" s="45">
        <f>IF(C179="aFRR+",DAMAS_Daily!C179,DAMAS_Daily!D179)</f>
        <v/>
      </c>
      <c r="K179" s="45">
        <f>IF(C179="aFRR+",MIN(DAMAS_Daily!C179*market_share_B*acceptance_rate*stack_activation,power_mw*hours_per_day,capacity_mwh),MIN(DAMAS_Daily!D179*market_share_B*acceptance_rate*stack_activation,power_mw*hours_per_day,capacity_mwh))</f>
        <v/>
      </c>
      <c r="L179" s="42">
        <f>IF(K179&gt;=capacity_mwh-0.01,"yes","no")</f>
        <v/>
      </c>
      <c r="M179" s="18">
        <f>IF(C179="aFRR+",(MIN(DAMAS_Daily!C179*market_share_B*acceptance_rate*stack_activation,power_mw*hours_per_day,capacity_mwh))*DAMAS_Daily!E179*activation_mult_B,(MIN(DAMAS_Daily!D179*market_share_B*acceptance_rate*stack_activation,power_mw*hours_per_day,capacity_mwh))*DAMAS_Daily!F179*activation_mult_B)</f>
        <v/>
      </c>
      <c r="N179" s="19">
        <f>F179+M179</f>
        <v/>
      </c>
    </row>
    <row r="180">
      <c r="A180" s="41">
        <f>DAMAS_Daily!A180</f>
        <v/>
      </c>
      <c r="B180" s="42">
        <f>DAMAS_Daily!B180</f>
        <v/>
      </c>
      <c r="C180" s="42">
        <f>IF((power_mw*hours_per_day*damas_afrr_up*capacity_mult_B*stack_capacity*acceptance_rate+(MIN(DAMAS_Daily!C180*market_share_B*acceptance_rate*stack_activation,power_mw*hours_per_day,capacity_mwh))*DAMAS_Daily!E180*activation_mult_B)&gt;=(power_mw*hours_per_day*damas_afrr_down*capacity_mult_B*stack_capacity*acceptance_rate+(MIN(DAMAS_Daily!D180*market_share_B*acceptance_rate*stack_activation,power_mw*hours_per_day,capacity_mwh))*DAMAS_Daily!F180*activation_mult_B),"aFRR+","aFRR-")</f>
        <v/>
      </c>
      <c r="D180" s="43">
        <f>IF(C180="aFRR+",damas_afrr_up*capacity_mult_B,damas_afrr_down*capacity_mult_B)</f>
        <v/>
      </c>
      <c r="E180" s="44">
        <f>acceptance_rate</f>
        <v/>
      </c>
      <c r="F180" s="18">
        <f>IF(C180="aFRR+",power_mw*hours_per_day*damas_afrr_up*capacity_mult_B*stack_capacity*acceptance_rate,power_mw*hours_per_day*damas_afrr_down*capacity_mult_B*stack_capacity*acceptance_rate)</f>
        <v/>
      </c>
      <c r="G180" s="42">
        <f>IF(C180="aFRR+",DAMAS_Daily!I180,DAMAS_Daily!J180)</f>
        <v/>
      </c>
      <c r="H180" s="43">
        <f>IF(C180="aFRR+",DAMAS_Daily!E180,DAMAS_Daily!F180)</f>
        <v/>
      </c>
      <c r="I180" s="43">
        <f>IF(C180="aFRR+",DAMAS_Daily!G180,DAMAS_Daily!H180)</f>
        <v/>
      </c>
      <c r="J180" s="45">
        <f>IF(C180="aFRR+",DAMAS_Daily!C180,DAMAS_Daily!D180)</f>
        <v/>
      </c>
      <c r="K180" s="45">
        <f>IF(C180="aFRR+",MIN(DAMAS_Daily!C180*market_share_B*acceptance_rate*stack_activation,power_mw*hours_per_day,capacity_mwh),MIN(DAMAS_Daily!D180*market_share_B*acceptance_rate*stack_activation,power_mw*hours_per_day,capacity_mwh))</f>
        <v/>
      </c>
      <c r="L180" s="42">
        <f>IF(K180&gt;=capacity_mwh-0.01,"yes","no")</f>
        <v/>
      </c>
      <c r="M180" s="18">
        <f>IF(C180="aFRR+",(MIN(DAMAS_Daily!C180*market_share_B*acceptance_rate*stack_activation,power_mw*hours_per_day,capacity_mwh))*DAMAS_Daily!E180*activation_mult_B,(MIN(DAMAS_Daily!D180*market_share_B*acceptance_rate*stack_activation,power_mw*hours_per_day,capacity_mwh))*DAMAS_Daily!F180*activation_mult_B)</f>
        <v/>
      </c>
      <c r="N180" s="19">
        <f>F180+M180</f>
        <v/>
      </c>
    </row>
    <row r="181">
      <c r="A181" s="41">
        <f>DAMAS_Daily!A181</f>
        <v/>
      </c>
      <c r="B181" s="42">
        <f>DAMAS_Daily!B181</f>
        <v/>
      </c>
      <c r="C181" s="42">
        <f>IF((power_mw*hours_per_day*damas_afrr_up*capacity_mult_B*stack_capacity*acceptance_rate+(MIN(DAMAS_Daily!C181*market_share_B*acceptance_rate*stack_activation,power_mw*hours_per_day,capacity_mwh))*DAMAS_Daily!E181*activation_mult_B)&gt;=(power_mw*hours_per_day*damas_afrr_down*capacity_mult_B*stack_capacity*acceptance_rate+(MIN(DAMAS_Daily!D181*market_share_B*acceptance_rate*stack_activation,power_mw*hours_per_day,capacity_mwh))*DAMAS_Daily!F181*activation_mult_B),"aFRR+","aFRR-")</f>
        <v/>
      </c>
      <c r="D181" s="43">
        <f>IF(C181="aFRR+",damas_afrr_up*capacity_mult_B,damas_afrr_down*capacity_mult_B)</f>
        <v/>
      </c>
      <c r="E181" s="44">
        <f>acceptance_rate</f>
        <v/>
      </c>
      <c r="F181" s="18">
        <f>IF(C181="aFRR+",power_mw*hours_per_day*damas_afrr_up*capacity_mult_B*stack_capacity*acceptance_rate,power_mw*hours_per_day*damas_afrr_down*capacity_mult_B*stack_capacity*acceptance_rate)</f>
        <v/>
      </c>
      <c r="G181" s="42">
        <f>IF(C181="aFRR+",DAMAS_Daily!I181,DAMAS_Daily!J181)</f>
        <v/>
      </c>
      <c r="H181" s="43">
        <f>IF(C181="aFRR+",DAMAS_Daily!E181,DAMAS_Daily!F181)</f>
        <v/>
      </c>
      <c r="I181" s="43">
        <f>IF(C181="aFRR+",DAMAS_Daily!G181,DAMAS_Daily!H181)</f>
        <v/>
      </c>
      <c r="J181" s="45">
        <f>IF(C181="aFRR+",DAMAS_Daily!C181,DAMAS_Daily!D181)</f>
        <v/>
      </c>
      <c r="K181" s="45">
        <f>IF(C181="aFRR+",MIN(DAMAS_Daily!C181*market_share_B*acceptance_rate*stack_activation,power_mw*hours_per_day,capacity_mwh),MIN(DAMAS_Daily!D181*market_share_B*acceptance_rate*stack_activation,power_mw*hours_per_day,capacity_mwh))</f>
        <v/>
      </c>
      <c r="L181" s="42">
        <f>IF(K181&gt;=capacity_mwh-0.01,"yes","no")</f>
        <v/>
      </c>
      <c r="M181" s="18">
        <f>IF(C181="aFRR+",(MIN(DAMAS_Daily!C181*market_share_B*acceptance_rate*stack_activation,power_mw*hours_per_day,capacity_mwh))*DAMAS_Daily!E181*activation_mult_B,(MIN(DAMAS_Daily!D181*market_share_B*acceptance_rate*stack_activation,power_mw*hours_per_day,capacity_mwh))*DAMAS_Daily!F181*activation_mult_B)</f>
        <v/>
      </c>
      <c r="N181" s="19">
        <f>F181+M181</f>
        <v/>
      </c>
    </row>
    <row r="182">
      <c r="A182" s="41">
        <f>DAMAS_Daily!A182</f>
        <v/>
      </c>
      <c r="B182" s="42">
        <f>DAMAS_Daily!B182</f>
        <v/>
      </c>
      <c r="C182" s="42">
        <f>IF((power_mw*hours_per_day*damas_afrr_up*capacity_mult_B*stack_capacity*acceptance_rate+(MIN(DAMAS_Daily!C182*market_share_B*acceptance_rate*stack_activation,power_mw*hours_per_day,capacity_mwh))*DAMAS_Daily!E182*activation_mult_B)&gt;=(power_mw*hours_per_day*damas_afrr_down*capacity_mult_B*stack_capacity*acceptance_rate+(MIN(DAMAS_Daily!D182*market_share_B*acceptance_rate*stack_activation,power_mw*hours_per_day,capacity_mwh))*DAMAS_Daily!F182*activation_mult_B),"aFRR+","aFRR-")</f>
        <v/>
      </c>
      <c r="D182" s="43">
        <f>IF(C182="aFRR+",damas_afrr_up*capacity_mult_B,damas_afrr_down*capacity_mult_B)</f>
        <v/>
      </c>
      <c r="E182" s="44">
        <f>acceptance_rate</f>
        <v/>
      </c>
      <c r="F182" s="18">
        <f>IF(C182="aFRR+",power_mw*hours_per_day*damas_afrr_up*capacity_mult_B*stack_capacity*acceptance_rate,power_mw*hours_per_day*damas_afrr_down*capacity_mult_B*stack_capacity*acceptance_rate)</f>
        <v/>
      </c>
      <c r="G182" s="42">
        <f>IF(C182="aFRR+",DAMAS_Daily!I182,DAMAS_Daily!J182)</f>
        <v/>
      </c>
      <c r="H182" s="43">
        <f>IF(C182="aFRR+",DAMAS_Daily!E182,DAMAS_Daily!F182)</f>
        <v/>
      </c>
      <c r="I182" s="43">
        <f>IF(C182="aFRR+",DAMAS_Daily!G182,DAMAS_Daily!H182)</f>
        <v/>
      </c>
      <c r="J182" s="45">
        <f>IF(C182="aFRR+",DAMAS_Daily!C182,DAMAS_Daily!D182)</f>
        <v/>
      </c>
      <c r="K182" s="45">
        <f>IF(C182="aFRR+",MIN(DAMAS_Daily!C182*market_share_B*acceptance_rate*stack_activation,power_mw*hours_per_day,capacity_mwh),MIN(DAMAS_Daily!D182*market_share_B*acceptance_rate*stack_activation,power_mw*hours_per_day,capacity_mwh))</f>
        <v/>
      </c>
      <c r="L182" s="42">
        <f>IF(K182&gt;=capacity_mwh-0.01,"yes","no")</f>
        <v/>
      </c>
      <c r="M182" s="18">
        <f>IF(C182="aFRR+",(MIN(DAMAS_Daily!C182*market_share_B*acceptance_rate*stack_activation,power_mw*hours_per_day,capacity_mwh))*DAMAS_Daily!E182*activation_mult_B,(MIN(DAMAS_Daily!D182*market_share_B*acceptance_rate*stack_activation,power_mw*hours_per_day,capacity_mwh))*DAMAS_Daily!F182*activation_mult_B)</f>
        <v/>
      </c>
      <c r="N182" s="19">
        <f>F182+M182</f>
        <v/>
      </c>
    </row>
    <row r="183">
      <c r="A183" s="41">
        <f>DAMAS_Daily!A183</f>
        <v/>
      </c>
      <c r="B183" s="42">
        <f>DAMAS_Daily!B183</f>
        <v/>
      </c>
      <c r="C183" s="42">
        <f>IF((power_mw*hours_per_day*damas_afrr_up*capacity_mult_B*stack_capacity*acceptance_rate+(MIN(DAMAS_Daily!C183*market_share_B*acceptance_rate*stack_activation,power_mw*hours_per_day,capacity_mwh))*DAMAS_Daily!E183*activation_mult_B)&gt;=(power_mw*hours_per_day*damas_afrr_down*capacity_mult_B*stack_capacity*acceptance_rate+(MIN(DAMAS_Daily!D183*market_share_B*acceptance_rate*stack_activation,power_mw*hours_per_day,capacity_mwh))*DAMAS_Daily!F183*activation_mult_B),"aFRR+","aFRR-")</f>
        <v/>
      </c>
      <c r="D183" s="43">
        <f>IF(C183="aFRR+",damas_afrr_up*capacity_mult_B,damas_afrr_down*capacity_mult_B)</f>
        <v/>
      </c>
      <c r="E183" s="44">
        <f>acceptance_rate</f>
        <v/>
      </c>
      <c r="F183" s="18">
        <f>IF(C183="aFRR+",power_mw*hours_per_day*damas_afrr_up*capacity_mult_B*stack_capacity*acceptance_rate,power_mw*hours_per_day*damas_afrr_down*capacity_mult_B*stack_capacity*acceptance_rate)</f>
        <v/>
      </c>
      <c r="G183" s="42">
        <f>IF(C183="aFRR+",DAMAS_Daily!I183,DAMAS_Daily!J183)</f>
        <v/>
      </c>
      <c r="H183" s="43">
        <f>IF(C183="aFRR+",DAMAS_Daily!E183,DAMAS_Daily!F183)</f>
        <v/>
      </c>
      <c r="I183" s="43">
        <f>IF(C183="aFRR+",DAMAS_Daily!G183,DAMAS_Daily!H183)</f>
        <v/>
      </c>
      <c r="J183" s="45">
        <f>IF(C183="aFRR+",DAMAS_Daily!C183,DAMAS_Daily!D183)</f>
        <v/>
      </c>
      <c r="K183" s="45">
        <f>IF(C183="aFRR+",MIN(DAMAS_Daily!C183*market_share_B*acceptance_rate*stack_activation,power_mw*hours_per_day,capacity_mwh),MIN(DAMAS_Daily!D183*market_share_B*acceptance_rate*stack_activation,power_mw*hours_per_day,capacity_mwh))</f>
        <v/>
      </c>
      <c r="L183" s="42">
        <f>IF(K183&gt;=capacity_mwh-0.01,"yes","no")</f>
        <v/>
      </c>
      <c r="M183" s="18">
        <f>IF(C183="aFRR+",(MIN(DAMAS_Daily!C183*market_share_B*acceptance_rate*stack_activation,power_mw*hours_per_day,capacity_mwh))*DAMAS_Daily!E183*activation_mult_B,(MIN(DAMAS_Daily!D183*market_share_B*acceptance_rate*stack_activation,power_mw*hours_per_day,capacity_mwh))*DAMAS_Daily!F183*activation_mult_B)</f>
        <v/>
      </c>
      <c r="N183" s="19">
        <f>F183+M183</f>
        <v/>
      </c>
    </row>
    <row r="184">
      <c r="A184" s="41">
        <f>DAMAS_Daily!A184</f>
        <v/>
      </c>
      <c r="B184" s="42">
        <f>DAMAS_Daily!B184</f>
        <v/>
      </c>
      <c r="C184" s="42">
        <f>IF((power_mw*hours_per_day*damas_afrr_up*capacity_mult_B*stack_capacity*acceptance_rate+(MIN(DAMAS_Daily!C184*market_share_B*acceptance_rate*stack_activation,power_mw*hours_per_day,capacity_mwh))*DAMAS_Daily!E184*activation_mult_B)&gt;=(power_mw*hours_per_day*damas_afrr_down*capacity_mult_B*stack_capacity*acceptance_rate+(MIN(DAMAS_Daily!D184*market_share_B*acceptance_rate*stack_activation,power_mw*hours_per_day,capacity_mwh))*DAMAS_Daily!F184*activation_mult_B),"aFRR+","aFRR-")</f>
        <v/>
      </c>
      <c r="D184" s="43">
        <f>IF(C184="aFRR+",damas_afrr_up*capacity_mult_B,damas_afrr_down*capacity_mult_B)</f>
        <v/>
      </c>
      <c r="E184" s="44">
        <f>acceptance_rate</f>
        <v/>
      </c>
      <c r="F184" s="18">
        <f>IF(C184="aFRR+",power_mw*hours_per_day*damas_afrr_up*capacity_mult_B*stack_capacity*acceptance_rate,power_mw*hours_per_day*damas_afrr_down*capacity_mult_B*stack_capacity*acceptance_rate)</f>
        <v/>
      </c>
      <c r="G184" s="42">
        <f>IF(C184="aFRR+",DAMAS_Daily!I184,DAMAS_Daily!J184)</f>
        <v/>
      </c>
      <c r="H184" s="43">
        <f>IF(C184="aFRR+",DAMAS_Daily!E184,DAMAS_Daily!F184)</f>
        <v/>
      </c>
      <c r="I184" s="43">
        <f>IF(C184="aFRR+",DAMAS_Daily!G184,DAMAS_Daily!H184)</f>
        <v/>
      </c>
      <c r="J184" s="45">
        <f>IF(C184="aFRR+",DAMAS_Daily!C184,DAMAS_Daily!D184)</f>
        <v/>
      </c>
      <c r="K184" s="45">
        <f>IF(C184="aFRR+",MIN(DAMAS_Daily!C184*market_share_B*acceptance_rate*stack_activation,power_mw*hours_per_day,capacity_mwh),MIN(DAMAS_Daily!D184*market_share_B*acceptance_rate*stack_activation,power_mw*hours_per_day,capacity_mwh))</f>
        <v/>
      </c>
      <c r="L184" s="42">
        <f>IF(K184&gt;=capacity_mwh-0.01,"yes","no")</f>
        <v/>
      </c>
      <c r="M184" s="18">
        <f>IF(C184="aFRR+",(MIN(DAMAS_Daily!C184*market_share_B*acceptance_rate*stack_activation,power_mw*hours_per_day,capacity_mwh))*DAMAS_Daily!E184*activation_mult_B,(MIN(DAMAS_Daily!D184*market_share_B*acceptance_rate*stack_activation,power_mw*hours_per_day,capacity_mwh))*DAMAS_Daily!F184*activation_mult_B)</f>
        <v/>
      </c>
      <c r="N184" s="19">
        <f>F184+M184</f>
        <v/>
      </c>
    </row>
    <row r="185">
      <c r="A185" s="41">
        <f>DAMAS_Daily!A185</f>
        <v/>
      </c>
      <c r="B185" s="42">
        <f>DAMAS_Daily!B185</f>
        <v/>
      </c>
      <c r="C185" s="42">
        <f>IF((power_mw*hours_per_day*damas_afrr_up*capacity_mult_B*stack_capacity*acceptance_rate+(MIN(DAMAS_Daily!C185*market_share_B*acceptance_rate*stack_activation,power_mw*hours_per_day,capacity_mwh))*DAMAS_Daily!E185*activation_mult_B)&gt;=(power_mw*hours_per_day*damas_afrr_down*capacity_mult_B*stack_capacity*acceptance_rate+(MIN(DAMAS_Daily!D185*market_share_B*acceptance_rate*stack_activation,power_mw*hours_per_day,capacity_mwh))*DAMAS_Daily!F185*activation_mult_B),"aFRR+","aFRR-")</f>
        <v/>
      </c>
      <c r="D185" s="43">
        <f>IF(C185="aFRR+",damas_afrr_up*capacity_mult_B,damas_afrr_down*capacity_mult_B)</f>
        <v/>
      </c>
      <c r="E185" s="44">
        <f>acceptance_rate</f>
        <v/>
      </c>
      <c r="F185" s="18">
        <f>IF(C185="aFRR+",power_mw*hours_per_day*damas_afrr_up*capacity_mult_B*stack_capacity*acceptance_rate,power_mw*hours_per_day*damas_afrr_down*capacity_mult_B*stack_capacity*acceptance_rate)</f>
        <v/>
      </c>
      <c r="G185" s="42">
        <f>IF(C185="aFRR+",DAMAS_Daily!I185,DAMAS_Daily!J185)</f>
        <v/>
      </c>
      <c r="H185" s="43">
        <f>IF(C185="aFRR+",DAMAS_Daily!E185,DAMAS_Daily!F185)</f>
        <v/>
      </c>
      <c r="I185" s="43">
        <f>IF(C185="aFRR+",DAMAS_Daily!G185,DAMAS_Daily!H185)</f>
        <v/>
      </c>
      <c r="J185" s="45">
        <f>IF(C185="aFRR+",DAMAS_Daily!C185,DAMAS_Daily!D185)</f>
        <v/>
      </c>
      <c r="K185" s="45">
        <f>IF(C185="aFRR+",MIN(DAMAS_Daily!C185*market_share_B*acceptance_rate*stack_activation,power_mw*hours_per_day,capacity_mwh),MIN(DAMAS_Daily!D185*market_share_B*acceptance_rate*stack_activation,power_mw*hours_per_day,capacity_mwh))</f>
        <v/>
      </c>
      <c r="L185" s="42">
        <f>IF(K185&gt;=capacity_mwh-0.01,"yes","no")</f>
        <v/>
      </c>
      <c r="M185" s="18">
        <f>IF(C185="aFRR+",(MIN(DAMAS_Daily!C185*market_share_B*acceptance_rate*stack_activation,power_mw*hours_per_day,capacity_mwh))*DAMAS_Daily!E185*activation_mult_B,(MIN(DAMAS_Daily!D185*market_share_B*acceptance_rate*stack_activation,power_mw*hours_per_day,capacity_mwh))*DAMAS_Daily!F185*activation_mult_B)</f>
        <v/>
      </c>
      <c r="N185" s="19">
        <f>F185+M185</f>
        <v/>
      </c>
    </row>
    <row r="186">
      <c r="A186" s="41">
        <f>DAMAS_Daily!A186</f>
        <v/>
      </c>
      <c r="B186" s="42">
        <f>DAMAS_Daily!B186</f>
        <v/>
      </c>
      <c r="C186" s="42">
        <f>IF((power_mw*hours_per_day*damas_afrr_up*capacity_mult_B*stack_capacity*acceptance_rate+(MIN(DAMAS_Daily!C186*market_share_B*acceptance_rate*stack_activation,power_mw*hours_per_day,capacity_mwh))*DAMAS_Daily!E186*activation_mult_B)&gt;=(power_mw*hours_per_day*damas_afrr_down*capacity_mult_B*stack_capacity*acceptance_rate+(MIN(DAMAS_Daily!D186*market_share_B*acceptance_rate*stack_activation,power_mw*hours_per_day,capacity_mwh))*DAMAS_Daily!F186*activation_mult_B),"aFRR+","aFRR-")</f>
        <v/>
      </c>
      <c r="D186" s="43">
        <f>IF(C186="aFRR+",damas_afrr_up*capacity_mult_B,damas_afrr_down*capacity_mult_B)</f>
        <v/>
      </c>
      <c r="E186" s="44">
        <f>acceptance_rate</f>
        <v/>
      </c>
      <c r="F186" s="18">
        <f>IF(C186="aFRR+",power_mw*hours_per_day*damas_afrr_up*capacity_mult_B*stack_capacity*acceptance_rate,power_mw*hours_per_day*damas_afrr_down*capacity_mult_B*stack_capacity*acceptance_rate)</f>
        <v/>
      </c>
      <c r="G186" s="42">
        <f>IF(C186="aFRR+",DAMAS_Daily!I186,DAMAS_Daily!J186)</f>
        <v/>
      </c>
      <c r="H186" s="43">
        <f>IF(C186="aFRR+",DAMAS_Daily!E186,DAMAS_Daily!F186)</f>
        <v/>
      </c>
      <c r="I186" s="43">
        <f>IF(C186="aFRR+",DAMAS_Daily!G186,DAMAS_Daily!H186)</f>
        <v/>
      </c>
      <c r="J186" s="45">
        <f>IF(C186="aFRR+",DAMAS_Daily!C186,DAMAS_Daily!D186)</f>
        <v/>
      </c>
      <c r="K186" s="45">
        <f>IF(C186="aFRR+",MIN(DAMAS_Daily!C186*market_share_B*acceptance_rate*stack_activation,power_mw*hours_per_day,capacity_mwh),MIN(DAMAS_Daily!D186*market_share_B*acceptance_rate*stack_activation,power_mw*hours_per_day,capacity_mwh))</f>
        <v/>
      </c>
      <c r="L186" s="42">
        <f>IF(K186&gt;=capacity_mwh-0.01,"yes","no")</f>
        <v/>
      </c>
      <c r="M186" s="18">
        <f>IF(C186="aFRR+",(MIN(DAMAS_Daily!C186*market_share_B*acceptance_rate*stack_activation,power_mw*hours_per_day,capacity_mwh))*DAMAS_Daily!E186*activation_mult_B,(MIN(DAMAS_Daily!D186*market_share_B*acceptance_rate*stack_activation,power_mw*hours_per_day,capacity_mwh))*DAMAS_Daily!F186*activation_mult_B)</f>
        <v/>
      </c>
      <c r="N186" s="19">
        <f>F186+M186</f>
        <v/>
      </c>
    </row>
    <row r="187">
      <c r="A187" s="41">
        <f>DAMAS_Daily!A187</f>
        <v/>
      </c>
      <c r="B187" s="42">
        <f>DAMAS_Daily!B187</f>
        <v/>
      </c>
      <c r="C187" s="42">
        <f>IF((power_mw*hours_per_day*damas_afrr_up*capacity_mult_B*stack_capacity*acceptance_rate+(MIN(DAMAS_Daily!C187*market_share_B*acceptance_rate*stack_activation,power_mw*hours_per_day,capacity_mwh))*DAMAS_Daily!E187*activation_mult_B)&gt;=(power_mw*hours_per_day*damas_afrr_down*capacity_mult_B*stack_capacity*acceptance_rate+(MIN(DAMAS_Daily!D187*market_share_B*acceptance_rate*stack_activation,power_mw*hours_per_day,capacity_mwh))*DAMAS_Daily!F187*activation_mult_B),"aFRR+","aFRR-")</f>
        <v/>
      </c>
      <c r="D187" s="43">
        <f>IF(C187="aFRR+",damas_afrr_up*capacity_mult_B,damas_afrr_down*capacity_mult_B)</f>
        <v/>
      </c>
      <c r="E187" s="44">
        <f>acceptance_rate</f>
        <v/>
      </c>
      <c r="F187" s="18">
        <f>IF(C187="aFRR+",power_mw*hours_per_day*damas_afrr_up*capacity_mult_B*stack_capacity*acceptance_rate,power_mw*hours_per_day*damas_afrr_down*capacity_mult_B*stack_capacity*acceptance_rate)</f>
        <v/>
      </c>
      <c r="G187" s="42">
        <f>IF(C187="aFRR+",DAMAS_Daily!I187,DAMAS_Daily!J187)</f>
        <v/>
      </c>
      <c r="H187" s="43">
        <f>IF(C187="aFRR+",DAMAS_Daily!E187,DAMAS_Daily!F187)</f>
        <v/>
      </c>
      <c r="I187" s="43">
        <f>IF(C187="aFRR+",DAMAS_Daily!G187,DAMAS_Daily!H187)</f>
        <v/>
      </c>
      <c r="J187" s="45">
        <f>IF(C187="aFRR+",DAMAS_Daily!C187,DAMAS_Daily!D187)</f>
        <v/>
      </c>
      <c r="K187" s="45">
        <f>IF(C187="aFRR+",MIN(DAMAS_Daily!C187*market_share_B*acceptance_rate*stack_activation,power_mw*hours_per_day,capacity_mwh),MIN(DAMAS_Daily!D187*market_share_B*acceptance_rate*stack_activation,power_mw*hours_per_day,capacity_mwh))</f>
        <v/>
      </c>
      <c r="L187" s="42">
        <f>IF(K187&gt;=capacity_mwh-0.01,"yes","no")</f>
        <v/>
      </c>
      <c r="M187" s="18">
        <f>IF(C187="aFRR+",(MIN(DAMAS_Daily!C187*market_share_B*acceptance_rate*stack_activation,power_mw*hours_per_day,capacity_mwh))*DAMAS_Daily!E187*activation_mult_B,(MIN(DAMAS_Daily!D187*market_share_B*acceptance_rate*stack_activation,power_mw*hours_per_day,capacity_mwh))*DAMAS_Daily!F187*activation_mult_B)</f>
        <v/>
      </c>
      <c r="N187" s="19">
        <f>F187+M187</f>
        <v/>
      </c>
    </row>
    <row r="188">
      <c r="A188" s="41">
        <f>DAMAS_Daily!A188</f>
        <v/>
      </c>
      <c r="B188" s="42">
        <f>DAMAS_Daily!B188</f>
        <v/>
      </c>
      <c r="C188" s="42">
        <f>IF((power_mw*hours_per_day*damas_afrr_up*capacity_mult_B*stack_capacity*acceptance_rate+(MIN(DAMAS_Daily!C188*market_share_B*acceptance_rate*stack_activation,power_mw*hours_per_day,capacity_mwh))*DAMAS_Daily!E188*activation_mult_B)&gt;=(power_mw*hours_per_day*damas_afrr_down*capacity_mult_B*stack_capacity*acceptance_rate+(MIN(DAMAS_Daily!D188*market_share_B*acceptance_rate*stack_activation,power_mw*hours_per_day,capacity_mwh))*DAMAS_Daily!F188*activation_mult_B),"aFRR+","aFRR-")</f>
        <v/>
      </c>
      <c r="D188" s="43">
        <f>IF(C188="aFRR+",damas_afrr_up*capacity_mult_B,damas_afrr_down*capacity_mult_B)</f>
        <v/>
      </c>
      <c r="E188" s="44">
        <f>acceptance_rate</f>
        <v/>
      </c>
      <c r="F188" s="18">
        <f>IF(C188="aFRR+",power_mw*hours_per_day*damas_afrr_up*capacity_mult_B*stack_capacity*acceptance_rate,power_mw*hours_per_day*damas_afrr_down*capacity_mult_B*stack_capacity*acceptance_rate)</f>
        <v/>
      </c>
      <c r="G188" s="42">
        <f>IF(C188="aFRR+",DAMAS_Daily!I188,DAMAS_Daily!J188)</f>
        <v/>
      </c>
      <c r="H188" s="43">
        <f>IF(C188="aFRR+",DAMAS_Daily!E188,DAMAS_Daily!F188)</f>
        <v/>
      </c>
      <c r="I188" s="43">
        <f>IF(C188="aFRR+",DAMAS_Daily!G188,DAMAS_Daily!H188)</f>
        <v/>
      </c>
      <c r="J188" s="45">
        <f>IF(C188="aFRR+",DAMAS_Daily!C188,DAMAS_Daily!D188)</f>
        <v/>
      </c>
      <c r="K188" s="45">
        <f>IF(C188="aFRR+",MIN(DAMAS_Daily!C188*market_share_B*acceptance_rate*stack_activation,power_mw*hours_per_day,capacity_mwh),MIN(DAMAS_Daily!D188*market_share_B*acceptance_rate*stack_activation,power_mw*hours_per_day,capacity_mwh))</f>
        <v/>
      </c>
      <c r="L188" s="42">
        <f>IF(K188&gt;=capacity_mwh-0.01,"yes","no")</f>
        <v/>
      </c>
      <c r="M188" s="18">
        <f>IF(C188="aFRR+",(MIN(DAMAS_Daily!C188*market_share_B*acceptance_rate*stack_activation,power_mw*hours_per_day,capacity_mwh))*DAMAS_Daily!E188*activation_mult_B,(MIN(DAMAS_Daily!D188*market_share_B*acceptance_rate*stack_activation,power_mw*hours_per_day,capacity_mwh))*DAMAS_Daily!F188*activation_mult_B)</f>
        <v/>
      </c>
      <c r="N188" s="19">
        <f>F188+M188</f>
        <v/>
      </c>
    </row>
    <row r="189">
      <c r="A189" s="41">
        <f>DAMAS_Daily!A189</f>
        <v/>
      </c>
      <c r="B189" s="42">
        <f>DAMAS_Daily!B189</f>
        <v/>
      </c>
      <c r="C189" s="42">
        <f>IF((power_mw*hours_per_day*damas_afrr_up*capacity_mult_B*stack_capacity*acceptance_rate+(MIN(DAMAS_Daily!C189*market_share_B*acceptance_rate*stack_activation,power_mw*hours_per_day,capacity_mwh))*DAMAS_Daily!E189*activation_mult_B)&gt;=(power_mw*hours_per_day*damas_afrr_down*capacity_mult_B*stack_capacity*acceptance_rate+(MIN(DAMAS_Daily!D189*market_share_B*acceptance_rate*stack_activation,power_mw*hours_per_day,capacity_mwh))*DAMAS_Daily!F189*activation_mult_B),"aFRR+","aFRR-")</f>
        <v/>
      </c>
      <c r="D189" s="43">
        <f>IF(C189="aFRR+",damas_afrr_up*capacity_mult_B,damas_afrr_down*capacity_mult_B)</f>
        <v/>
      </c>
      <c r="E189" s="44">
        <f>acceptance_rate</f>
        <v/>
      </c>
      <c r="F189" s="18">
        <f>IF(C189="aFRR+",power_mw*hours_per_day*damas_afrr_up*capacity_mult_B*stack_capacity*acceptance_rate,power_mw*hours_per_day*damas_afrr_down*capacity_mult_B*stack_capacity*acceptance_rate)</f>
        <v/>
      </c>
      <c r="G189" s="42">
        <f>IF(C189="aFRR+",DAMAS_Daily!I189,DAMAS_Daily!J189)</f>
        <v/>
      </c>
      <c r="H189" s="43">
        <f>IF(C189="aFRR+",DAMAS_Daily!E189,DAMAS_Daily!F189)</f>
        <v/>
      </c>
      <c r="I189" s="43">
        <f>IF(C189="aFRR+",DAMAS_Daily!G189,DAMAS_Daily!H189)</f>
        <v/>
      </c>
      <c r="J189" s="45">
        <f>IF(C189="aFRR+",DAMAS_Daily!C189,DAMAS_Daily!D189)</f>
        <v/>
      </c>
      <c r="K189" s="45">
        <f>IF(C189="aFRR+",MIN(DAMAS_Daily!C189*market_share_B*acceptance_rate*stack_activation,power_mw*hours_per_day,capacity_mwh),MIN(DAMAS_Daily!D189*market_share_B*acceptance_rate*stack_activation,power_mw*hours_per_day,capacity_mwh))</f>
        <v/>
      </c>
      <c r="L189" s="42">
        <f>IF(K189&gt;=capacity_mwh-0.01,"yes","no")</f>
        <v/>
      </c>
      <c r="M189" s="18">
        <f>IF(C189="aFRR+",(MIN(DAMAS_Daily!C189*market_share_B*acceptance_rate*stack_activation,power_mw*hours_per_day,capacity_mwh))*DAMAS_Daily!E189*activation_mult_B,(MIN(DAMAS_Daily!D189*market_share_B*acceptance_rate*stack_activation,power_mw*hours_per_day,capacity_mwh))*DAMAS_Daily!F189*activation_mult_B)</f>
        <v/>
      </c>
      <c r="N189" s="19">
        <f>F189+M189</f>
        <v/>
      </c>
    </row>
    <row r="190">
      <c r="A190" s="41">
        <f>DAMAS_Daily!A190</f>
        <v/>
      </c>
      <c r="B190" s="42">
        <f>DAMAS_Daily!B190</f>
        <v/>
      </c>
      <c r="C190" s="42">
        <f>IF((power_mw*hours_per_day*damas_afrr_up*capacity_mult_B*stack_capacity*acceptance_rate+(MIN(DAMAS_Daily!C190*market_share_B*acceptance_rate*stack_activation,power_mw*hours_per_day,capacity_mwh))*DAMAS_Daily!E190*activation_mult_B)&gt;=(power_mw*hours_per_day*damas_afrr_down*capacity_mult_B*stack_capacity*acceptance_rate+(MIN(DAMAS_Daily!D190*market_share_B*acceptance_rate*stack_activation,power_mw*hours_per_day,capacity_mwh))*DAMAS_Daily!F190*activation_mult_B),"aFRR+","aFRR-")</f>
        <v/>
      </c>
      <c r="D190" s="43">
        <f>IF(C190="aFRR+",damas_afrr_up*capacity_mult_B,damas_afrr_down*capacity_mult_B)</f>
        <v/>
      </c>
      <c r="E190" s="44">
        <f>acceptance_rate</f>
        <v/>
      </c>
      <c r="F190" s="18">
        <f>IF(C190="aFRR+",power_mw*hours_per_day*damas_afrr_up*capacity_mult_B*stack_capacity*acceptance_rate,power_mw*hours_per_day*damas_afrr_down*capacity_mult_B*stack_capacity*acceptance_rate)</f>
        <v/>
      </c>
      <c r="G190" s="42">
        <f>IF(C190="aFRR+",DAMAS_Daily!I190,DAMAS_Daily!J190)</f>
        <v/>
      </c>
      <c r="H190" s="43">
        <f>IF(C190="aFRR+",DAMAS_Daily!E190,DAMAS_Daily!F190)</f>
        <v/>
      </c>
      <c r="I190" s="43">
        <f>IF(C190="aFRR+",DAMAS_Daily!G190,DAMAS_Daily!H190)</f>
        <v/>
      </c>
      <c r="J190" s="45">
        <f>IF(C190="aFRR+",DAMAS_Daily!C190,DAMAS_Daily!D190)</f>
        <v/>
      </c>
      <c r="K190" s="45">
        <f>IF(C190="aFRR+",MIN(DAMAS_Daily!C190*market_share_B*acceptance_rate*stack_activation,power_mw*hours_per_day,capacity_mwh),MIN(DAMAS_Daily!D190*market_share_B*acceptance_rate*stack_activation,power_mw*hours_per_day,capacity_mwh))</f>
        <v/>
      </c>
      <c r="L190" s="42">
        <f>IF(K190&gt;=capacity_mwh-0.01,"yes","no")</f>
        <v/>
      </c>
      <c r="M190" s="18">
        <f>IF(C190="aFRR+",(MIN(DAMAS_Daily!C190*market_share_B*acceptance_rate*stack_activation,power_mw*hours_per_day,capacity_mwh))*DAMAS_Daily!E190*activation_mult_B,(MIN(DAMAS_Daily!D190*market_share_B*acceptance_rate*stack_activation,power_mw*hours_per_day,capacity_mwh))*DAMAS_Daily!F190*activation_mult_B)</f>
        <v/>
      </c>
      <c r="N190" s="19">
        <f>F190+M190</f>
        <v/>
      </c>
    </row>
    <row r="191">
      <c r="A191" s="41">
        <f>DAMAS_Daily!A191</f>
        <v/>
      </c>
      <c r="B191" s="42">
        <f>DAMAS_Daily!B191</f>
        <v/>
      </c>
      <c r="C191" s="42">
        <f>IF((power_mw*hours_per_day*damas_afrr_up*capacity_mult_B*stack_capacity*acceptance_rate+(MIN(DAMAS_Daily!C191*market_share_B*acceptance_rate*stack_activation,power_mw*hours_per_day,capacity_mwh))*DAMAS_Daily!E191*activation_mult_B)&gt;=(power_mw*hours_per_day*damas_afrr_down*capacity_mult_B*stack_capacity*acceptance_rate+(MIN(DAMAS_Daily!D191*market_share_B*acceptance_rate*stack_activation,power_mw*hours_per_day,capacity_mwh))*DAMAS_Daily!F191*activation_mult_B),"aFRR+","aFRR-")</f>
        <v/>
      </c>
      <c r="D191" s="43">
        <f>IF(C191="aFRR+",damas_afrr_up*capacity_mult_B,damas_afrr_down*capacity_mult_B)</f>
        <v/>
      </c>
      <c r="E191" s="44">
        <f>acceptance_rate</f>
        <v/>
      </c>
      <c r="F191" s="18">
        <f>IF(C191="aFRR+",power_mw*hours_per_day*damas_afrr_up*capacity_mult_B*stack_capacity*acceptance_rate,power_mw*hours_per_day*damas_afrr_down*capacity_mult_B*stack_capacity*acceptance_rate)</f>
        <v/>
      </c>
      <c r="G191" s="42">
        <f>IF(C191="aFRR+",DAMAS_Daily!I191,DAMAS_Daily!J191)</f>
        <v/>
      </c>
      <c r="H191" s="43">
        <f>IF(C191="aFRR+",DAMAS_Daily!E191,DAMAS_Daily!F191)</f>
        <v/>
      </c>
      <c r="I191" s="43">
        <f>IF(C191="aFRR+",DAMAS_Daily!G191,DAMAS_Daily!H191)</f>
        <v/>
      </c>
      <c r="J191" s="45">
        <f>IF(C191="aFRR+",DAMAS_Daily!C191,DAMAS_Daily!D191)</f>
        <v/>
      </c>
      <c r="K191" s="45">
        <f>IF(C191="aFRR+",MIN(DAMAS_Daily!C191*market_share_B*acceptance_rate*stack_activation,power_mw*hours_per_day,capacity_mwh),MIN(DAMAS_Daily!D191*market_share_B*acceptance_rate*stack_activation,power_mw*hours_per_day,capacity_mwh))</f>
        <v/>
      </c>
      <c r="L191" s="42">
        <f>IF(K191&gt;=capacity_mwh-0.01,"yes","no")</f>
        <v/>
      </c>
      <c r="M191" s="18">
        <f>IF(C191="aFRR+",(MIN(DAMAS_Daily!C191*market_share_B*acceptance_rate*stack_activation,power_mw*hours_per_day,capacity_mwh))*DAMAS_Daily!E191*activation_mult_B,(MIN(DAMAS_Daily!D191*market_share_B*acceptance_rate*stack_activation,power_mw*hours_per_day,capacity_mwh))*DAMAS_Daily!F191*activation_mult_B)</f>
        <v/>
      </c>
      <c r="N191" s="19">
        <f>F191+M191</f>
        <v/>
      </c>
    </row>
    <row r="192">
      <c r="A192" s="41">
        <f>DAMAS_Daily!A192</f>
        <v/>
      </c>
      <c r="B192" s="42">
        <f>DAMAS_Daily!B192</f>
        <v/>
      </c>
      <c r="C192" s="42">
        <f>IF((power_mw*hours_per_day*damas_afrr_up*capacity_mult_B*stack_capacity*acceptance_rate+(MIN(DAMAS_Daily!C192*market_share_B*acceptance_rate*stack_activation,power_mw*hours_per_day,capacity_mwh))*DAMAS_Daily!E192*activation_mult_B)&gt;=(power_mw*hours_per_day*damas_afrr_down*capacity_mult_B*stack_capacity*acceptance_rate+(MIN(DAMAS_Daily!D192*market_share_B*acceptance_rate*stack_activation,power_mw*hours_per_day,capacity_mwh))*DAMAS_Daily!F192*activation_mult_B),"aFRR+","aFRR-")</f>
        <v/>
      </c>
      <c r="D192" s="43">
        <f>IF(C192="aFRR+",damas_afrr_up*capacity_mult_B,damas_afrr_down*capacity_mult_B)</f>
        <v/>
      </c>
      <c r="E192" s="44">
        <f>acceptance_rate</f>
        <v/>
      </c>
      <c r="F192" s="18">
        <f>IF(C192="aFRR+",power_mw*hours_per_day*damas_afrr_up*capacity_mult_B*stack_capacity*acceptance_rate,power_mw*hours_per_day*damas_afrr_down*capacity_mult_B*stack_capacity*acceptance_rate)</f>
        <v/>
      </c>
      <c r="G192" s="42">
        <f>IF(C192="aFRR+",DAMAS_Daily!I192,DAMAS_Daily!J192)</f>
        <v/>
      </c>
      <c r="H192" s="43">
        <f>IF(C192="aFRR+",DAMAS_Daily!E192,DAMAS_Daily!F192)</f>
        <v/>
      </c>
      <c r="I192" s="43">
        <f>IF(C192="aFRR+",DAMAS_Daily!G192,DAMAS_Daily!H192)</f>
        <v/>
      </c>
      <c r="J192" s="45">
        <f>IF(C192="aFRR+",DAMAS_Daily!C192,DAMAS_Daily!D192)</f>
        <v/>
      </c>
      <c r="K192" s="45">
        <f>IF(C192="aFRR+",MIN(DAMAS_Daily!C192*market_share_B*acceptance_rate*stack_activation,power_mw*hours_per_day,capacity_mwh),MIN(DAMAS_Daily!D192*market_share_B*acceptance_rate*stack_activation,power_mw*hours_per_day,capacity_mwh))</f>
        <v/>
      </c>
      <c r="L192" s="42">
        <f>IF(K192&gt;=capacity_mwh-0.01,"yes","no")</f>
        <v/>
      </c>
      <c r="M192" s="18">
        <f>IF(C192="aFRR+",(MIN(DAMAS_Daily!C192*market_share_B*acceptance_rate*stack_activation,power_mw*hours_per_day,capacity_mwh))*DAMAS_Daily!E192*activation_mult_B,(MIN(DAMAS_Daily!D192*market_share_B*acceptance_rate*stack_activation,power_mw*hours_per_day,capacity_mwh))*DAMAS_Daily!F192*activation_mult_B)</f>
        <v/>
      </c>
      <c r="N192" s="19">
        <f>F192+M192</f>
        <v/>
      </c>
    </row>
    <row r="193">
      <c r="A193" s="41">
        <f>DAMAS_Daily!A193</f>
        <v/>
      </c>
      <c r="B193" s="42">
        <f>DAMAS_Daily!B193</f>
        <v/>
      </c>
      <c r="C193" s="42">
        <f>IF((power_mw*hours_per_day*damas_afrr_up*capacity_mult_B*stack_capacity*acceptance_rate+(MIN(DAMAS_Daily!C193*market_share_B*acceptance_rate*stack_activation,power_mw*hours_per_day,capacity_mwh))*DAMAS_Daily!E193*activation_mult_B)&gt;=(power_mw*hours_per_day*damas_afrr_down*capacity_mult_B*stack_capacity*acceptance_rate+(MIN(DAMAS_Daily!D193*market_share_B*acceptance_rate*stack_activation,power_mw*hours_per_day,capacity_mwh))*DAMAS_Daily!F193*activation_mult_B),"aFRR+","aFRR-")</f>
        <v/>
      </c>
      <c r="D193" s="43">
        <f>IF(C193="aFRR+",damas_afrr_up*capacity_mult_B,damas_afrr_down*capacity_mult_B)</f>
        <v/>
      </c>
      <c r="E193" s="44">
        <f>acceptance_rate</f>
        <v/>
      </c>
      <c r="F193" s="18">
        <f>IF(C193="aFRR+",power_mw*hours_per_day*damas_afrr_up*capacity_mult_B*stack_capacity*acceptance_rate,power_mw*hours_per_day*damas_afrr_down*capacity_mult_B*stack_capacity*acceptance_rate)</f>
        <v/>
      </c>
      <c r="G193" s="42">
        <f>IF(C193="aFRR+",DAMAS_Daily!I193,DAMAS_Daily!J193)</f>
        <v/>
      </c>
      <c r="H193" s="43">
        <f>IF(C193="aFRR+",DAMAS_Daily!E193,DAMAS_Daily!F193)</f>
        <v/>
      </c>
      <c r="I193" s="43">
        <f>IF(C193="aFRR+",DAMAS_Daily!G193,DAMAS_Daily!H193)</f>
        <v/>
      </c>
      <c r="J193" s="45">
        <f>IF(C193="aFRR+",DAMAS_Daily!C193,DAMAS_Daily!D193)</f>
        <v/>
      </c>
      <c r="K193" s="45">
        <f>IF(C193="aFRR+",MIN(DAMAS_Daily!C193*market_share_B*acceptance_rate*stack_activation,power_mw*hours_per_day,capacity_mwh),MIN(DAMAS_Daily!D193*market_share_B*acceptance_rate*stack_activation,power_mw*hours_per_day,capacity_mwh))</f>
        <v/>
      </c>
      <c r="L193" s="42">
        <f>IF(K193&gt;=capacity_mwh-0.01,"yes","no")</f>
        <v/>
      </c>
      <c r="M193" s="18">
        <f>IF(C193="aFRR+",(MIN(DAMAS_Daily!C193*market_share_B*acceptance_rate*stack_activation,power_mw*hours_per_day,capacity_mwh))*DAMAS_Daily!E193*activation_mult_B,(MIN(DAMAS_Daily!D193*market_share_B*acceptance_rate*stack_activation,power_mw*hours_per_day,capacity_mwh))*DAMAS_Daily!F193*activation_mult_B)</f>
        <v/>
      </c>
      <c r="N193" s="19">
        <f>F193+M193</f>
        <v/>
      </c>
    </row>
    <row r="194">
      <c r="A194" s="41">
        <f>DAMAS_Daily!A194</f>
        <v/>
      </c>
      <c r="B194" s="42">
        <f>DAMAS_Daily!B194</f>
        <v/>
      </c>
      <c r="C194" s="42">
        <f>IF((power_mw*hours_per_day*damas_afrr_up*capacity_mult_B*stack_capacity*acceptance_rate+(MIN(DAMAS_Daily!C194*market_share_B*acceptance_rate*stack_activation,power_mw*hours_per_day,capacity_mwh))*DAMAS_Daily!E194*activation_mult_B)&gt;=(power_mw*hours_per_day*damas_afrr_down*capacity_mult_B*stack_capacity*acceptance_rate+(MIN(DAMAS_Daily!D194*market_share_B*acceptance_rate*stack_activation,power_mw*hours_per_day,capacity_mwh))*DAMAS_Daily!F194*activation_mult_B),"aFRR+","aFRR-")</f>
        <v/>
      </c>
      <c r="D194" s="43">
        <f>IF(C194="aFRR+",damas_afrr_up*capacity_mult_B,damas_afrr_down*capacity_mult_B)</f>
        <v/>
      </c>
      <c r="E194" s="44">
        <f>acceptance_rate</f>
        <v/>
      </c>
      <c r="F194" s="18">
        <f>IF(C194="aFRR+",power_mw*hours_per_day*damas_afrr_up*capacity_mult_B*stack_capacity*acceptance_rate,power_mw*hours_per_day*damas_afrr_down*capacity_mult_B*stack_capacity*acceptance_rate)</f>
        <v/>
      </c>
      <c r="G194" s="42">
        <f>IF(C194="aFRR+",DAMAS_Daily!I194,DAMAS_Daily!J194)</f>
        <v/>
      </c>
      <c r="H194" s="43">
        <f>IF(C194="aFRR+",DAMAS_Daily!E194,DAMAS_Daily!F194)</f>
        <v/>
      </c>
      <c r="I194" s="43">
        <f>IF(C194="aFRR+",DAMAS_Daily!G194,DAMAS_Daily!H194)</f>
        <v/>
      </c>
      <c r="J194" s="45">
        <f>IF(C194="aFRR+",DAMAS_Daily!C194,DAMAS_Daily!D194)</f>
        <v/>
      </c>
      <c r="K194" s="45">
        <f>IF(C194="aFRR+",MIN(DAMAS_Daily!C194*market_share_B*acceptance_rate*stack_activation,power_mw*hours_per_day,capacity_mwh),MIN(DAMAS_Daily!D194*market_share_B*acceptance_rate*stack_activation,power_mw*hours_per_day,capacity_mwh))</f>
        <v/>
      </c>
      <c r="L194" s="42">
        <f>IF(K194&gt;=capacity_mwh-0.01,"yes","no")</f>
        <v/>
      </c>
      <c r="M194" s="18">
        <f>IF(C194="aFRR+",(MIN(DAMAS_Daily!C194*market_share_B*acceptance_rate*stack_activation,power_mw*hours_per_day,capacity_mwh))*DAMAS_Daily!E194*activation_mult_B,(MIN(DAMAS_Daily!D194*market_share_B*acceptance_rate*stack_activation,power_mw*hours_per_day,capacity_mwh))*DAMAS_Daily!F194*activation_mult_B)</f>
        <v/>
      </c>
      <c r="N194" s="19">
        <f>F194+M194</f>
        <v/>
      </c>
    </row>
    <row r="195">
      <c r="A195" s="41">
        <f>DAMAS_Daily!A195</f>
        <v/>
      </c>
      <c r="B195" s="42">
        <f>DAMAS_Daily!B195</f>
        <v/>
      </c>
      <c r="C195" s="42">
        <f>IF((power_mw*hours_per_day*damas_afrr_up*capacity_mult_B*stack_capacity*acceptance_rate+(MIN(DAMAS_Daily!C195*market_share_B*acceptance_rate*stack_activation,power_mw*hours_per_day,capacity_mwh))*DAMAS_Daily!E195*activation_mult_B)&gt;=(power_mw*hours_per_day*damas_afrr_down*capacity_mult_B*stack_capacity*acceptance_rate+(MIN(DAMAS_Daily!D195*market_share_B*acceptance_rate*stack_activation,power_mw*hours_per_day,capacity_mwh))*DAMAS_Daily!F195*activation_mult_B),"aFRR+","aFRR-")</f>
        <v/>
      </c>
      <c r="D195" s="43">
        <f>IF(C195="aFRR+",damas_afrr_up*capacity_mult_B,damas_afrr_down*capacity_mult_B)</f>
        <v/>
      </c>
      <c r="E195" s="44">
        <f>acceptance_rate</f>
        <v/>
      </c>
      <c r="F195" s="18">
        <f>IF(C195="aFRR+",power_mw*hours_per_day*damas_afrr_up*capacity_mult_B*stack_capacity*acceptance_rate,power_mw*hours_per_day*damas_afrr_down*capacity_mult_B*stack_capacity*acceptance_rate)</f>
        <v/>
      </c>
      <c r="G195" s="42">
        <f>IF(C195="aFRR+",DAMAS_Daily!I195,DAMAS_Daily!J195)</f>
        <v/>
      </c>
      <c r="H195" s="43">
        <f>IF(C195="aFRR+",DAMAS_Daily!E195,DAMAS_Daily!F195)</f>
        <v/>
      </c>
      <c r="I195" s="43">
        <f>IF(C195="aFRR+",DAMAS_Daily!G195,DAMAS_Daily!H195)</f>
        <v/>
      </c>
      <c r="J195" s="45">
        <f>IF(C195="aFRR+",DAMAS_Daily!C195,DAMAS_Daily!D195)</f>
        <v/>
      </c>
      <c r="K195" s="45">
        <f>IF(C195="aFRR+",MIN(DAMAS_Daily!C195*market_share_B*acceptance_rate*stack_activation,power_mw*hours_per_day,capacity_mwh),MIN(DAMAS_Daily!D195*market_share_B*acceptance_rate*stack_activation,power_mw*hours_per_day,capacity_mwh))</f>
        <v/>
      </c>
      <c r="L195" s="42">
        <f>IF(K195&gt;=capacity_mwh-0.01,"yes","no")</f>
        <v/>
      </c>
      <c r="M195" s="18">
        <f>IF(C195="aFRR+",(MIN(DAMAS_Daily!C195*market_share_B*acceptance_rate*stack_activation,power_mw*hours_per_day,capacity_mwh))*DAMAS_Daily!E195*activation_mult_B,(MIN(DAMAS_Daily!D195*market_share_B*acceptance_rate*stack_activation,power_mw*hours_per_day,capacity_mwh))*DAMAS_Daily!F195*activation_mult_B)</f>
        <v/>
      </c>
      <c r="N195" s="19">
        <f>F195+M195</f>
        <v/>
      </c>
    </row>
    <row r="196">
      <c r="A196" s="41">
        <f>DAMAS_Daily!A196</f>
        <v/>
      </c>
      <c r="B196" s="42">
        <f>DAMAS_Daily!B196</f>
        <v/>
      </c>
      <c r="C196" s="42">
        <f>IF((power_mw*hours_per_day*damas_afrr_up*capacity_mult_B*stack_capacity*acceptance_rate+(MIN(DAMAS_Daily!C196*market_share_B*acceptance_rate*stack_activation,power_mw*hours_per_day,capacity_mwh))*DAMAS_Daily!E196*activation_mult_B)&gt;=(power_mw*hours_per_day*damas_afrr_down*capacity_mult_B*stack_capacity*acceptance_rate+(MIN(DAMAS_Daily!D196*market_share_B*acceptance_rate*stack_activation,power_mw*hours_per_day,capacity_mwh))*DAMAS_Daily!F196*activation_mult_B),"aFRR+","aFRR-")</f>
        <v/>
      </c>
      <c r="D196" s="43">
        <f>IF(C196="aFRR+",damas_afrr_up*capacity_mult_B,damas_afrr_down*capacity_mult_B)</f>
        <v/>
      </c>
      <c r="E196" s="44">
        <f>acceptance_rate</f>
        <v/>
      </c>
      <c r="F196" s="18">
        <f>IF(C196="aFRR+",power_mw*hours_per_day*damas_afrr_up*capacity_mult_B*stack_capacity*acceptance_rate,power_mw*hours_per_day*damas_afrr_down*capacity_mult_B*stack_capacity*acceptance_rate)</f>
        <v/>
      </c>
      <c r="G196" s="42">
        <f>IF(C196="aFRR+",DAMAS_Daily!I196,DAMAS_Daily!J196)</f>
        <v/>
      </c>
      <c r="H196" s="43">
        <f>IF(C196="aFRR+",DAMAS_Daily!E196,DAMAS_Daily!F196)</f>
        <v/>
      </c>
      <c r="I196" s="43">
        <f>IF(C196="aFRR+",DAMAS_Daily!G196,DAMAS_Daily!H196)</f>
        <v/>
      </c>
      <c r="J196" s="45">
        <f>IF(C196="aFRR+",DAMAS_Daily!C196,DAMAS_Daily!D196)</f>
        <v/>
      </c>
      <c r="K196" s="45">
        <f>IF(C196="aFRR+",MIN(DAMAS_Daily!C196*market_share_B*acceptance_rate*stack_activation,power_mw*hours_per_day,capacity_mwh),MIN(DAMAS_Daily!D196*market_share_B*acceptance_rate*stack_activation,power_mw*hours_per_day,capacity_mwh))</f>
        <v/>
      </c>
      <c r="L196" s="42">
        <f>IF(K196&gt;=capacity_mwh-0.01,"yes","no")</f>
        <v/>
      </c>
      <c r="M196" s="18">
        <f>IF(C196="aFRR+",(MIN(DAMAS_Daily!C196*market_share_B*acceptance_rate*stack_activation,power_mw*hours_per_day,capacity_mwh))*DAMAS_Daily!E196*activation_mult_B,(MIN(DAMAS_Daily!D196*market_share_B*acceptance_rate*stack_activation,power_mw*hours_per_day,capacity_mwh))*DAMAS_Daily!F196*activation_mult_B)</f>
        <v/>
      </c>
      <c r="N196" s="19">
        <f>F196+M196</f>
        <v/>
      </c>
    </row>
    <row r="197">
      <c r="A197" s="41">
        <f>DAMAS_Daily!A197</f>
        <v/>
      </c>
      <c r="B197" s="42">
        <f>DAMAS_Daily!B197</f>
        <v/>
      </c>
      <c r="C197" s="42">
        <f>IF((power_mw*hours_per_day*damas_afrr_up*capacity_mult_B*stack_capacity*acceptance_rate+(MIN(DAMAS_Daily!C197*market_share_B*acceptance_rate*stack_activation,power_mw*hours_per_day,capacity_mwh))*DAMAS_Daily!E197*activation_mult_B)&gt;=(power_mw*hours_per_day*damas_afrr_down*capacity_mult_B*stack_capacity*acceptance_rate+(MIN(DAMAS_Daily!D197*market_share_B*acceptance_rate*stack_activation,power_mw*hours_per_day,capacity_mwh))*DAMAS_Daily!F197*activation_mult_B),"aFRR+","aFRR-")</f>
        <v/>
      </c>
      <c r="D197" s="43">
        <f>IF(C197="aFRR+",damas_afrr_up*capacity_mult_B,damas_afrr_down*capacity_mult_B)</f>
        <v/>
      </c>
      <c r="E197" s="44">
        <f>acceptance_rate</f>
        <v/>
      </c>
      <c r="F197" s="18">
        <f>IF(C197="aFRR+",power_mw*hours_per_day*damas_afrr_up*capacity_mult_B*stack_capacity*acceptance_rate,power_mw*hours_per_day*damas_afrr_down*capacity_mult_B*stack_capacity*acceptance_rate)</f>
        <v/>
      </c>
      <c r="G197" s="42">
        <f>IF(C197="aFRR+",DAMAS_Daily!I197,DAMAS_Daily!J197)</f>
        <v/>
      </c>
      <c r="H197" s="43">
        <f>IF(C197="aFRR+",DAMAS_Daily!E197,DAMAS_Daily!F197)</f>
        <v/>
      </c>
      <c r="I197" s="43">
        <f>IF(C197="aFRR+",DAMAS_Daily!G197,DAMAS_Daily!H197)</f>
        <v/>
      </c>
      <c r="J197" s="45">
        <f>IF(C197="aFRR+",DAMAS_Daily!C197,DAMAS_Daily!D197)</f>
        <v/>
      </c>
      <c r="K197" s="45">
        <f>IF(C197="aFRR+",MIN(DAMAS_Daily!C197*market_share_B*acceptance_rate*stack_activation,power_mw*hours_per_day,capacity_mwh),MIN(DAMAS_Daily!D197*market_share_B*acceptance_rate*stack_activation,power_mw*hours_per_day,capacity_mwh))</f>
        <v/>
      </c>
      <c r="L197" s="42">
        <f>IF(K197&gt;=capacity_mwh-0.01,"yes","no")</f>
        <v/>
      </c>
      <c r="M197" s="18">
        <f>IF(C197="aFRR+",(MIN(DAMAS_Daily!C197*market_share_B*acceptance_rate*stack_activation,power_mw*hours_per_day,capacity_mwh))*DAMAS_Daily!E197*activation_mult_B,(MIN(DAMAS_Daily!D197*market_share_B*acceptance_rate*stack_activation,power_mw*hours_per_day,capacity_mwh))*DAMAS_Daily!F197*activation_mult_B)</f>
        <v/>
      </c>
      <c r="N197" s="19">
        <f>F197+M197</f>
        <v/>
      </c>
    </row>
    <row r="198">
      <c r="A198" s="41">
        <f>DAMAS_Daily!A198</f>
        <v/>
      </c>
      <c r="B198" s="42">
        <f>DAMAS_Daily!B198</f>
        <v/>
      </c>
      <c r="C198" s="42">
        <f>IF((power_mw*hours_per_day*damas_afrr_up*capacity_mult_B*stack_capacity*acceptance_rate+(MIN(DAMAS_Daily!C198*market_share_B*acceptance_rate*stack_activation,power_mw*hours_per_day,capacity_mwh))*DAMAS_Daily!E198*activation_mult_B)&gt;=(power_mw*hours_per_day*damas_afrr_down*capacity_mult_B*stack_capacity*acceptance_rate+(MIN(DAMAS_Daily!D198*market_share_B*acceptance_rate*stack_activation,power_mw*hours_per_day,capacity_mwh))*DAMAS_Daily!F198*activation_mult_B),"aFRR+","aFRR-")</f>
        <v/>
      </c>
      <c r="D198" s="43">
        <f>IF(C198="aFRR+",damas_afrr_up*capacity_mult_B,damas_afrr_down*capacity_mult_B)</f>
        <v/>
      </c>
      <c r="E198" s="44">
        <f>acceptance_rate</f>
        <v/>
      </c>
      <c r="F198" s="18">
        <f>IF(C198="aFRR+",power_mw*hours_per_day*damas_afrr_up*capacity_mult_B*stack_capacity*acceptance_rate,power_mw*hours_per_day*damas_afrr_down*capacity_mult_B*stack_capacity*acceptance_rate)</f>
        <v/>
      </c>
      <c r="G198" s="42">
        <f>IF(C198="aFRR+",DAMAS_Daily!I198,DAMAS_Daily!J198)</f>
        <v/>
      </c>
      <c r="H198" s="43">
        <f>IF(C198="aFRR+",DAMAS_Daily!E198,DAMAS_Daily!F198)</f>
        <v/>
      </c>
      <c r="I198" s="43">
        <f>IF(C198="aFRR+",DAMAS_Daily!G198,DAMAS_Daily!H198)</f>
        <v/>
      </c>
      <c r="J198" s="45">
        <f>IF(C198="aFRR+",DAMAS_Daily!C198,DAMAS_Daily!D198)</f>
        <v/>
      </c>
      <c r="K198" s="45">
        <f>IF(C198="aFRR+",MIN(DAMAS_Daily!C198*market_share_B*acceptance_rate*stack_activation,power_mw*hours_per_day,capacity_mwh),MIN(DAMAS_Daily!D198*market_share_B*acceptance_rate*stack_activation,power_mw*hours_per_day,capacity_mwh))</f>
        <v/>
      </c>
      <c r="L198" s="42">
        <f>IF(K198&gt;=capacity_mwh-0.01,"yes","no")</f>
        <v/>
      </c>
      <c r="M198" s="18">
        <f>IF(C198="aFRR+",(MIN(DAMAS_Daily!C198*market_share_B*acceptance_rate*stack_activation,power_mw*hours_per_day,capacity_mwh))*DAMAS_Daily!E198*activation_mult_B,(MIN(DAMAS_Daily!D198*market_share_B*acceptance_rate*stack_activation,power_mw*hours_per_day,capacity_mwh))*DAMAS_Daily!F198*activation_mult_B)</f>
        <v/>
      </c>
      <c r="N198" s="19">
        <f>F198+M198</f>
        <v/>
      </c>
    </row>
    <row r="199">
      <c r="A199" s="41">
        <f>DAMAS_Daily!A199</f>
        <v/>
      </c>
      <c r="B199" s="42">
        <f>DAMAS_Daily!B199</f>
        <v/>
      </c>
      <c r="C199" s="42">
        <f>IF((power_mw*hours_per_day*damas_afrr_up*capacity_mult_B*stack_capacity*acceptance_rate+(MIN(DAMAS_Daily!C199*market_share_B*acceptance_rate*stack_activation,power_mw*hours_per_day,capacity_mwh))*DAMAS_Daily!E199*activation_mult_B)&gt;=(power_mw*hours_per_day*damas_afrr_down*capacity_mult_B*stack_capacity*acceptance_rate+(MIN(DAMAS_Daily!D199*market_share_B*acceptance_rate*stack_activation,power_mw*hours_per_day,capacity_mwh))*DAMAS_Daily!F199*activation_mult_B),"aFRR+","aFRR-")</f>
        <v/>
      </c>
      <c r="D199" s="43">
        <f>IF(C199="aFRR+",damas_afrr_up*capacity_mult_B,damas_afrr_down*capacity_mult_B)</f>
        <v/>
      </c>
      <c r="E199" s="44">
        <f>acceptance_rate</f>
        <v/>
      </c>
      <c r="F199" s="18">
        <f>IF(C199="aFRR+",power_mw*hours_per_day*damas_afrr_up*capacity_mult_B*stack_capacity*acceptance_rate,power_mw*hours_per_day*damas_afrr_down*capacity_mult_B*stack_capacity*acceptance_rate)</f>
        <v/>
      </c>
      <c r="G199" s="42">
        <f>IF(C199="aFRR+",DAMAS_Daily!I199,DAMAS_Daily!J199)</f>
        <v/>
      </c>
      <c r="H199" s="43">
        <f>IF(C199="aFRR+",DAMAS_Daily!E199,DAMAS_Daily!F199)</f>
        <v/>
      </c>
      <c r="I199" s="43">
        <f>IF(C199="aFRR+",DAMAS_Daily!G199,DAMAS_Daily!H199)</f>
        <v/>
      </c>
      <c r="J199" s="45">
        <f>IF(C199="aFRR+",DAMAS_Daily!C199,DAMAS_Daily!D199)</f>
        <v/>
      </c>
      <c r="K199" s="45">
        <f>IF(C199="aFRR+",MIN(DAMAS_Daily!C199*market_share_B*acceptance_rate*stack_activation,power_mw*hours_per_day,capacity_mwh),MIN(DAMAS_Daily!D199*market_share_B*acceptance_rate*stack_activation,power_mw*hours_per_day,capacity_mwh))</f>
        <v/>
      </c>
      <c r="L199" s="42">
        <f>IF(K199&gt;=capacity_mwh-0.01,"yes","no")</f>
        <v/>
      </c>
      <c r="M199" s="18">
        <f>IF(C199="aFRR+",(MIN(DAMAS_Daily!C199*market_share_B*acceptance_rate*stack_activation,power_mw*hours_per_day,capacity_mwh))*DAMAS_Daily!E199*activation_mult_B,(MIN(DAMAS_Daily!D199*market_share_B*acceptance_rate*stack_activation,power_mw*hours_per_day,capacity_mwh))*DAMAS_Daily!F199*activation_mult_B)</f>
        <v/>
      </c>
      <c r="N199" s="19">
        <f>F199+M199</f>
        <v/>
      </c>
    </row>
    <row r="200">
      <c r="A200" s="41">
        <f>DAMAS_Daily!A200</f>
        <v/>
      </c>
      <c r="B200" s="42">
        <f>DAMAS_Daily!B200</f>
        <v/>
      </c>
      <c r="C200" s="42">
        <f>IF((power_mw*hours_per_day*damas_afrr_up*capacity_mult_B*stack_capacity*acceptance_rate+(MIN(DAMAS_Daily!C200*market_share_B*acceptance_rate*stack_activation,power_mw*hours_per_day,capacity_mwh))*DAMAS_Daily!E200*activation_mult_B)&gt;=(power_mw*hours_per_day*damas_afrr_down*capacity_mult_B*stack_capacity*acceptance_rate+(MIN(DAMAS_Daily!D200*market_share_B*acceptance_rate*stack_activation,power_mw*hours_per_day,capacity_mwh))*DAMAS_Daily!F200*activation_mult_B),"aFRR+","aFRR-")</f>
        <v/>
      </c>
      <c r="D200" s="43">
        <f>IF(C200="aFRR+",damas_afrr_up*capacity_mult_B,damas_afrr_down*capacity_mult_B)</f>
        <v/>
      </c>
      <c r="E200" s="44">
        <f>acceptance_rate</f>
        <v/>
      </c>
      <c r="F200" s="18">
        <f>IF(C200="aFRR+",power_mw*hours_per_day*damas_afrr_up*capacity_mult_B*stack_capacity*acceptance_rate,power_mw*hours_per_day*damas_afrr_down*capacity_mult_B*stack_capacity*acceptance_rate)</f>
        <v/>
      </c>
      <c r="G200" s="42">
        <f>IF(C200="aFRR+",DAMAS_Daily!I200,DAMAS_Daily!J200)</f>
        <v/>
      </c>
      <c r="H200" s="43">
        <f>IF(C200="aFRR+",DAMAS_Daily!E200,DAMAS_Daily!F200)</f>
        <v/>
      </c>
      <c r="I200" s="43">
        <f>IF(C200="aFRR+",DAMAS_Daily!G200,DAMAS_Daily!H200)</f>
        <v/>
      </c>
      <c r="J200" s="45">
        <f>IF(C200="aFRR+",DAMAS_Daily!C200,DAMAS_Daily!D200)</f>
        <v/>
      </c>
      <c r="K200" s="45">
        <f>IF(C200="aFRR+",MIN(DAMAS_Daily!C200*market_share_B*acceptance_rate*stack_activation,power_mw*hours_per_day,capacity_mwh),MIN(DAMAS_Daily!D200*market_share_B*acceptance_rate*stack_activation,power_mw*hours_per_day,capacity_mwh))</f>
        <v/>
      </c>
      <c r="L200" s="42">
        <f>IF(K200&gt;=capacity_mwh-0.01,"yes","no")</f>
        <v/>
      </c>
      <c r="M200" s="18">
        <f>IF(C200="aFRR+",(MIN(DAMAS_Daily!C200*market_share_B*acceptance_rate*stack_activation,power_mw*hours_per_day,capacity_mwh))*DAMAS_Daily!E200*activation_mult_B,(MIN(DAMAS_Daily!D200*market_share_B*acceptance_rate*stack_activation,power_mw*hours_per_day,capacity_mwh))*DAMAS_Daily!F200*activation_mult_B)</f>
        <v/>
      </c>
      <c r="N200" s="19">
        <f>F200+M200</f>
        <v/>
      </c>
    </row>
    <row r="201">
      <c r="A201" s="41">
        <f>DAMAS_Daily!A201</f>
        <v/>
      </c>
      <c r="B201" s="42">
        <f>DAMAS_Daily!B201</f>
        <v/>
      </c>
      <c r="C201" s="42">
        <f>IF((power_mw*hours_per_day*damas_afrr_up*capacity_mult_B*stack_capacity*acceptance_rate+(MIN(DAMAS_Daily!C201*market_share_B*acceptance_rate*stack_activation,power_mw*hours_per_day,capacity_mwh))*DAMAS_Daily!E201*activation_mult_B)&gt;=(power_mw*hours_per_day*damas_afrr_down*capacity_mult_B*stack_capacity*acceptance_rate+(MIN(DAMAS_Daily!D201*market_share_B*acceptance_rate*stack_activation,power_mw*hours_per_day,capacity_mwh))*DAMAS_Daily!F201*activation_mult_B),"aFRR+","aFRR-")</f>
        <v/>
      </c>
      <c r="D201" s="43">
        <f>IF(C201="aFRR+",damas_afrr_up*capacity_mult_B,damas_afrr_down*capacity_mult_B)</f>
        <v/>
      </c>
      <c r="E201" s="44">
        <f>acceptance_rate</f>
        <v/>
      </c>
      <c r="F201" s="18">
        <f>IF(C201="aFRR+",power_mw*hours_per_day*damas_afrr_up*capacity_mult_B*stack_capacity*acceptance_rate,power_mw*hours_per_day*damas_afrr_down*capacity_mult_B*stack_capacity*acceptance_rate)</f>
        <v/>
      </c>
      <c r="G201" s="42">
        <f>IF(C201="aFRR+",DAMAS_Daily!I201,DAMAS_Daily!J201)</f>
        <v/>
      </c>
      <c r="H201" s="43">
        <f>IF(C201="aFRR+",DAMAS_Daily!E201,DAMAS_Daily!F201)</f>
        <v/>
      </c>
      <c r="I201" s="43">
        <f>IF(C201="aFRR+",DAMAS_Daily!G201,DAMAS_Daily!H201)</f>
        <v/>
      </c>
      <c r="J201" s="45">
        <f>IF(C201="aFRR+",DAMAS_Daily!C201,DAMAS_Daily!D201)</f>
        <v/>
      </c>
      <c r="K201" s="45">
        <f>IF(C201="aFRR+",MIN(DAMAS_Daily!C201*market_share_B*acceptance_rate*stack_activation,power_mw*hours_per_day,capacity_mwh),MIN(DAMAS_Daily!D201*market_share_B*acceptance_rate*stack_activation,power_mw*hours_per_day,capacity_mwh))</f>
        <v/>
      </c>
      <c r="L201" s="42">
        <f>IF(K201&gt;=capacity_mwh-0.01,"yes","no")</f>
        <v/>
      </c>
      <c r="M201" s="18">
        <f>IF(C201="aFRR+",(MIN(DAMAS_Daily!C201*market_share_B*acceptance_rate*stack_activation,power_mw*hours_per_day,capacity_mwh))*DAMAS_Daily!E201*activation_mult_B,(MIN(DAMAS_Daily!D201*market_share_B*acceptance_rate*stack_activation,power_mw*hours_per_day,capacity_mwh))*DAMAS_Daily!F201*activation_mult_B)</f>
        <v/>
      </c>
      <c r="N201" s="19">
        <f>F201+M201</f>
        <v/>
      </c>
    </row>
    <row r="202">
      <c r="A202" s="41">
        <f>DAMAS_Daily!A202</f>
        <v/>
      </c>
      <c r="B202" s="42">
        <f>DAMAS_Daily!B202</f>
        <v/>
      </c>
      <c r="C202" s="42">
        <f>IF((power_mw*hours_per_day*damas_afrr_up*capacity_mult_B*stack_capacity*acceptance_rate+(MIN(DAMAS_Daily!C202*market_share_B*acceptance_rate*stack_activation,power_mw*hours_per_day,capacity_mwh))*DAMAS_Daily!E202*activation_mult_B)&gt;=(power_mw*hours_per_day*damas_afrr_down*capacity_mult_B*stack_capacity*acceptance_rate+(MIN(DAMAS_Daily!D202*market_share_B*acceptance_rate*stack_activation,power_mw*hours_per_day,capacity_mwh))*DAMAS_Daily!F202*activation_mult_B),"aFRR+","aFRR-")</f>
        <v/>
      </c>
      <c r="D202" s="43">
        <f>IF(C202="aFRR+",damas_afrr_up*capacity_mult_B,damas_afrr_down*capacity_mult_B)</f>
        <v/>
      </c>
      <c r="E202" s="44">
        <f>acceptance_rate</f>
        <v/>
      </c>
      <c r="F202" s="18">
        <f>IF(C202="aFRR+",power_mw*hours_per_day*damas_afrr_up*capacity_mult_B*stack_capacity*acceptance_rate,power_mw*hours_per_day*damas_afrr_down*capacity_mult_B*stack_capacity*acceptance_rate)</f>
        <v/>
      </c>
      <c r="G202" s="42">
        <f>IF(C202="aFRR+",DAMAS_Daily!I202,DAMAS_Daily!J202)</f>
        <v/>
      </c>
      <c r="H202" s="43">
        <f>IF(C202="aFRR+",DAMAS_Daily!E202,DAMAS_Daily!F202)</f>
        <v/>
      </c>
      <c r="I202" s="43">
        <f>IF(C202="aFRR+",DAMAS_Daily!G202,DAMAS_Daily!H202)</f>
        <v/>
      </c>
      <c r="J202" s="45">
        <f>IF(C202="aFRR+",DAMAS_Daily!C202,DAMAS_Daily!D202)</f>
        <v/>
      </c>
      <c r="K202" s="45">
        <f>IF(C202="aFRR+",MIN(DAMAS_Daily!C202*market_share_B*acceptance_rate*stack_activation,power_mw*hours_per_day,capacity_mwh),MIN(DAMAS_Daily!D202*market_share_B*acceptance_rate*stack_activation,power_mw*hours_per_day,capacity_mwh))</f>
        <v/>
      </c>
      <c r="L202" s="42">
        <f>IF(K202&gt;=capacity_mwh-0.01,"yes","no")</f>
        <v/>
      </c>
      <c r="M202" s="18">
        <f>IF(C202="aFRR+",(MIN(DAMAS_Daily!C202*market_share_B*acceptance_rate*stack_activation,power_mw*hours_per_day,capacity_mwh))*DAMAS_Daily!E202*activation_mult_B,(MIN(DAMAS_Daily!D202*market_share_B*acceptance_rate*stack_activation,power_mw*hours_per_day,capacity_mwh))*DAMAS_Daily!F202*activation_mult_B)</f>
        <v/>
      </c>
      <c r="N202" s="19">
        <f>F202+M202</f>
        <v/>
      </c>
    </row>
    <row r="203">
      <c r="A203" s="41">
        <f>DAMAS_Daily!A203</f>
        <v/>
      </c>
      <c r="B203" s="42">
        <f>DAMAS_Daily!B203</f>
        <v/>
      </c>
      <c r="C203" s="42">
        <f>IF((power_mw*hours_per_day*damas_afrr_up*capacity_mult_B*stack_capacity*acceptance_rate+(MIN(DAMAS_Daily!C203*market_share_B*acceptance_rate*stack_activation,power_mw*hours_per_day,capacity_mwh))*DAMAS_Daily!E203*activation_mult_B)&gt;=(power_mw*hours_per_day*damas_afrr_down*capacity_mult_B*stack_capacity*acceptance_rate+(MIN(DAMAS_Daily!D203*market_share_B*acceptance_rate*stack_activation,power_mw*hours_per_day,capacity_mwh))*DAMAS_Daily!F203*activation_mult_B),"aFRR+","aFRR-")</f>
        <v/>
      </c>
      <c r="D203" s="43">
        <f>IF(C203="aFRR+",damas_afrr_up*capacity_mult_B,damas_afrr_down*capacity_mult_B)</f>
        <v/>
      </c>
      <c r="E203" s="44">
        <f>acceptance_rate</f>
        <v/>
      </c>
      <c r="F203" s="18">
        <f>IF(C203="aFRR+",power_mw*hours_per_day*damas_afrr_up*capacity_mult_B*stack_capacity*acceptance_rate,power_mw*hours_per_day*damas_afrr_down*capacity_mult_B*stack_capacity*acceptance_rate)</f>
        <v/>
      </c>
      <c r="G203" s="42">
        <f>IF(C203="aFRR+",DAMAS_Daily!I203,DAMAS_Daily!J203)</f>
        <v/>
      </c>
      <c r="H203" s="43">
        <f>IF(C203="aFRR+",DAMAS_Daily!E203,DAMAS_Daily!F203)</f>
        <v/>
      </c>
      <c r="I203" s="43">
        <f>IF(C203="aFRR+",DAMAS_Daily!G203,DAMAS_Daily!H203)</f>
        <v/>
      </c>
      <c r="J203" s="45">
        <f>IF(C203="aFRR+",DAMAS_Daily!C203,DAMAS_Daily!D203)</f>
        <v/>
      </c>
      <c r="K203" s="45">
        <f>IF(C203="aFRR+",MIN(DAMAS_Daily!C203*market_share_B*acceptance_rate*stack_activation,power_mw*hours_per_day,capacity_mwh),MIN(DAMAS_Daily!D203*market_share_B*acceptance_rate*stack_activation,power_mw*hours_per_day,capacity_mwh))</f>
        <v/>
      </c>
      <c r="L203" s="42">
        <f>IF(K203&gt;=capacity_mwh-0.01,"yes","no")</f>
        <v/>
      </c>
      <c r="M203" s="18">
        <f>IF(C203="aFRR+",(MIN(DAMAS_Daily!C203*market_share_B*acceptance_rate*stack_activation,power_mw*hours_per_day,capacity_mwh))*DAMAS_Daily!E203*activation_mult_B,(MIN(DAMAS_Daily!D203*market_share_B*acceptance_rate*stack_activation,power_mw*hours_per_day,capacity_mwh))*DAMAS_Daily!F203*activation_mult_B)</f>
        <v/>
      </c>
      <c r="N203" s="19">
        <f>F203+M203</f>
        <v/>
      </c>
    </row>
    <row r="204">
      <c r="A204" s="41">
        <f>DAMAS_Daily!A204</f>
        <v/>
      </c>
      <c r="B204" s="42">
        <f>DAMAS_Daily!B204</f>
        <v/>
      </c>
      <c r="C204" s="42">
        <f>IF((power_mw*hours_per_day*damas_afrr_up*capacity_mult_B*stack_capacity*acceptance_rate+(MIN(DAMAS_Daily!C204*market_share_B*acceptance_rate*stack_activation,power_mw*hours_per_day,capacity_mwh))*DAMAS_Daily!E204*activation_mult_B)&gt;=(power_mw*hours_per_day*damas_afrr_down*capacity_mult_B*stack_capacity*acceptance_rate+(MIN(DAMAS_Daily!D204*market_share_B*acceptance_rate*stack_activation,power_mw*hours_per_day,capacity_mwh))*DAMAS_Daily!F204*activation_mult_B),"aFRR+","aFRR-")</f>
        <v/>
      </c>
      <c r="D204" s="43">
        <f>IF(C204="aFRR+",damas_afrr_up*capacity_mult_B,damas_afrr_down*capacity_mult_B)</f>
        <v/>
      </c>
      <c r="E204" s="44">
        <f>acceptance_rate</f>
        <v/>
      </c>
      <c r="F204" s="18">
        <f>IF(C204="aFRR+",power_mw*hours_per_day*damas_afrr_up*capacity_mult_B*stack_capacity*acceptance_rate,power_mw*hours_per_day*damas_afrr_down*capacity_mult_B*stack_capacity*acceptance_rate)</f>
        <v/>
      </c>
      <c r="G204" s="42">
        <f>IF(C204="aFRR+",DAMAS_Daily!I204,DAMAS_Daily!J204)</f>
        <v/>
      </c>
      <c r="H204" s="43">
        <f>IF(C204="aFRR+",DAMAS_Daily!E204,DAMAS_Daily!F204)</f>
        <v/>
      </c>
      <c r="I204" s="43">
        <f>IF(C204="aFRR+",DAMAS_Daily!G204,DAMAS_Daily!H204)</f>
        <v/>
      </c>
      <c r="J204" s="45">
        <f>IF(C204="aFRR+",DAMAS_Daily!C204,DAMAS_Daily!D204)</f>
        <v/>
      </c>
      <c r="K204" s="45">
        <f>IF(C204="aFRR+",MIN(DAMAS_Daily!C204*market_share_B*acceptance_rate*stack_activation,power_mw*hours_per_day,capacity_mwh),MIN(DAMAS_Daily!D204*market_share_B*acceptance_rate*stack_activation,power_mw*hours_per_day,capacity_mwh))</f>
        <v/>
      </c>
      <c r="L204" s="42">
        <f>IF(K204&gt;=capacity_mwh-0.01,"yes","no")</f>
        <v/>
      </c>
      <c r="M204" s="18">
        <f>IF(C204="aFRR+",(MIN(DAMAS_Daily!C204*market_share_B*acceptance_rate*stack_activation,power_mw*hours_per_day,capacity_mwh))*DAMAS_Daily!E204*activation_mult_B,(MIN(DAMAS_Daily!D204*market_share_B*acceptance_rate*stack_activation,power_mw*hours_per_day,capacity_mwh))*DAMAS_Daily!F204*activation_mult_B)</f>
        <v/>
      </c>
      <c r="N204" s="19">
        <f>F204+M204</f>
        <v/>
      </c>
    </row>
    <row r="205">
      <c r="A205" s="41">
        <f>DAMAS_Daily!A205</f>
        <v/>
      </c>
      <c r="B205" s="42">
        <f>DAMAS_Daily!B205</f>
        <v/>
      </c>
      <c r="C205" s="42">
        <f>IF((power_mw*hours_per_day*damas_afrr_up*capacity_mult_B*stack_capacity*acceptance_rate+(MIN(DAMAS_Daily!C205*market_share_B*acceptance_rate*stack_activation,power_mw*hours_per_day,capacity_mwh))*DAMAS_Daily!E205*activation_mult_B)&gt;=(power_mw*hours_per_day*damas_afrr_down*capacity_mult_B*stack_capacity*acceptance_rate+(MIN(DAMAS_Daily!D205*market_share_B*acceptance_rate*stack_activation,power_mw*hours_per_day,capacity_mwh))*DAMAS_Daily!F205*activation_mult_B),"aFRR+","aFRR-")</f>
        <v/>
      </c>
      <c r="D205" s="43">
        <f>IF(C205="aFRR+",damas_afrr_up*capacity_mult_B,damas_afrr_down*capacity_mult_B)</f>
        <v/>
      </c>
      <c r="E205" s="44">
        <f>acceptance_rate</f>
        <v/>
      </c>
      <c r="F205" s="18">
        <f>IF(C205="aFRR+",power_mw*hours_per_day*damas_afrr_up*capacity_mult_B*stack_capacity*acceptance_rate,power_mw*hours_per_day*damas_afrr_down*capacity_mult_B*stack_capacity*acceptance_rate)</f>
        <v/>
      </c>
      <c r="G205" s="42">
        <f>IF(C205="aFRR+",DAMAS_Daily!I205,DAMAS_Daily!J205)</f>
        <v/>
      </c>
      <c r="H205" s="43">
        <f>IF(C205="aFRR+",DAMAS_Daily!E205,DAMAS_Daily!F205)</f>
        <v/>
      </c>
      <c r="I205" s="43">
        <f>IF(C205="aFRR+",DAMAS_Daily!G205,DAMAS_Daily!H205)</f>
        <v/>
      </c>
      <c r="J205" s="45">
        <f>IF(C205="aFRR+",DAMAS_Daily!C205,DAMAS_Daily!D205)</f>
        <v/>
      </c>
      <c r="K205" s="45">
        <f>IF(C205="aFRR+",MIN(DAMAS_Daily!C205*market_share_B*acceptance_rate*stack_activation,power_mw*hours_per_day,capacity_mwh),MIN(DAMAS_Daily!D205*market_share_B*acceptance_rate*stack_activation,power_mw*hours_per_day,capacity_mwh))</f>
        <v/>
      </c>
      <c r="L205" s="42">
        <f>IF(K205&gt;=capacity_mwh-0.01,"yes","no")</f>
        <v/>
      </c>
      <c r="M205" s="18">
        <f>IF(C205="aFRR+",(MIN(DAMAS_Daily!C205*market_share_B*acceptance_rate*stack_activation,power_mw*hours_per_day,capacity_mwh))*DAMAS_Daily!E205*activation_mult_B,(MIN(DAMAS_Daily!D205*market_share_B*acceptance_rate*stack_activation,power_mw*hours_per_day,capacity_mwh))*DAMAS_Daily!F205*activation_mult_B)</f>
        <v/>
      </c>
      <c r="N205" s="19">
        <f>F205+M205</f>
        <v/>
      </c>
    </row>
    <row r="206">
      <c r="A206" s="41">
        <f>DAMAS_Daily!A206</f>
        <v/>
      </c>
      <c r="B206" s="42">
        <f>DAMAS_Daily!B206</f>
        <v/>
      </c>
      <c r="C206" s="42">
        <f>IF((power_mw*hours_per_day*damas_afrr_up*capacity_mult_B*stack_capacity*acceptance_rate+(MIN(DAMAS_Daily!C206*market_share_B*acceptance_rate*stack_activation,power_mw*hours_per_day,capacity_mwh))*DAMAS_Daily!E206*activation_mult_B)&gt;=(power_mw*hours_per_day*damas_afrr_down*capacity_mult_B*stack_capacity*acceptance_rate+(MIN(DAMAS_Daily!D206*market_share_B*acceptance_rate*stack_activation,power_mw*hours_per_day,capacity_mwh))*DAMAS_Daily!F206*activation_mult_B),"aFRR+","aFRR-")</f>
        <v/>
      </c>
      <c r="D206" s="43">
        <f>IF(C206="aFRR+",damas_afrr_up*capacity_mult_B,damas_afrr_down*capacity_mult_B)</f>
        <v/>
      </c>
      <c r="E206" s="44">
        <f>acceptance_rate</f>
        <v/>
      </c>
      <c r="F206" s="18">
        <f>IF(C206="aFRR+",power_mw*hours_per_day*damas_afrr_up*capacity_mult_B*stack_capacity*acceptance_rate,power_mw*hours_per_day*damas_afrr_down*capacity_mult_B*stack_capacity*acceptance_rate)</f>
        <v/>
      </c>
      <c r="G206" s="42">
        <f>IF(C206="aFRR+",DAMAS_Daily!I206,DAMAS_Daily!J206)</f>
        <v/>
      </c>
      <c r="H206" s="43">
        <f>IF(C206="aFRR+",DAMAS_Daily!E206,DAMAS_Daily!F206)</f>
        <v/>
      </c>
      <c r="I206" s="43">
        <f>IF(C206="aFRR+",DAMAS_Daily!G206,DAMAS_Daily!H206)</f>
        <v/>
      </c>
      <c r="J206" s="45">
        <f>IF(C206="aFRR+",DAMAS_Daily!C206,DAMAS_Daily!D206)</f>
        <v/>
      </c>
      <c r="K206" s="45">
        <f>IF(C206="aFRR+",MIN(DAMAS_Daily!C206*market_share_B*acceptance_rate*stack_activation,power_mw*hours_per_day,capacity_mwh),MIN(DAMAS_Daily!D206*market_share_B*acceptance_rate*stack_activation,power_mw*hours_per_day,capacity_mwh))</f>
        <v/>
      </c>
      <c r="L206" s="42">
        <f>IF(K206&gt;=capacity_mwh-0.01,"yes","no")</f>
        <v/>
      </c>
      <c r="M206" s="18">
        <f>IF(C206="aFRR+",(MIN(DAMAS_Daily!C206*market_share_B*acceptance_rate*stack_activation,power_mw*hours_per_day,capacity_mwh))*DAMAS_Daily!E206*activation_mult_B,(MIN(DAMAS_Daily!D206*market_share_B*acceptance_rate*stack_activation,power_mw*hours_per_day,capacity_mwh))*DAMAS_Daily!F206*activation_mult_B)</f>
        <v/>
      </c>
      <c r="N206" s="19">
        <f>F206+M206</f>
        <v/>
      </c>
    </row>
    <row r="207">
      <c r="A207" s="41">
        <f>DAMAS_Daily!A207</f>
        <v/>
      </c>
      <c r="B207" s="42">
        <f>DAMAS_Daily!B207</f>
        <v/>
      </c>
      <c r="C207" s="42">
        <f>IF((power_mw*hours_per_day*damas_afrr_up*capacity_mult_B*stack_capacity*acceptance_rate+(MIN(DAMAS_Daily!C207*market_share_B*acceptance_rate*stack_activation,power_mw*hours_per_day,capacity_mwh))*DAMAS_Daily!E207*activation_mult_B)&gt;=(power_mw*hours_per_day*damas_afrr_down*capacity_mult_B*stack_capacity*acceptance_rate+(MIN(DAMAS_Daily!D207*market_share_B*acceptance_rate*stack_activation,power_mw*hours_per_day,capacity_mwh))*DAMAS_Daily!F207*activation_mult_B),"aFRR+","aFRR-")</f>
        <v/>
      </c>
      <c r="D207" s="43">
        <f>IF(C207="aFRR+",damas_afrr_up*capacity_mult_B,damas_afrr_down*capacity_mult_B)</f>
        <v/>
      </c>
      <c r="E207" s="44">
        <f>acceptance_rate</f>
        <v/>
      </c>
      <c r="F207" s="18">
        <f>IF(C207="aFRR+",power_mw*hours_per_day*damas_afrr_up*capacity_mult_B*stack_capacity*acceptance_rate,power_mw*hours_per_day*damas_afrr_down*capacity_mult_B*stack_capacity*acceptance_rate)</f>
        <v/>
      </c>
      <c r="G207" s="42">
        <f>IF(C207="aFRR+",DAMAS_Daily!I207,DAMAS_Daily!J207)</f>
        <v/>
      </c>
      <c r="H207" s="43">
        <f>IF(C207="aFRR+",DAMAS_Daily!E207,DAMAS_Daily!F207)</f>
        <v/>
      </c>
      <c r="I207" s="43">
        <f>IF(C207="aFRR+",DAMAS_Daily!G207,DAMAS_Daily!H207)</f>
        <v/>
      </c>
      <c r="J207" s="45">
        <f>IF(C207="aFRR+",DAMAS_Daily!C207,DAMAS_Daily!D207)</f>
        <v/>
      </c>
      <c r="K207" s="45">
        <f>IF(C207="aFRR+",MIN(DAMAS_Daily!C207*market_share_B*acceptance_rate*stack_activation,power_mw*hours_per_day,capacity_mwh),MIN(DAMAS_Daily!D207*market_share_B*acceptance_rate*stack_activation,power_mw*hours_per_day,capacity_mwh))</f>
        <v/>
      </c>
      <c r="L207" s="42">
        <f>IF(K207&gt;=capacity_mwh-0.01,"yes","no")</f>
        <v/>
      </c>
      <c r="M207" s="18">
        <f>IF(C207="aFRR+",(MIN(DAMAS_Daily!C207*market_share_B*acceptance_rate*stack_activation,power_mw*hours_per_day,capacity_mwh))*DAMAS_Daily!E207*activation_mult_B,(MIN(DAMAS_Daily!D207*market_share_B*acceptance_rate*stack_activation,power_mw*hours_per_day,capacity_mwh))*DAMAS_Daily!F207*activation_mult_B)</f>
        <v/>
      </c>
      <c r="N207" s="19">
        <f>F207+M207</f>
        <v/>
      </c>
    </row>
    <row r="208">
      <c r="A208" s="41">
        <f>DAMAS_Daily!A208</f>
        <v/>
      </c>
      <c r="B208" s="42">
        <f>DAMAS_Daily!B208</f>
        <v/>
      </c>
      <c r="C208" s="42">
        <f>IF((power_mw*hours_per_day*damas_afrr_up*capacity_mult_B*stack_capacity*acceptance_rate+(MIN(DAMAS_Daily!C208*market_share_B*acceptance_rate*stack_activation,power_mw*hours_per_day,capacity_mwh))*DAMAS_Daily!E208*activation_mult_B)&gt;=(power_mw*hours_per_day*damas_afrr_down*capacity_mult_B*stack_capacity*acceptance_rate+(MIN(DAMAS_Daily!D208*market_share_B*acceptance_rate*stack_activation,power_mw*hours_per_day,capacity_mwh))*DAMAS_Daily!F208*activation_mult_B),"aFRR+","aFRR-")</f>
        <v/>
      </c>
      <c r="D208" s="43">
        <f>IF(C208="aFRR+",damas_afrr_up*capacity_mult_B,damas_afrr_down*capacity_mult_B)</f>
        <v/>
      </c>
      <c r="E208" s="44">
        <f>acceptance_rate</f>
        <v/>
      </c>
      <c r="F208" s="18">
        <f>IF(C208="aFRR+",power_mw*hours_per_day*damas_afrr_up*capacity_mult_B*stack_capacity*acceptance_rate,power_mw*hours_per_day*damas_afrr_down*capacity_mult_B*stack_capacity*acceptance_rate)</f>
        <v/>
      </c>
      <c r="G208" s="42">
        <f>IF(C208="aFRR+",DAMAS_Daily!I208,DAMAS_Daily!J208)</f>
        <v/>
      </c>
      <c r="H208" s="43">
        <f>IF(C208="aFRR+",DAMAS_Daily!E208,DAMAS_Daily!F208)</f>
        <v/>
      </c>
      <c r="I208" s="43">
        <f>IF(C208="aFRR+",DAMAS_Daily!G208,DAMAS_Daily!H208)</f>
        <v/>
      </c>
      <c r="J208" s="45">
        <f>IF(C208="aFRR+",DAMAS_Daily!C208,DAMAS_Daily!D208)</f>
        <v/>
      </c>
      <c r="K208" s="45">
        <f>IF(C208="aFRR+",MIN(DAMAS_Daily!C208*market_share_B*acceptance_rate*stack_activation,power_mw*hours_per_day,capacity_mwh),MIN(DAMAS_Daily!D208*market_share_B*acceptance_rate*stack_activation,power_mw*hours_per_day,capacity_mwh))</f>
        <v/>
      </c>
      <c r="L208" s="42">
        <f>IF(K208&gt;=capacity_mwh-0.01,"yes","no")</f>
        <v/>
      </c>
      <c r="M208" s="18">
        <f>IF(C208="aFRR+",(MIN(DAMAS_Daily!C208*market_share_B*acceptance_rate*stack_activation,power_mw*hours_per_day,capacity_mwh))*DAMAS_Daily!E208*activation_mult_B,(MIN(DAMAS_Daily!D208*market_share_B*acceptance_rate*stack_activation,power_mw*hours_per_day,capacity_mwh))*DAMAS_Daily!F208*activation_mult_B)</f>
        <v/>
      </c>
      <c r="N208" s="19">
        <f>F208+M208</f>
        <v/>
      </c>
    </row>
    <row r="209">
      <c r="A209" s="41">
        <f>DAMAS_Daily!A209</f>
        <v/>
      </c>
      <c r="B209" s="42">
        <f>DAMAS_Daily!B209</f>
        <v/>
      </c>
      <c r="C209" s="42">
        <f>IF((power_mw*hours_per_day*damas_afrr_up*capacity_mult_B*stack_capacity*acceptance_rate+(MIN(DAMAS_Daily!C209*market_share_B*acceptance_rate*stack_activation,power_mw*hours_per_day,capacity_mwh))*DAMAS_Daily!E209*activation_mult_B)&gt;=(power_mw*hours_per_day*damas_afrr_down*capacity_mult_B*stack_capacity*acceptance_rate+(MIN(DAMAS_Daily!D209*market_share_B*acceptance_rate*stack_activation,power_mw*hours_per_day,capacity_mwh))*DAMAS_Daily!F209*activation_mult_B),"aFRR+","aFRR-")</f>
        <v/>
      </c>
      <c r="D209" s="43">
        <f>IF(C209="aFRR+",damas_afrr_up*capacity_mult_B,damas_afrr_down*capacity_mult_B)</f>
        <v/>
      </c>
      <c r="E209" s="44">
        <f>acceptance_rate</f>
        <v/>
      </c>
      <c r="F209" s="18">
        <f>IF(C209="aFRR+",power_mw*hours_per_day*damas_afrr_up*capacity_mult_B*stack_capacity*acceptance_rate,power_mw*hours_per_day*damas_afrr_down*capacity_mult_B*stack_capacity*acceptance_rate)</f>
        <v/>
      </c>
      <c r="G209" s="42">
        <f>IF(C209="aFRR+",DAMAS_Daily!I209,DAMAS_Daily!J209)</f>
        <v/>
      </c>
      <c r="H209" s="43">
        <f>IF(C209="aFRR+",DAMAS_Daily!E209,DAMAS_Daily!F209)</f>
        <v/>
      </c>
      <c r="I209" s="43">
        <f>IF(C209="aFRR+",DAMAS_Daily!G209,DAMAS_Daily!H209)</f>
        <v/>
      </c>
      <c r="J209" s="45">
        <f>IF(C209="aFRR+",DAMAS_Daily!C209,DAMAS_Daily!D209)</f>
        <v/>
      </c>
      <c r="K209" s="45">
        <f>IF(C209="aFRR+",MIN(DAMAS_Daily!C209*market_share_B*acceptance_rate*stack_activation,power_mw*hours_per_day,capacity_mwh),MIN(DAMAS_Daily!D209*market_share_B*acceptance_rate*stack_activation,power_mw*hours_per_day,capacity_mwh))</f>
        <v/>
      </c>
      <c r="L209" s="42">
        <f>IF(K209&gt;=capacity_mwh-0.01,"yes","no")</f>
        <v/>
      </c>
      <c r="M209" s="18">
        <f>IF(C209="aFRR+",(MIN(DAMAS_Daily!C209*market_share_B*acceptance_rate*stack_activation,power_mw*hours_per_day,capacity_mwh))*DAMAS_Daily!E209*activation_mult_B,(MIN(DAMAS_Daily!D209*market_share_B*acceptance_rate*stack_activation,power_mw*hours_per_day,capacity_mwh))*DAMAS_Daily!F209*activation_mult_B)</f>
        <v/>
      </c>
      <c r="N209" s="19">
        <f>F209+M209</f>
        <v/>
      </c>
    </row>
    <row r="210">
      <c r="A210" s="41">
        <f>DAMAS_Daily!A210</f>
        <v/>
      </c>
      <c r="B210" s="42">
        <f>DAMAS_Daily!B210</f>
        <v/>
      </c>
      <c r="C210" s="42">
        <f>IF((power_mw*hours_per_day*damas_afrr_up*capacity_mult_B*stack_capacity*acceptance_rate+(MIN(DAMAS_Daily!C210*market_share_B*acceptance_rate*stack_activation,power_mw*hours_per_day,capacity_mwh))*DAMAS_Daily!E210*activation_mult_B)&gt;=(power_mw*hours_per_day*damas_afrr_down*capacity_mult_B*stack_capacity*acceptance_rate+(MIN(DAMAS_Daily!D210*market_share_B*acceptance_rate*stack_activation,power_mw*hours_per_day,capacity_mwh))*DAMAS_Daily!F210*activation_mult_B),"aFRR+","aFRR-")</f>
        <v/>
      </c>
      <c r="D210" s="43">
        <f>IF(C210="aFRR+",damas_afrr_up*capacity_mult_B,damas_afrr_down*capacity_mult_B)</f>
        <v/>
      </c>
      <c r="E210" s="44">
        <f>acceptance_rate</f>
        <v/>
      </c>
      <c r="F210" s="18">
        <f>IF(C210="aFRR+",power_mw*hours_per_day*damas_afrr_up*capacity_mult_B*stack_capacity*acceptance_rate,power_mw*hours_per_day*damas_afrr_down*capacity_mult_B*stack_capacity*acceptance_rate)</f>
        <v/>
      </c>
      <c r="G210" s="42">
        <f>IF(C210="aFRR+",DAMAS_Daily!I210,DAMAS_Daily!J210)</f>
        <v/>
      </c>
      <c r="H210" s="43">
        <f>IF(C210="aFRR+",DAMAS_Daily!E210,DAMAS_Daily!F210)</f>
        <v/>
      </c>
      <c r="I210" s="43">
        <f>IF(C210="aFRR+",DAMAS_Daily!G210,DAMAS_Daily!H210)</f>
        <v/>
      </c>
      <c r="J210" s="45">
        <f>IF(C210="aFRR+",DAMAS_Daily!C210,DAMAS_Daily!D210)</f>
        <v/>
      </c>
      <c r="K210" s="45">
        <f>IF(C210="aFRR+",MIN(DAMAS_Daily!C210*market_share_B*acceptance_rate*stack_activation,power_mw*hours_per_day,capacity_mwh),MIN(DAMAS_Daily!D210*market_share_B*acceptance_rate*stack_activation,power_mw*hours_per_day,capacity_mwh))</f>
        <v/>
      </c>
      <c r="L210" s="42">
        <f>IF(K210&gt;=capacity_mwh-0.01,"yes","no")</f>
        <v/>
      </c>
      <c r="M210" s="18">
        <f>IF(C210="aFRR+",(MIN(DAMAS_Daily!C210*market_share_B*acceptance_rate*stack_activation,power_mw*hours_per_day,capacity_mwh))*DAMAS_Daily!E210*activation_mult_B,(MIN(DAMAS_Daily!D210*market_share_B*acceptance_rate*stack_activation,power_mw*hours_per_day,capacity_mwh))*DAMAS_Daily!F210*activation_mult_B)</f>
        <v/>
      </c>
      <c r="N210" s="19">
        <f>F210+M210</f>
        <v/>
      </c>
    </row>
    <row r="211">
      <c r="A211" s="41">
        <f>DAMAS_Daily!A211</f>
        <v/>
      </c>
      <c r="B211" s="42">
        <f>DAMAS_Daily!B211</f>
        <v/>
      </c>
      <c r="C211" s="42">
        <f>IF((power_mw*hours_per_day*damas_afrr_up*capacity_mult_B*stack_capacity*acceptance_rate+(MIN(DAMAS_Daily!C211*market_share_B*acceptance_rate*stack_activation,power_mw*hours_per_day,capacity_mwh))*DAMAS_Daily!E211*activation_mult_B)&gt;=(power_mw*hours_per_day*damas_afrr_down*capacity_mult_B*stack_capacity*acceptance_rate+(MIN(DAMAS_Daily!D211*market_share_B*acceptance_rate*stack_activation,power_mw*hours_per_day,capacity_mwh))*DAMAS_Daily!F211*activation_mult_B),"aFRR+","aFRR-")</f>
        <v/>
      </c>
      <c r="D211" s="43">
        <f>IF(C211="aFRR+",damas_afrr_up*capacity_mult_B,damas_afrr_down*capacity_mult_B)</f>
        <v/>
      </c>
      <c r="E211" s="44">
        <f>acceptance_rate</f>
        <v/>
      </c>
      <c r="F211" s="18">
        <f>IF(C211="aFRR+",power_mw*hours_per_day*damas_afrr_up*capacity_mult_B*stack_capacity*acceptance_rate,power_mw*hours_per_day*damas_afrr_down*capacity_mult_B*stack_capacity*acceptance_rate)</f>
        <v/>
      </c>
      <c r="G211" s="42">
        <f>IF(C211="aFRR+",DAMAS_Daily!I211,DAMAS_Daily!J211)</f>
        <v/>
      </c>
      <c r="H211" s="43">
        <f>IF(C211="aFRR+",DAMAS_Daily!E211,DAMAS_Daily!F211)</f>
        <v/>
      </c>
      <c r="I211" s="43">
        <f>IF(C211="aFRR+",DAMAS_Daily!G211,DAMAS_Daily!H211)</f>
        <v/>
      </c>
      <c r="J211" s="45">
        <f>IF(C211="aFRR+",DAMAS_Daily!C211,DAMAS_Daily!D211)</f>
        <v/>
      </c>
      <c r="K211" s="45">
        <f>IF(C211="aFRR+",MIN(DAMAS_Daily!C211*market_share_B*acceptance_rate*stack_activation,power_mw*hours_per_day,capacity_mwh),MIN(DAMAS_Daily!D211*market_share_B*acceptance_rate*stack_activation,power_mw*hours_per_day,capacity_mwh))</f>
        <v/>
      </c>
      <c r="L211" s="42">
        <f>IF(K211&gt;=capacity_mwh-0.01,"yes","no")</f>
        <v/>
      </c>
      <c r="M211" s="18">
        <f>IF(C211="aFRR+",(MIN(DAMAS_Daily!C211*market_share_B*acceptance_rate*stack_activation,power_mw*hours_per_day,capacity_mwh))*DAMAS_Daily!E211*activation_mult_B,(MIN(DAMAS_Daily!D211*market_share_B*acceptance_rate*stack_activation,power_mw*hours_per_day,capacity_mwh))*DAMAS_Daily!F211*activation_mult_B)</f>
        <v/>
      </c>
      <c r="N211" s="19">
        <f>F211+M211</f>
        <v/>
      </c>
    </row>
    <row r="212">
      <c r="A212" s="41">
        <f>DAMAS_Daily!A212</f>
        <v/>
      </c>
      <c r="B212" s="42">
        <f>DAMAS_Daily!B212</f>
        <v/>
      </c>
      <c r="C212" s="42">
        <f>IF((power_mw*hours_per_day*damas_afrr_up*capacity_mult_B*stack_capacity*acceptance_rate+(MIN(DAMAS_Daily!C212*market_share_B*acceptance_rate*stack_activation,power_mw*hours_per_day,capacity_mwh))*DAMAS_Daily!E212*activation_mult_B)&gt;=(power_mw*hours_per_day*damas_afrr_down*capacity_mult_B*stack_capacity*acceptance_rate+(MIN(DAMAS_Daily!D212*market_share_B*acceptance_rate*stack_activation,power_mw*hours_per_day,capacity_mwh))*DAMAS_Daily!F212*activation_mult_B),"aFRR+","aFRR-")</f>
        <v/>
      </c>
      <c r="D212" s="43">
        <f>IF(C212="aFRR+",damas_afrr_up*capacity_mult_B,damas_afrr_down*capacity_mult_B)</f>
        <v/>
      </c>
      <c r="E212" s="44">
        <f>acceptance_rate</f>
        <v/>
      </c>
      <c r="F212" s="18">
        <f>IF(C212="aFRR+",power_mw*hours_per_day*damas_afrr_up*capacity_mult_B*stack_capacity*acceptance_rate,power_mw*hours_per_day*damas_afrr_down*capacity_mult_B*stack_capacity*acceptance_rate)</f>
        <v/>
      </c>
      <c r="G212" s="42">
        <f>IF(C212="aFRR+",DAMAS_Daily!I212,DAMAS_Daily!J212)</f>
        <v/>
      </c>
      <c r="H212" s="43">
        <f>IF(C212="aFRR+",DAMAS_Daily!E212,DAMAS_Daily!F212)</f>
        <v/>
      </c>
      <c r="I212" s="43">
        <f>IF(C212="aFRR+",DAMAS_Daily!G212,DAMAS_Daily!H212)</f>
        <v/>
      </c>
      <c r="J212" s="45">
        <f>IF(C212="aFRR+",DAMAS_Daily!C212,DAMAS_Daily!D212)</f>
        <v/>
      </c>
      <c r="K212" s="45">
        <f>IF(C212="aFRR+",MIN(DAMAS_Daily!C212*market_share_B*acceptance_rate*stack_activation,power_mw*hours_per_day,capacity_mwh),MIN(DAMAS_Daily!D212*market_share_B*acceptance_rate*stack_activation,power_mw*hours_per_day,capacity_mwh))</f>
        <v/>
      </c>
      <c r="L212" s="42">
        <f>IF(K212&gt;=capacity_mwh-0.01,"yes","no")</f>
        <v/>
      </c>
      <c r="M212" s="18">
        <f>IF(C212="aFRR+",(MIN(DAMAS_Daily!C212*market_share_B*acceptance_rate*stack_activation,power_mw*hours_per_day,capacity_mwh))*DAMAS_Daily!E212*activation_mult_B,(MIN(DAMAS_Daily!D212*market_share_B*acceptance_rate*stack_activation,power_mw*hours_per_day,capacity_mwh))*DAMAS_Daily!F212*activation_mult_B)</f>
        <v/>
      </c>
      <c r="N212" s="19">
        <f>F212+M212</f>
        <v/>
      </c>
    </row>
    <row r="213">
      <c r="A213" s="41">
        <f>DAMAS_Daily!A213</f>
        <v/>
      </c>
      <c r="B213" s="42">
        <f>DAMAS_Daily!B213</f>
        <v/>
      </c>
      <c r="C213" s="42">
        <f>IF((power_mw*hours_per_day*damas_afrr_up*capacity_mult_B*stack_capacity*acceptance_rate+(MIN(DAMAS_Daily!C213*market_share_B*acceptance_rate*stack_activation,power_mw*hours_per_day,capacity_mwh))*DAMAS_Daily!E213*activation_mult_B)&gt;=(power_mw*hours_per_day*damas_afrr_down*capacity_mult_B*stack_capacity*acceptance_rate+(MIN(DAMAS_Daily!D213*market_share_B*acceptance_rate*stack_activation,power_mw*hours_per_day,capacity_mwh))*DAMAS_Daily!F213*activation_mult_B),"aFRR+","aFRR-")</f>
        <v/>
      </c>
      <c r="D213" s="43">
        <f>IF(C213="aFRR+",damas_afrr_up*capacity_mult_B,damas_afrr_down*capacity_mult_B)</f>
        <v/>
      </c>
      <c r="E213" s="44">
        <f>acceptance_rate</f>
        <v/>
      </c>
      <c r="F213" s="18">
        <f>IF(C213="aFRR+",power_mw*hours_per_day*damas_afrr_up*capacity_mult_B*stack_capacity*acceptance_rate,power_mw*hours_per_day*damas_afrr_down*capacity_mult_B*stack_capacity*acceptance_rate)</f>
        <v/>
      </c>
      <c r="G213" s="42">
        <f>IF(C213="aFRR+",DAMAS_Daily!I213,DAMAS_Daily!J213)</f>
        <v/>
      </c>
      <c r="H213" s="43">
        <f>IF(C213="aFRR+",DAMAS_Daily!E213,DAMAS_Daily!F213)</f>
        <v/>
      </c>
      <c r="I213" s="43">
        <f>IF(C213="aFRR+",DAMAS_Daily!G213,DAMAS_Daily!H213)</f>
        <v/>
      </c>
      <c r="J213" s="45">
        <f>IF(C213="aFRR+",DAMAS_Daily!C213,DAMAS_Daily!D213)</f>
        <v/>
      </c>
      <c r="K213" s="45">
        <f>IF(C213="aFRR+",MIN(DAMAS_Daily!C213*market_share_B*acceptance_rate*stack_activation,power_mw*hours_per_day,capacity_mwh),MIN(DAMAS_Daily!D213*market_share_B*acceptance_rate*stack_activation,power_mw*hours_per_day,capacity_mwh))</f>
        <v/>
      </c>
      <c r="L213" s="42">
        <f>IF(K213&gt;=capacity_mwh-0.01,"yes","no")</f>
        <v/>
      </c>
      <c r="M213" s="18">
        <f>IF(C213="aFRR+",(MIN(DAMAS_Daily!C213*market_share_B*acceptance_rate*stack_activation,power_mw*hours_per_day,capacity_mwh))*DAMAS_Daily!E213*activation_mult_B,(MIN(DAMAS_Daily!D213*market_share_B*acceptance_rate*stack_activation,power_mw*hours_per_day,capacity_mwh))*DAMAS_Daily!F213*activation_mult_B)</f>
        <v/>
      </c>
      <c r="N213" s="19">
        <f>F213+M213</f>
        <v/>
      </c>
    </row>
    <row r="214">
      <c r="A214" s="41">
        <f>DAMAS_Daily!A214</f>
        <v/>
      </c>
      <c r="B214" s="42">
        <f>DAMAS_Daily!B214</f>
        <v/>
      </c>
      <c r="C214" s="42">
        <f>IF((power_mw*hours_per_day*damas_afrr_up*capacity_mult_B*stack_capacity*acceptance_rate+(MIN(DAMAS_Daily!C214*market_share_B*acceptance_rate*stack_activation,power_mw*hours_per_day,capacity_mwh))*DAMAS_Daily!E214*activation_mult_B)&gt;=(power_mw*hours_per_day*damas_afrr_down*capacity_mult_B*stack_capacity*acceptance_rate+(MIN(DAMAS_Daily!D214*market_share_B*acceptance_rate*stack_activation,power_mw*hours_per_day,capacity_mwh))*DAMAS_Daily!F214*activation_mult_B),"aFRR+","aFRR-")</f>
        <v/>
      </c>
      <c r="D214" s="43">
        <f>IF(C214="aFRR+",damas_afrr_up*capacity_mult_B,damas_afrr_down*capacity_mult_B)</f>
        <v/>
      </c>
      <c r="E214" s="44">
        <f>acceptance_rate</f>
        <v/>
      </c>
      <c r="F214" s="18">
        <f>IF(C214="aFRR+",power_mw*hours_per_day*damas_afrr_up*capacity_mult_B*stack_capacity*acceptance_rate,power_mw*hours_per_day*damas_afrr_down*capacity_mult_B*stack_capacity*acceptance_rate)</f>
        <v/>
      </c>
      <c r="G214" s="42">
        <f>IF(C214="aFRR+",DAMAS_Daily!I214,DAMAS_Daily!J214)</f>
        <v/>
      </c>
      <c r="H214" s="43">
        <f>IF(C214="aFRR+",DAMAS_Daily!E214,DAMAS_Daily!F214)</f>
        <v/>
      </c>
      <c r="I214" s="43">
        <f>IF(C214="aFRR+",DAMAS_Daily!G214,DAMAS_Daily!H214)</f>
        <v/>
      </c>
      <c r="J214" s="45">
        <f>IF(C214="aFRR+",DAMAS_Daily!C214,DAMAS_Daily!D214)</f>
        <v/>
      </c>
      <c r="K214" s="45">
        <f>IF(C214="aFRR+",MIN(DAMAS_Daily!C214*market_share_B*acceptance_rate*stack_activation,power_mw*hours_per_day,capacity_mwh),MIN(DAMAS_Daily!D214*market_share_B*acceptance_rate*stack_activation,power_mw*hours_per_day,capacity_mwh))</f>
        <v/>
      </c>
      <c r="L214" s="42">
        <f>IF(K214&gt;=capacity_mwh-0.01,"yes","no")</f>
        <v/>
      </c>
      <c r="M214" s="18">
        <f>IF(C214="aFRR+",(MIN(DAMAS_Daily!C214*market_share_B*acceptance_rate*stack_activation,power_mw*hours_per_day,capacity_mwh))*DAMAS_Daily!E214*activation_mult_B,(MIN(DAMAS_Daily!D214*market_share_B*acceptance_rate*stack_activation,power_mw*hours_per_day,capacity_mwh))*DAMAS_Daily!F214*activation_mult_B)</f>
        <v/>
      </c>
      <c r="N214" s="19">
        <f>F214+M214</f>
        <v/>
      </c>
    </row>
    <row r="215">
      <c r="A215" s="41">
        <f>DAMAS_Daily!A215</f>
        <v/>
      </c>
      <c r="B215" s="42">
        <f>DAMAS_Daily!B215</f>
        <v/>
      </c>
      <c r="C215" s="42">
        <f>IF((power_mw*hours_per_day*damas_afrr_up*capacity_mult_B*stack_capacity*acceptance_rate+(MIN(DAMAS_Daily!C215*market_share_B*acceptance_rate*stack_activation,power_mw*hours_per_day,capacity_mwh))*DAMAS_Daily!E215*activation_mult_B)&gt;=(power_mw*hours_per_day*damas_afrr_down*capacity_mult_B*stack_capacity*acceptance_rate+(MIN(DAMAS_Daily!D215*market_share_B*acceptance_rate*stack_activation,power_mw*hours_per_day,capacity_mwh))*DAMAS_Daily!F215*activation_mult_B),"aFRR+","aFRR-")</f>
        <v/>
      </c>
      <c r="D215" s="43">
        <f>IF(C215="aFRR+",damas_afrr_up*capacity_mult_B,damas_afrr_down*capacity_mult_B)</f>
        <v/>
      </c>
      <c r="E215" s="44">
        <f>acceptance_rate</f>
        <v/>
      </c>
      <c r="F215" s="18">
        <f>IF(C215="aFRR+",power_mw*hours_per_day*damas_afrr_up*capacity_mult_B*stack_capacity*acceptance_rate,power_mw*hours_per_day*damas_afrr_down*capacity_mult_B*stack_capacity*acceptance_rate)</f>
        <v/>
      </c>
      <c r="G215" s="42">
        <f>IF(C215="aFRR+",DAMAS_Daily!I215,DAMAS_Daily!J215)</f>
        <v/>
      </c>
      <c r="H215" s="43">
        <f>IF(C215="aFRR+",DAMAS_Daily!E215,DAMAS_Daily!F215)</f>
        <v/>
      </c>
      <c r="I215" s="43">
        <f>IF(C215="aFRR+",DAMAS_Daily!G215,DAMAS_Daily!H215)</f>
        <v/>
      </c>
      <c r="J215" s="45">
        <f>IF(C215="aFRR+",DAMAS_Daily!C215,DAMAS_Daily!D215)</f>
        <v/>
      </c>
      <c r="K215" s="45">
        <f>IF(C215="aFRR+",MIN(DAMAS_Daily!C215*market_share_B*acceptance_rate*stack_activation,power_mw*hours_per_day,capacity_mwh),MIN(DAMAS_Daily!D215*market_share_B*acceptance_rate*stack_activation,power_mw*hours_per_day,capacity_mwh))</f>
        <v/>
      </c>
      <c r="L215" s="42">
        <f>IF(K215&gt;=capacity_mwh-0.01,"yes","no")</f>
        <v/>
      </c>
      <c r="M215" s="18">
        <f>IF(C215="aFRR+",(MIN(DAMAS_Daily!C215*market_share_B*acceptance_rate*stack_activation,power_mw*hours_per_day,capacity_mwh))*DAMAS_Daily!E215*activation_mult_B,(MIN(DAMAS_Daily!D215*market_share_B*acceptance_rate*stack_activation,power_mw*hours_per_day,capacity_mwh))*DAMAS_Daily!F215*activation_mult_B)</f>
        <v/>
      </c>
      <c r="N215" s="19">
        <f>F215+M215</f>
        <v/>
      </c>
    </row>
    <row r="216">
      <c r="A216" s="41">
        <f>DAMAS_Daily!A216</f>
        <v/>
      </c>
      <c r="B216" s="42">
        <f>DAMAS_Daily!B216</f>
        <v/>
      </c>
      <c r="C216" s="42">
        <f>IF((power_mw*hours_per_day*damas_afrr_up*capacity_mult_B*stack_capacity*acceptance_rate+(MIN(DAMAS_Daily!C216*market_share_B*acceptance_rate*stack_activation,power_mw*hours_per_day,capacity_mwh))*DAMAS_Daily!E216*activation_mult_B)&gt;=(power_mw*hours_per_day*damas_afrr_down*capacity_mult_B*stack_capacity*acceptance_rate+(MIN(DAMAS_Daily!D216*market_share_B*acceptance_rate*stack_activation,power_mw*hours_per_day,capacity_mwh))*DAMAS_Daily!F216*activation_mult_B),"aFRR+","aFRR-")</f>
        <v/>
      </c>
      <c r="D216" s="43">
        <f>IF(C216="aFRR+",damas_afrr_up*capacity_mult_B,damas_afrr_down*capacity_mult_B)</f>
        <v/>
      </c>
      <c r="E216" s="44">
        <f>acceptance_rate</f>
        <v/>
      </c>
      <c r="F216" s="18">
        <f>IF(C216="aFRR+",power_mw*hours_per_day*damas_afrr_up*capacity_mult_B*stack_capacity*acceptance_rate,power_mw*hours_per_day*damas_afrr_down*capacity_mult_B*stack_capacity*acceptance_rate)</f>
        <v/>
      </c>
      <c r="G216" s="42">
        <f>IF(C216="aFRR+",DAMAS_Daily!I216,DAMAS_Daily!J216)</f>
        <v/>
      </c>
      <c r="H216" s="43">
        <f>IF(C216="aFRR+",DAMAS_Daily!E216,DAMAS_Daily!F216)</f>
        <v/>
      </c>
      <c r="I216" s="43">
        <f>IF(C216="aFRR+",DAMAS_Daily!G216,DAMAS_Daily!H216)</f>
        <v/>
      </c>
      <c r="J216" s="45">
        <f>IF(C216="aFRR+",DAMAS_Daily!C216,DAMAS_Daily!D216)</f>
        <v/>
      </c>
      <c r="K216" s="45">
        <f>IF(C216="aFRR+",MIN(DAMAS_Daily!C216*market_share_B*acceptance_rate*stack_activation,power_mw*hours_per_day,capacity_mwh),MIN(DAMAS_Daily!D216*market_share_B*acceptance_rate*stack_activation,power_mw*hours_per_day,capacity_mwh))</f>
        <v/>
      </c>
      <c r="L216" s="42">
        <f>IF(K216&gt;=capacity_mwh-0.01,"yes","no")</f>
        <v/>
      </c>
      <c r="M216" s="18">
        <f>IF(C216="aFRR+",(MIN(DAMAS_Daily!C216*market_share_B*acceptance_rate*stack_activation,power_mw*hours_per_day,capacity_mwh))*DAMAS_Daily!E216*activation_mult_B,(MIN(DAMAS_Daily!D216*market_share_B*acceptance_rate*stack_activation,power_mw*hours_per_day,capacity_mwh))*DAMAS_Daily!F216*activation_mult_B)</f>
        <v/>
      </c>
      <c r="N216" s="19">
        <f>F216+M216</f>
        <v/>
      </c>
    </row>
    <row r="217">
      <c r="A217" s="41">
        <f>DAMAS_Daily!A217</f>
        <v/>
      </c>
      <c r="B217" s="42">
        <f>DAMAS_Daily!B217</f>
        <v/>
      </c>
      <c r="C217" s="42">
        <f>IF((power_mw*hours_per_day*damas_afrr_up*capacity_mult_B*stack_capacity*acceptance_rate+(MIN(DAMAS_Daily!C217*market_share_B*acceptance_rate*stack_activation,power_mw*hours_per_day,capacity_mwh))*DAMAS_Daily!E217*activation_mult_B)&gt;=(power_mw*hours_per_day*damas_afrr_down*capacity_mult_B*stack_capacity*acceptance_rate+(MIN(DAMAS_Daily!D217*market_share_B*acceptance_rate*stack_activation,power_mw*hours_per_day,capacity_mwh))*DAMAS_Daily!F217*activation_mult_B),"aFRR+","aFRR-")</f>
        <v/>
      </c>
      <c r="D217" s="43">
        <f>IF(C217="aFRR+",damas_afrr_up*capacity_mult_B,damas_afrr_down*capacity_mult_B)</f>
        <v/>
      </c>
      <c r="E217" s="44">
        <f>acceptance_rate</f>
        <v/>
      </c>
      <c r="F217" s="18">
        <f>IF(C217="aFRR+",power_mw*hours_per_day*damas_afrr_up*capacity_mult_B*stack_capacity*acceptance_rate,power_mw*hours_per_day*damas_afrr_down*capacity_mult_B*stack_capacity*acceptance_rate)</f>
        <v/>
      </c>
      <c r="G217" s="42">
        <f>IF(C217="aFRR+",DAMAS_Daily!I217,DAMAS_Daily!J217)</f>
        <v/>
      </c>
      <c r="H217" s="43">
        <f>IF(C217="aFRR+",DAMAS_Daily!E217,DAMAS_Daily!F217)</f>
        <v/>
      </c>
      <c r="I217" s="43">
        <f>IF(C217="aFRR+",DAMAS_Daily!G217,DAMAS_Daily!H217)</f>
        <v/>
      </c>
      <c r="J217" s="45">
        <f>IF(C217="aFRR+",DAMAS_Daily!C217,DAMAS_Daily!D217)</f>
        <v/>
      </c>
      <c r="K217" s="45">
        <f>IF(C217="aFRR+",MIN(DAMAS_Daily!C217*market_share_B*acceptance_rate*stack_activation,power_mw*hours_per_day,capacity_mwh),MIN(DAMAS_Daily!D217*market_share_B*acceptance_rate*stack_activation,power_mw*hours_per_day,capacity_mwh))</f>
        <v/>
      </c>
      <c r="L217" s="42">
        <f>IF(K217&gt;=capacity_mwh-0.01,"yes","no")</f>
        <v/>
      </c>
      <c r="M217" s="18">
        <f>IF(C217="aFRR+",(MIN(DAMAS_Daily!C217*market_share_B*acceptance_rate*stack_activation,power_mw*hours_per_day,capacity_mwh))*DAMAS_Daily!E217*activation_mult_B,(MIN(DAMAS_Daily!D217*market_share_B*acceptance_rate*stack_activation,power_mw*hours_per_day,capacity_mwh))*DAMAS_Daily!F217*activation_mult_B)</f>
        <v/>
      </c>
      <c r="N217" s="19">
        <f>F217+M217</f>
        <v/>
      </c>
    </row>
    <row r="218">
      <c r="A218" s="41">
        <f>DAMAS_Daily!A218</f>
        <v/>
      </c>
      <c r="B218" s="42">
        <f>DAMAS_Daily!B218</f>
        <v/>
      </c>
      <c r="C218" s="42">
        <f>IF((power_mw*hours_per_day*damas_afrr_up*capacity_mult_B*stack_capacity*acceptance_rate+(MIN(DAMAS_Daily!C218*market_share_B*acceptance_rate*stack_activation,power_mw*hours_per_day,capacity_mwh))*DAMAS_Daily!E218*activation_mult_B)&gt;=(power_mw*hours_per_day*damas_afrr_down*capacity_mult_B*stack_capacity*acceptance_rate+(MIN(DAMAS_Daily!D218*market_share_B*acceptance_rate*stack_activation,power_mw*hours_per_day,capacity_mwh))*DAMAS_Daily!F218*activation_mult_B),"aFRR+","aFRR-")</f>
        <v/>
      </c>
      <c r="D218" s="43">
        <f>IF(C218="aFRR+",damas_afrr_up*capacity_mult_B,damas_afrr_down*capacity_mult_B)</f>
        <v/>
      </c>
      <c r="E218" s="44">
        <f>acceptance_rate</f>
        <v/>
      </c>
      <c r="F218" s="18">
        <f>IF(C218="aFRR+",power_mw*hours_per_day*damas_afrr_up*capacity_mult_B*stack_capacity*acceptance_rate,power_mw*hours_per_day*damas_afrr_down*capacity_mult_B*stack_capacity*acceptance_rate)</f>
        <v/>
      </c>
      <c r="G218" s="42">
        <f>IF(C218="aFRR+",DAMAS_Daily!I218,DAMAS_Daily!J218)</f>
        <v/>
      </c>
      <c r="H218" s="43">
        <f>IF(C218="aFRR+",DAMAS_Daily!E218,DAMAS_Daily!F218)</f>
        <v/>
      </c>
      <c r="I218" s="43">
        <f>IF(C218="aFRR+",DAMAS_Daily!G218,DAMAS_Daily!H218)</f>
        <v/>
      </c>
      <c r="J218" s="45">
        <f>IF(C218="aFRR+",DAMAS_Daily!C218,DAMAS_Daily!D218)</f>
        <v/>
      </c>
      <c r="K218" s="45">
        <f>IF(C218="aFRR+",MIN(DAMAS_Daily!C218*market_share_B*acceptance_rate*stack_activation,power_mw*hours_per_day,capacity_mwh),MIN(DAMAS_Daily!D218*market_share_B*acceptance_rate*stack_activation,power_mw*hours_per_day,capacity_mwh))</f>
        <v/>
      </c>
      <c r="L218" s="42">
        <f>IF(K218&gt;=capacity_mwh-0.01,"yes","no")</f>
        <v/>
      </c>
      <c r="M218" s="18">
        <f>IF(C218="aFRR+",(MIN(DAMAS_Daily!C218*market_share_B*acceptance_rate*stack_activation,power_mw*hours_per_day,capacity_mwh))*DAMAS_Daily!E218*activation_mult_B,(MIN(DAMAS_Daily!D218*market_share_B*acceptance_rate*stack_activation,power_mw*hours_per_day,capacity_mwh))*DAMAS_Daily!F218*activation_mult_B)</f>
        <v/>
      </c>
      <c r="N218" s="19">
        <f>F218+M218</f>
        <v/>
      </c>
    </row>
    <row r="219">
      <c r="A219" s="41">
        <f>DAMAS_Daily!A219</f>
        <v/>
      </c>
      <c r="B219" s="42">
        <f>DAMAS_Daily!B219</f>
        <v/>
      </c>
      <c r="C219" s="42">
        <f>IF((power_mw*hours_per_day*damas_afrr_up*capacity_mult_B*stack_capacity*acceptance_rate+(MIN(DAMAS_Daily!C219*market_share_B*acceptance_rate*stack_activation,power_mw*hours_per_day,capacity_mwh))*DAMAS_Daily!E219*activation_mult_B)&gt;=(power_mw*hours_per_day*damas_afrr_down*capacity_mult_B*stack_capacity*acceptance_rate+(MIN(DAMAS_Daily!D219*market_share_B*acceptance_rate*stack_activation,power_mw*hours_per_day,capacity_mwh))*DAMAS_Daily!F219*activation_mult_B),"aFRR+","aFRR-")</f>
        <v/>
      </c>
      <c r="D219" s="43">
        <f>IF(C219="aFRR+",damas_afrr_up*capacity_mult_B,damas_afrr_down*capacity_mult_B)</f>
        <v/>
      </c>
      <c r="E219" s="44">
        <f>acceptance_rate</f>
        <v/>
      </c>
      <c r="F219" s="18">
        <f>IF(C219="aFRR+",power_mw*hours_per_day*damas_afrr_up*capacity_mult_B*stack_capacity*acceptance_rate,power_mw*hours_per_day*damas_afrr_down*capacity_mult_B*stack_capacity*acceptance_rate)</f>
        <v/>
      </c>
      <c r="G219" s="42">
        <f>IF(C219="aFRR+",DAMAS_Daily!I219,DAMAS_Daily!J219)</f>
        <v/>
      </c>
      <c r="H219" s="43">
        <f>IF(C219="aFRR+",DAMAS_Daily!E219,DAMAS_Daily!F219)</f>
        <v/>
      </c>
      <c r="I219" s="43">
        <f>IF(C219="aFRR+",DAMAS_Daily!G219,DAMAS_Daily!H219)</f>
        <v/>
      </c>
      <c r="J219" s="45">
        <f>IF(C219="aFRR+",DAMAS_Daily!C219,DAMAS_Daily!D219)</f>
        <v/>
      </c>
      <c r="K219" s="45">
        <f>IF(C219="aFRR+",MIN(DAMAS_Daily!C219*market_share_B*acceptance_rate*stack_activation,power_mw*hours_per_day,capacity_mwh),MIN(DAMAS_Daily!D219*market_share_B*acceptance_rate*stack_activation,power_mw*hours_per_day,capacity_mwh))</f>
        <v/>
      </c>
      <c r="L219" s="42">
        <f>IF(K219&gt;=capacity_mwh-0.01,"yes","no")</f>
        <v/>
      </c>
      <c r="M219" s="18">
        <f>IF(C219="aFRR+",(MIN(DAMAS_Daily!C219*market_share_B*acceptance_rate*stack_activation,power_mw*hours_per_day,capacity_mwh))*DAMAS_Daily!E219*activation_mult_B,(MIN(DAMAS_Daily!D219*market_share_B*acceptance_rate*stack_activation,power_mw*hours_per_day,capacity_mwh))*DAMAS_Daily!F219*activation_mult_B)</f>
        <v/>
      </c>
      <c r="N219" s="19">
        <f>F219+M219</f>
        <v/>
      </c>
    </row>
    <row r="220">
      <c r="A220" s="41">
        <f>DAMAS_Daily!A220</f>
        <v/>
      </c>
      <c r="B220" s="42">
        <f>DAMAS_Daily!B220</f>
        <v/>
      </c>
      <c r="C220" s="42">
        <f>IF((power_mw*hours_per_day*damas_afrr_up*capacity_mult_B*stack_capacity*acceptance_rate+(MIN(DAMAS_Daily!C220*market_share_B*acceptance_rate*stack_activation,power_mw*hours_per_day,capacity_mwh))*DAMAS_Daily!E220*activation_mult_B)&gt;=(power_mw*hours_per_day*damas_afrr_down*capacity_mult_B*stack_capacity*acceptance_rate+(MIN(DAMAS_Daily!D220*market_share_B*acceptance_rate*stack_activation,power_mw*hours_per_day,capacity_mwh))*DAMAS_Daily!F220*activation_mult_B),"aFRR+","aFRR-")</f>
        <v/>
      </c>
      <c r="D220" s="43">
        <f>IF(C220="aFRR+",damas_afrr_up*capacity_mult_B,damas_afrr_down*capacity_mult_B)</f>
        <v/>
      </c>
      <c r="E220" s="44">
        <f>acceptance_rate</f>
        <v/>
      </c>
      <c r="F220" s="18">
        <f>IF(C220="aFRR+",power_mw*hours_per_day*damas_afrr_up*capacity_mult_B*stack_capacity*acceptance_rate,power_mw*hours_per_day*damas_afrr_down*capacity_mult_B*stack_capacity*acceptance_rate)</f>
        <v/>
      </c>
      <c r="G220" s="42">
        <f>IF(C220="aFRR+",DAMAS_Daily!I220,DAMAS_Daily!J220)</f>
        <v/>
      </c>
      <c r="H220" s="43">
        <f>IF(C220="aFRR+",DAMAS_Daily!E220,DAMAS_Daily!F220)</f>
        <v/>
      </c>
      <c r="I220" s="43">
        <f>IF(C220="aFRR+",DAMAS_Daily!G220,DAMAS_Daily!H220)</f>
        <v/>
      </c>
      <c r="J220" s="45">
        <f>IF(C220="aFRR+",DAMAS_Daily!C220,DAMAS_Daily!D220)</f>
        <v/>
      </c>
      <c r="K220" s="45">
        <f>IF(C220="aFRR+",MIN(DAMAS_Daily!C220*market_share_B*acceptance_rate*stack_activation,power_mw*hours_per_day,capacity_mwh),MIN(DAMAS_Daily!D220*market_share_B*acceptance_rate*stack_activation,power_mw*hours_per_day,capacity_mwh))</f>
        <v/>
      </c>
      <c r="L220" s="42">
        <f>IF(K220&gt;=capacity_mwh-0.01,"yes","no")</f>
        <v/>
      </c>
      <c r="M220" s="18">
        <f>IF(C220="aFRR+",(MIN(DAMAS_Daily!C220*market_share_B*acceptance_rate*stack_activation,power_mw*hours_per_day,capacity_mwh))*DAMAS_Daily!E220*activation_mult_B,(MIN(DAMAS_Daily!D220*market_share_B*acceptance_rate*stack_activation,power_mw*hours_per_day,capacity_mwh))*DAMAS_Daily!F220*activation_mult_B)</f>
        <v/>
      </c>
      <c r="N220" s="19">
        <f>F220+M220</f>
        <v/>
      </c>
    </row>
    <row r="221">
      <c r="A221" s="41">
        <f>DAMAS_Daily!A221</f>
        <v/>
      </c>
      <c r="B221" s="42">
        <f>DAMAS_Daily!B221</f>
        <v/>
      </c>
      <c r="C221" s="42">
        <f>IF((power_mw*hours_per_day*damas_afrr_up*capacity_mult_B*stack_capacity*acceptance_rate+(MIN(DAMAS_Daily!C221*market_share_B*acceptance_rate*stack_activation,power_mw*hours_per_day,capacity_mwh))*DAMAS_Daily!E221*activation_mult_B)&gt;=(power_mw*hours_per_day*damas_afrr_down*capacity_mult_B*stack_capacity*acceptance_rate+(MIN(DAMAS_Daily!D221*market_share_B*acceptance_rate*stack_activation,power_mw*hours_per_day,capacity_mwh))*DAMAS_Daily!F221*activation_mult_B),"aFRR+","aFRR-")</f>
        <v/>
      </c>
      <c r="D221" s="43">
        <f>IF(C221="aFRR+",damas_afrr_up*capacity_mult_B,damas_afrr_down*capacity_mult_B)</f>
        <v/>
      </c>
      <c r="E221" s="44">
        <f>acceptance_rate</f>
        <v/>
      </c>
      <c r="F221" s="18">
        <f>IF(C221="aFRR+",power_mw*hours_per_day*damas_afrr_up*capacity_mult_B*stack_capacity*acceptance_rate,power_mw*hours_per_day*damas_afrr_down*capacity_mult_B*stack_capacity*acceptance_rate)</f>
        <v/>
      </c>
      <c r="G221" s="42">
        <f>IF(C221="aFRR+",DAMAS_Daily!I221,DAMAS_Daily!J221)</f>
        <v/>
      </c>
      <c r="H221" s="43">
        <f>IF(C221="aFRR+",DAMAS_Daily!E221,DAMAS_Daily!F221)</f>
        <v/>
      </c>
      <c r="I221" s="43">
        <f>IF(C221="aFRR+",DAMAS_Daily!G221,DAMAS_Daily!H221)</f>
        <v/>
      </c>
      <c r="J221" s="45">
        <f>IF(C221="aFRR+",DAMAS_Daily!C221,DAMAS_Daily!D221)</f>
        <v/>
      </c>
      <c r="K221" s="45">
        <f>IF(C221="aFRR+",MIN(DAMAS_Daily!C221*market_share_B*acceptance_rate*stack_activation,power_mw*hours_per_day,capacity_mwh),MIN(DAMAS_Daily!D221*market_share_B*acceptance_rate*stack_activation,power_mw*hours_per_day,capacity_mwh))</f>
        <v/>
      </c>
      <c r="L221" s="42">
        <f>IF(K221&gt;=capacity_mwh-0.01,"yes","no")</f>
        <v/>
      </c>
      <c r="M221" s="18">
        <f>IF(C221="aFRR+",(MIN(DAMAS_Daily!C221*market_share_B*acceptance_rate*stack_activation,power_mw*hours_per_day,capacity_mwh))*DAMAS_Daily!E221*activation_mult_B,(MIN(DAMAS_Daily!D221*market_share_B*acceptance_rate*stack_activation,power_mw*hours_per_day,capacity_mwh))*DAMAS_Daily!F221*activation_mult_B)</f>
        <v/>
      </c>
      <c r="N221" s="19">
        <f>F221+M221</f>
        <v/>
      </c>
    </row>
    <row r="222">
      <c r="A222" s="41">
        <f>DAMAS_Daily!A222</f>
        <v/>
      </c>
      <c r="B222" s="42">
        <f>DAMAS_Daily!B222</f>
        <v/>
      </c>
      <c r="C222" s="42">
        <f>IF((power_mw*hours_per_day*damas_afrr_up*capacity_mult_B*stack_capacity*acceptance_rate+(MIN(DAMAS_Daily!C222*market_share_B*acceptance_rate*stack_activation,power_mw*hours_per_day,capacity_mwh))*DAMAS_Daily!E222*activation_mult_B)&gt;=(power_mw*hours_per_day*damas_afrr_down*capacity_mult_B*stack_capacity*acceptance_rate+(MIN(DAMAS_Daily!D222*market_share_B*acceptance_rate*stack_activation,power_mw*hours_per_day,capacity_mwh))*DAMAS_Daily!F222*activation_mult_B),"aFRR+","aFRR-")</f>
        <v/>
      </c>
      <c r="D222" s="43">
        <f>IF(C222="aFRR+",damas_afrr_up*capacity_mult_B,damas_afrr_down*capacity_mult_B)</f>
        <v/>
      </c>
      <c r="E222" s="44">
        <f>acceptance_rate</f>
        <v/>
      </c>
      <c r="F222" s="18">
        <f>IF(C222="aFRR+",power_mw*hours_per_day*damas_afrr_up*capacity_mult_B*stack_capacity*acceptance_rate,power_mw*hours_per_day*damas_afrr_down*capacity_mult_B*stack_capacity*acceptance_rate)</f>
        <v/>
      </c>
      <c r="G222" s="42">
        <f>IF(C222="aFRR+",DAMAS_Daily!I222,DAMAS_Daily!J222)</f>
        <v/>
      </c>
      <c r="H222" s="43">
        <f>IF(C222="aFRR+",DAMAS_Daily!E222,DAMAS_Daily!F222)</f>
        <v/>
      </c>
      <c r="I222" s="43">
        <f>IF(C222="aFRR+",DAMAS_Daily!G222,DAMAS_Daily!H222)</f>
        <v/>
      </c>
      <c r="J222" s="45">
        <f>IF(C222="aFRR+",DAMAS_Daily!C222,DAMAS_Daily!D222)</f>
        <v/>
      </c>
      <c r="K222" s="45">
        <f>IF(C222="aFRR+",MIN(DAMAS_Daily!C222*market_share_B*acceptance_rate*stack_activation,power_mw*hours_per_day,capacity_mwh),MIN(DAMAS_Daily!D222*market_share_B*acceptance_rate*stack_activation,power_mw*hours_per_day,capacity_mwh))</f>
        <v/>
      </c>
      <c r="L222" s="42">
        <f>IF(K222&gt;=capacity_mwh-0.01,"yes","no")</f>
        <v/>
      </c>
      <c r="M222" s="18">
        <f>IF(C222="aFRR+",(MIN(DAMAS_Daily!C222*market_share_B*acceptance_rate*stack_activation,power_mw*hours_per_day,capacity_mwh))*DAMAS_Daily!E222*activation_mult_B,(MIN(DAMAS_Daily!D222*market_share_B*acceptance_rate*stack_activation,power_mw*hours_per_day,capacity_mwh))*DAMAS_Daily!F222*activation_mult_B)</f>
        <v/>
      </c>
      <c r="N222" s="19">
        <f>F222+M222</f>
        <v/>
      </c>
    </row>
    <row r="223">
      <c r="A223" s="41">
        <f>DAMAS_Daily!A223</f>
        <v/>
      </c>
      <c r="B223" s="42">
        <f>DAMAS_Daily!B223</f>
        <v/>
      </c>
      <c r="C223" s="42">
        <f>IF((power_mw*hours_per_day*damas_afrr_up*capacity_mult_B*stack_capacity*acceptance_rate+(MIN(DAMAS_Daily!C223*market_share_B*acceptance_rate*stack_activation,power_mw*hours_per_day,capacity_mwh))*DAMAS_Daily!E223*activation_mult_B)&gt;=(power_mw*hours_per_day*damas_afrr_down*capacity_mult_B*stack_capacity*acceptance_rate+(MIN(DAMAS_Daily!D223*market_share_B*acceptance_rate*stack_activation,power_mw*hours_per_day,capacity_mwh))*DAMAS_Daily!F223*activation_mult_B),"aFRR+","aFRR-")</f>
        <v/>
      </c>
      <c r="D223" s="43">
        <f>IF(C223="aFRR+",damas_afrr_up*capacity_mult_B,damas_afrr_down*capacity_mult_B)</f>
        <v/>
      </c>
      <c r="E223" s="44">
        <f>acceptance_rate</f>
        <v/>
      </c>
      <c r="F223" s="18">
        <f>IF(C223="aFRR+",power_mw*hours_per_day*damas_afrr_up*capacity_mult_B*stack_capacity*acceptance_rate,power_mw*hours_per_day*damas_afrr_down*capacity_mult_B*stack_capacity*acceptance_rate)</f>
        <v/>
      </c>
      <c r="G223" s="42">
        <f>IF(C223="aFRR+",DAMAS_Daily!I223,DAMAS_Daily!J223)</f>
        <v/>
      </c>
      <c r="H223" s="43">
        <f>IF(C223="aFRR+",DAMAS_Daily!E223,DAMAS_Daily!F223)</f>
        <v/>
      </c>
      <c r="I223" s="43">
        <f>IF(C223="aFRR+",DAMAS_Daily!G223,DAMAS_Daily!H223)</f>
        <v/>
      </c>
      <c r="J223" s="45">
        <f>IF(C223="aFRR+",DAMAS_Daily!C223,DAMAS_Daily!D223)</f>
        <v/>
      </c>
      <c r="K223" s="45">
        <f>IF(C223="aFRR+",MIN(DAMAS_Daily!C223*market_share_B*acceptance_rate*stack_activation,power_mw*hours_per_day,capacity_mwh),MIN(DAMAS_Daily!D223*market_share_B*acceptance_rate*stack_activation,power_mw*hours_per_day,capacity_mwh))</f>
        <v/>
      </c>
      <c r="L223" s="42">
        <f>IF(K223&gt;=capacity_mwh-0.01,"yes","no")</f>
        <v/>
      </c>
      <c r="M223" s="18">
        <f>IF(C223="aFRR+",(MIN(DAMAS_Daily!C223*market_share_B*acceptance_rate*stack_activation,power_mw*hours_per_day,capacity_mwh))*DAMAS_Daily!E223*activation_mult_B,(MIN(DAMAS_Daily!D223*market_share_B*acceptance_rate*stack_activation,power_mw*hours_per_day,capacity_mwh))*DAMAS_Daily!F223*activation_mult_B)</f>
        <v/>
      </c>
      <c r="N223" s="19">
        <f>F223+M223</f>
        <v/>
      </c>
    </row>
    <row r="224">
      <c r="A224" s="41">
        <f>DAMAS_Daily!A224</f>
        <v/>
      </c>
      <c r="B224" s="42">
        <f>DAMAS_Daily!B224</f>
        <v/>
      </c>
      <c r="C224" s="42">
        <f>IF((power_mw*hours_per_day*damas_afrr_up*capacity_mult_B*stack_capacity*acceptance_rate+(MIN(DAMAS_Daily!C224*market_share_B*acceptance_rate*stack_activation,power_mw*hours_per_day,capacity_mwh))*DAMAS_Daily!E224*activation_mult_B)&gt;=(power_mw*hours_per_day*damas_afrr_down*capacity_mult_B*stack_capacity*acceptance_rate+(MIN(DAMAS_Daily!D224*market_share_B*acceptance_rate*stack_activation,power_mw*hours_per_day,capacity_mwh))*DAMAS_Daily!F224*activation_mult_B),"aFRR+","aFRR-")</f>
        <v/>
      </c>
      <c r="D224" s="43">
        <f>IF(C224="aFRR+",damas_afrr_up*capacity_mult_B,damas_afrr_down*capacity_mult_B)</f>
        <v/>
      </c>
      <c r="E224" s="44">
        <f>acceptance_rate</f>
        <v/>
      </c>
      <c r="F224" s="18">
        <f>IF(C224="aFRR+",power_mw*hours_per_day*damas_afrr_up*capacity_mult_B*stack_capacity*acceptance_rate,power_mw*hours_per_day*damas_afrr_down*capacity_mult_B*stack_capacity*acceptance_rate)</f>
        <v/>
      </c>
      <c r="G224" s="42">
        <f>IF(C224="aFRR+",DAMAS_Daily!I224,DAMAS_Daily!J224)</f>
        <v/>
      </c>
      <c r="H224" s="43">
        <f>IF(C224="aFRR+",DAMAS_Daily!E224,DAMAS_Daily!F224)</f>
        <v/>
      </c>
      <c r="I224" s="43">
        <f>IF(C224="aFRR+",DAMAS_Daily!G224,DAMAS_Daily!H224)</f>
        <v/>
      </c>
      <c r="J224" s="45">
        <f>IF(C224="aFRR+",DAMAS_Daily!C224,DAMAS_Daily!D224)</f>
        <v/>
      </c>
      <c r="K224" s="45">
        <f>IF(C224="aFRR+",MIN(DAMAS_Daily!C224*market_share_B*acceptance_rate*stack_activation,power_mw*hours_per_day,capacity_mwh),MIN(DAMAS_Daily!D224*market_share_B*acceptance_rate*stack_activation,power_mw*hours_per_day,capacity_mwh))</f>
        <v/>
      </c>
      <c r="L224" s="42">
        <f>IF(K224&gt;=capacity_mwh-0.01,"yes","no")</f>
        <v/>
      </c>
      <c r="M224" s="18">
        <f>IF(C224="aFRR+",(MIN(DAMAS_Daily!C224*market_share_B*acceptance_rate*stack_activation,power_mw*hours_per_day,capacity_mwh))*DAMAS_Daily!E224*activation_mult_B,(MIN(DAMAS_Daily!D224*market_share_B*acceptance_rate*stack_activation,power_mw*hours_per_day,capacity_mwh))*DAMAS_Daily!F224*activation_mult_B)</f>
        <v/>
      </c>
      <c r="N224" s="19">
        <f>F224+M224</f>
        <v/>
      </c>
    </row>
    <row r="225">
      <c r="A225" s="41">
        <f>DAMAS_Daily!A225</f>
        <v/>
      </c>
      <c r="B225" s="42">
        <f>DAMAS_Daily!B225</f>
        <v/>
      </c>
      <c r="C225" s="42">
        <f>IF((power_mw*hours_per_day*damas_afrr_up*capacity_mult_B*stack_capacity*acceptance_rate+(MIN(DAMAS_Daily!C225*market_share_B*acceptance_rate*stack_activation,power_mw*hours_per_day,capacity_mwh))*DAMAS_Daily!E225*activation_mult_B)&gt;=(power_mw*hours_per_day*damas_afrr_down*capacity_mult_B*stack_capacity*acceptance_rate+(MIN(DAMAS_Daily!D225*market_share_B*acceptance_rate*stack_activation,power_mw*hours_per_day,capacity_mwh))*DAMAS_Daily!F225*activation_mult_B),"aFRR+","aFRR-")</f>
        <v/>
      </c>
      <c r="D225" s="43">
        <f>IF(C225="aFRR+",damas_afrr_up*capacity_mult_B,damas_afrr_down*capacity_mult_B)</f>
        <v/>
      </c>
      <c r="E225" s="44">
        <f>acceptance_rate</f>
        <v/>
      </c>
      <c r="F225" s="18">
        <f>IF(C225="aFRR+",power_mw*hours_per_day*damas_afrr_up*capacity_mult_B*stack_capacity*acceptance_rate,power_mw*hours_per_day*damas_afrr_down*capacity_mult_B*stack_capacity*acceptance_rate)</f>
        <v/>
      </c>
      <c r="G225" s="42">
        <f>IF(C225="aFRR+",DAMAS_Daily!I225,DAMAS_Daily!J225)</f>
        <v/>
      </c>
      <c r="H225" s="43">
        <f>IF(C225="aFRR+",DAMAS_Daily!E225,DAMAS_Daily!F225)</f>
        <v/>
      </c>
      <c r="I225" s="43">
        <f>IF(C225="aFRR+",DAMAS_Daily!G225,DAMAS_Daily!H225)</f>
        <v/>
      </c>
      <c r="J225" s="45">
        <f>IF(C225="aFRR+",DAMAS_Daily!C225,DAMAS_Daily!D225)</f>
        <v/>
      </c>
      <c r="K225" s="45">
        <f>IF(C225="aFRR+",MIN(DAMAS_Daily!C225*market_share_B*acceptance_rate*stack_activation,power_mw*hours_per_day,capacity_mwh),MIN(DAMAS_Daily!D225*market_share_B*acceptance_rate*stack_activation,power_mw*hours_per_day,capacity_mwh))</f>
        <v/>
      </c>
      <c r="L225" s="42">
        <f>IF(K225&gt;=capacity_mwh-0.01,"yes","no")</f>
        <v/>
      </c>
      <c r="M225" s="18">
        <f>IF(C225="aFRR+",(MIN(DAMAS_Daily!C225*market_share_B*acceptance_rate*stack_activation,power_mw*hours_per_day,capacity_mwh))*DAMAS_Daily!E225*activation_mult_B,(MIN(DAMAS_Daily!D225*market_share_B*acceptance_rate*stack_activation,power_mw*hours_per_day,capacity_mwh))*DAMAS_Daily!F225*activation_mult_B)</f>
        <v/>
      </c>
      <c r="N225" s="19">
        <f>F225+M225</f>
        <v/>
      </c>
    </row>
    <row r="226">
      <c r="A226" s="41">
        <f>DAMAS_Daily!A226</f>
        <v/>
      </c>
      <c r="B226" s="42">
        <f>DAMAS_Daily!B226</f>
        <v/>
      </c>
      <c r="C226" s="42">
        <f>IF((power_mw*hours_per_day*damas_afrr_up*capacity_mult_B*stack_capacity*acceptance_rate+(MIN(DAMAS_Daily!C226*market_share_B*acceptance_rate*stack_activation,power_mw*hours_per_day,capacity_mwh))*DAMAS_Daily!E226*activation_mult_B)&gt;=(power_mw*hours_per_day*damas_afrr_down*capacity_mult_B*stack_capacity*acceptance_rate+(MIN(DAMAS_Daily!D226*market_share_B*acceptance_rate*stack_activation,power_mw*hours_per_day,capacity_mwh))*DAMAS_Daily!F226*activation_mult_B),"aFRR+","aFRR-")</f>
        <v/>
      </c>
      <c r="D226" s="43">
        <f>IF(C226="aFRR+",damas_afrr_up*capacity_mult_B,damas_afrr_down*capacity_mult_B)</f>
        <v/>
      </c>
      <c r="E226" s="44">
        <f>acceptance_rate</f>
        <v/>
      </c>
      <c r="F226" s="18">
        <f>IF(C226="aFRR+",power_mw*hours_per_day*damas_afrr_up*capacity_mult_B*stack_capacity*acceptance_rate,power_mw*hours_per_day*damas_afrr_down*capacity_mult_B*stack_capacity*acceptance_rate)</f>
        <v/>
      </c>
      <c r="G226" s="42">
        <f>IF(C226="aFRR+",DAMAS_Daily!I226,DAMAS_Daily!J226)</f>
        <v/>
      </c>
      <c r="H226" s="43">
        <f>IF(C226="aFRR+",DAMAS_Daily!E226,DAMAS_Daily!F226)</f>
        <v/>
      </c>
      <c r="I226" s="43">
        <f>IF(C226="aFRR+",DAMAS_Daily!G226,DAMAS_Daily!H226)</f>
        <v/>
      </c>
      <c r="J226" s="45">
        <f>IF(C226="aFRR+",DAMAS_Daily!C226,DAMAS_Daily!D226)</f>
        <v/>
      </c>
      <c r="K226" s="45">
        <f>IF(C226="aFRR+",MIN(DAMAS_Daily!C226*market_share_B*acceptance_rate*stack_activation,power_mw*hours_per_day,capacity_mwh),MIN(DAMAS_Daily!D226*market_share_B*acceptance_rate*stack_activation,power_mw*hours_per_day,capacity_mwh))</f>
        <v/>
      </c>
      <c r="L226" s="42">
        <f>IF(K226&gt;=capacity_mwh-0.01,"yes","no")</f>
        <v/>
      </c>
      <c r="M226" s="18">
        <f>IF(C226="aFRR+",(MIN(DAMAS_Daily!C226*market_share_B*acceptance_rate*stack_activation,power_mw*hours_per_day,capacity_mwh))*DAMAS_Daily!E226*activation_mult_B,(MIN(DAMAS_Daily!D226*market_share_B*acceptance_rate*stack_activation,power_mw*hours_per_day,capacity_mwh))*DAMAS_Daily!F226*activation_mult_B)</f>
        <v/>
      </c>
      <c r="N226" s="19">
        <f>F226+M226</f>
        <v/>
      </c>
    </row>
    <row r="227">
      <c r="A227" s="41">
        <f>DAMAS_Daily!A227</f>
        <v/>
      </c>
      <c r="B227" s="42">
        <f>DAMAS_Daily!B227</f>
        <v/>
      </c>
      <c r="C227" s="42">
        <f>IF((power_mw*hours_per_day*damas_afrr_up*capacity_mult_B*stack_capacity*acceptance_rate+(MIN(DAMAS_Daily!C227*market_share_B*acceptance_rate*stack_activation,power_mw*hours_per_day,capacity_mwh))*DAMAS_Daily!E227*activation_mult_B)&gt;=(power_mw*hours_per_day*damas_afrr_down*capacity_mult_B*stack_capacity*acceptance_rate+(MIN(DAMAS_Daily!D227*market_share_B*acceptance_rate*stack_activation,power_mw*hours_per_day,capacity_mwh))*DAMAS_Daily!F227*activation_mult_B),"aFRR+","aFRR-")</f>
        <v/>
      </c>
      <c r="D227" s="43">
        <f>IF(C227="aFRR+",damas_afrr_up*capacity_mult_B,damas_afrr_down*capacity_mult_B)</f>
        <v/>
      </c>
      <c r="E227" s="44">
        <f>acceptance_rate</f>
        <v/>
      </c>
      <c r="F227" s="18">
        <f>IF(C227="aFRR+",power_mw*hours_per_day*damas_afrr_up*capacity_mult_B*stack_capacity*acceptance_rate,power_mw*hours_per_day*damas_afrr_down*capacity_mult_B*stack_capacity*acceptance_rate)</f>
        <v/>
      </c>
      <c r="G227" s="42">
        <f>IF(C227="aFRR+",DAMAS_Daily!I227,DAMAS_Daily!J227)</f>
        <v/>
      </c>
      <c r="H227" s="43">
        <f>IF(C227="aFRR+",DAMAS_Daily!E227,DAMAS_Daily!F227)</f>
        <v/>
      </c>
      <c r="I227" s="43">
        <f>IF(C227="aFRR+",DAMAS_Daily!G227,DAMAS_Daily!H227)</f>
        <v/>
      </c>
      <c r="J227" s="45">
        <f>IF(C227="aFRR+",DAMAS_Daily!C227,DAMAS_Daily!D227)</f>
        <v/>
      </c>
      <c r="K227" s="45">
        <f>IF(C227="aFRR+",MIN(DAMAS_Daily!C227*market_share_B*acceptance_rate*stack_activation,power_mw*hours_per_day,capacity_mwh),MIN(DAMAS_Daily!D227*market_share_B*acceptance_rate*stack_activation,power_mw*hours_per_day,capacity_mwh))</f>
        <v/>
      </c>
      <c r="L227" s="42">
        <f>IF(K227&gt;=capacity_mwh-0.01,"yes","no")</f>
        <v/>
      </c>
      <c r="M227" s="18">
        <f>IF(C227="aFRR+",(MIN(DAMAS_Daily!C227*market_share_B*acceptance_rate*stack_activation,power_mw*hours_per_day,capacity_mwh))*DAMAS_Daily!E227*activation_mult_B,(MIN(DAMAS_Daily!D227*market_share_B*acceptance_rate*stack_activation,power_mw*hours_per_day,capacity_mwh))*DAMAS_Daily!F227*activation_mult_B)</f>
        <v/>
      </c>
      <c r="N227" s="19">
        <f>F227+M227</f>
        <v/>
      </c>
    </row>
    <row r="228">
      <c r="A228" s="41">
        <f>DAMAS_Daily!A228</f>
        <v/>
      </c>
      <c r="B228" s="42">
        <f>DAMAS_Daily!B228</f>
        <v/>
      </c>
      <c r="C228" s="42">
        <f>IF((power_mw*hours_per_day*damas_afrr_up*capacity_mult_B*stack_capacity*acceptance_rate+(MIN(DAMAS_Daily!C228*market_share_B*acceptance_rate*stack_activation,power_mw*hours_per_day,capacity_mwh))*DAMAS_Daily!E228*activation_mult_B)&gt;=(power_mw*hours_per_day*damas_afrr_down*capacity_mult_B*stack_capacity*acceptance_rate+(MIN(DAMAS_Daily!D228*market_share_B*acceptance_rate*stack_activation,power_mw*hours_per_day,capacity_mwh))*DAMAS_Daily!F228*activation_mult_B),"aFRR+","aFRR-")</f>
        <v/>
      </c>
      <c r="D228" s="43">
        <f>IF(C228="aFRR+",damas_afrr_up*capacity_mult_B,damas_afrr_down*capacity_mult_B)</f>
        <v/>
      </c>
      <c r="E228" s="44">
        <f>acceptance_rate</f>
        <v/>
      </c>
      <c r="F228" s="18">
        <f>IF(C228="aFRR+",power_mw*hours_per_day*damas_afrr_up*capacity_mult_B*stack_capacity*acceptance_rate,power_mw*hours_per_day*damas_afrr_down*capacity_mult_B*stack_capacity*acceptance_rate)</f>
        <v/>
      </c>
      <c r="G228" s="42">
        <f>IF(C228="aFRR+",DAMAS_Daily!I228,DAMAS_Daily!J228)</f>
        <v/>
      </c>
      <c r="H228" s="43">
        <f>IF(C228="aFRR+",DAMAS_Daily!E228,DAMAS_Daily!F228)</f>
        <v/>
      </c>
      <c r="I228" s="43">
        <f>IF(C228="aFRR+",DAMAS_Daily!G228,DAMAS_Daily!H228)</f>
        <v/>
      </c>
      <c r="J228" s="45">
        <f>IF(C228="aFRR+",DAMAS_Daily!C228,DAMAS_Daily!D228)</f>
        <v/>
      </c>
      <c r="K228" s="45">
        <f>IF(C228="aFRR+",MIN(DAMAS_Daily!C228*market_share_B*acceptance_rate*stack_activation,power_mw*hours_per_day,capacity_mwh),MIN(DAMAS_Daily!D228*market_share_B*acceptance_rate*stack_activation,power_mw*hours_per_day,capacity_mwh))</f>
        <v/>
      </c>
      <c r="L228" s="42">
        <f>IF(K228&gt;=capacity_mwh-0.01,"yes","no")</f>
        <v/>
      </c>
      <c r="M228" s="18">
        <f>IF(C228="aFRR+",(MIN(DAMAS_Daily!C228*market_share_B*acceptance_rate*stack_activation,power_mw*hours_per_day,capacity_mwh))*DAMAS_Daily!E228*activation_mult_B,(MIN(DAMAS_Daily!D228*market_share_B*acceptance_rate*stack_activation,power_mw*hours_per_day,capacity_mwh))*DAMAS_Daily!F228*activation_mult_B)</f>
        <v/>
      </c>
      <c r="N228" s="19">
        <f>F228+M228</f>
        <v/>
      </c>
    </row>
    <row r="229">
      <c r="A229" s="41">
        <f>DAMAS_Daily!A229</f>
        <v/>
      </c>
      <c r="B229" s="42">
        <f>DAMAS_Daily!B229</f>
        <v/>
      </c>
      <c r="C229" s="42">
        <f>IF((power_mw*hours_per_day*damas_afrr_up*capacity_mult_B*stack_capacity*acceptance_rate+(MIN(DAMAS_Daily!C229*market_share_B*acceptance_rate*stack_activation,power_mw*hours_per_day,capacity_mwh))*DAMAS_Daily!E229*activation_mult_B)&gt;=(power_mw*hours_per_day*damas_afrr_down*capacity_mult_B*stack_capacity*acceptance_rate+(MIN(DAMAS_Daily!D229*market_share_B*acceptance_rate*stack_activation,power_mw*hours_per_day,capacity_mwh))*DAMAS_Daily!F229*activation_mult_B),"aFRR+","aFRR-")</f>
        <v/>
      </c>
      <c r="D229" s="43">
        <f>IF(C229="aFRR+",damas_afrr_up*capacity_mult_B,damas_afrr_down*capacity_mult_B)</f>
        <v/>
      </c>
      <c r="E229" s="44">
        <f>acceptance_rate</f>
        <v/>
      </c>
      <c r="F229" s="18">
        <f>IF(C229="aFRR+",power_mw*hours_per_day*damas_afrr_up*capacity_mult_B*stack_capacity*acceptance_rate,power_mw*hours_per_day*damas_afrr_down*capacity_mult_B*stack_capacity*acceptance_rate)</f>
        <v/>
      </c>
      <c r="G229" s="42">
        <f>IF(C229="aFRR+",DAMAS_Daily!I229,DAMAS_Daily!J229)</f>
        <v/>
      </c>
      <c r="H229" s="43">
        <f>IF(C229="aFRR+",DAMAS_Daily!E229,DAMAS_Daily!F229)</f>
        <v/>
      </c>
      <c r="I229" s="43">
        <f>IF(C229="aFRR+",DAMAS_Daily!G229,DAMAS_Daily!H229)</f>
        <v/>
      </c>
      <c r="J229" s="45">
        <f>IF(C229="aFRR+",DAMAS_Daily!C229,DAMAS_Daily!D229)</f>
        <v/>
      </c>
      <c r="K229" s="45">
        <f>IF(C229="aFRR+",MIN(DAMAS_Daily!C229*market_share_B*acceptance_rate*stack_activation,power_mw*hours_per_day,capacity_mwh),MIN(DAMAS_Daily!D229*market_share_B*acceptance_rate*stack_activation,power_mw*hours_per_day,capacity_mwh))</f>
        <v/>
      </c>
      <c r="L229" s="42">
        <f>IF(K229&gt;=capacity_mwh-0.01,"yes","no")</f>
        <v/>
      </c>
      <c r="M229" s="18">
        <f>IF(C229="aFRR+",(MIN(DAMAS_Daily!C229*market_share_B*acceptance_rate*stack_activation,power_mw*hours_per_day,capacity_mwh))*DAMAS_Daily!E229*activation_mult_B,(MIN(DAMAS_Daily!D229*market_share_B*acceptance_rate*stack_activation,power_mw*hours_per_day,capacity_mwh))*DAMAS_Daily!F229*activation_mult_B)</f>
        <v/>
      </c>
      <c r="N229" s="19">
        <f>F229+M229</f>
        <v/>
      </c>
    </row>
    <row r="230">
      <c r="A230" s="41">
        <f>DAMAS_Daily!A230</f>
        <v/>
      </c>
      <c r="B230" s="42">
        <f>DAMAS_Daily!B230</f>
        <v/>
      </c>
      <c r="C230" s="42">
        <f>IF((power_mw*hours_per_day*damas_afrr_up*capacity_mult_B*stack_capacity*acceptance_rate+(MIN(DAMAS_Daily!C230*market_share_B*acceptance_rate*stack_activation,power_mw*hours_per_day,capacity_mwh))*DAMAS_Daily!E230*activation_mult_B)&gt;=(power_mw*hours_per_day*damas_afrr_down*capacity_mult_B*stack_capacity*acceptance_rate+(MIN(DAMAS_Daily!D230*market_share_B*acceptance_rate*stack_activation,power_mw*hours_per_day,capacity_mwh))*DAMAS_Daily!F230*activation_mult_B),"aFRR+","aFRR-")</f>
        <v/>
      </c>
      <c r="D230" s="43">
        <f>IF(C230="aFRR+",damas_afrr_up*capacity_mult_B,damas_afrr_down*capacity_mult_B)</f>
        <v/>
      </c>
      <c r="E230" s="44">
        <f>acceptance_rate</f>
        <v/>
      </c>
      <c r="F230" s="18">
        <f>IF(C230="aFRR+",power_mw*hours_per_day*damas_afrr_up*capacity_mult_B*stack_capacity*acceptance_rate,power_mw*hours_per_day*damas_afrr_down*capacity_mult_B*stack_capacity*acceptance_rate)</f>
        <v/>
      </c>
      <c r="G230" s="42">
        <f>IF(C230="aFRR+",DAMAS_Daily!I230,DAMAS_Daily!J230)</f>
        <v/>
      </c>
      <c r="H230" s="43">
        <f>IF(C230="aFRR+",DAMAS_Daily!E230,DAMAS_Daily!F230)</f>
        <v/>
      </c>
      <c r="I230" s="43">
        <f>IF(C230="aFRR+",DAMAS_Daily!G230,DAMAS_Daily!H230)</f>
        <v/>
      </c>
      <c r="J230" s="45">
        <f>IF(C230="aFRR+",DAMAS_Daily!C230,DAMAS_Daily!D230)</f>
        <v/>
      </c>
      <c r="K230" s="45">
        <f>IF(C230="aFRR+",MIN(DAMAS_Daily!C230*market_share_B*acceptance_rate*stack_activation,power_mw*hours_per_day,capacity_mwh),MIN(DAMAS_Daily!D230*market_share_B*acceptance_rate*stack_activation,power_mw*hours_per_day,capacity_mwh))</f>
        <v/>
      </c>
      <c r="L230" s="42">
        <f>IF(K230&gt;=capacity_mwh-0.01,"yes","no")</f>
        <v/>
      </c>
      <c r="M230" s="18">
        <f>IF(C230="aFRR+",(MIN(DAMAS_Daily!C230*market_share_B*acceptance_rate*stack_activation,power_mw*hours_per_day,capacity_mwh))*DAMAS_Daily!E230*activation_mult_B,(MIN(DAMAS_Daily!D230*market_share_B*acceptance_rate*stack_activation,power_mw*hours_per_day,capacity_mwh))*DAMAS_Daily!F230*activation_mult_B)</f>
        <v/>
      </c>
      <c r="N230" s="19">
        <f>F230+M230</f>
        <v/>
      </c>
    </row>
    <row r="231">
      <c r="A231" s="41">
        <f>DAMAS_Daily!A231</f>
        <v/>
      </c>
      <c r="B231" s="42">
        <f>DAMAS_Daily!B231</f>
        <v/>
      </c>
      <c r="C231" s="42">
        <f>IF((power_mw*hours_per_day*damas_afrr_up*capacity_mult_B*stack_capacity*acceptance_rate+(MIN(DAMAS_Daily!C231*market_share_B*acceptance_rate*stack_activation,power_mw*hours_per_day,capacity_mwh))*DAMAS_Daily!E231*activation_mult_B)&gt;=(power_mw*hours_per_day*damas_afrr_down*capacity_mult_B*stack_capacity*acceptance_rate+(MIN(DAMAS_Daily!D231*market_share_B*acceptance_rate*stack_activation,power_mw*hours_per_day,capacity_mwh))*DAMAS_Daily!F231*activation_mult_B),"aFRR+","aFRR-")</f>
        <v/>
      </c>
      <c r="D231" s="43">
        <f>IF(C231="aFRR+",damas_afrr_up*capacity_mult_B,damas_afrr_down*capacity_mult_B)</f>
        <v/>
      </c>
      <c r="E231" s="44">
        <f>acceptance_rate</f>
        <v/>
      </c>
      <c r="F231" s="18">
        <f>IF(C231="aFRR+",power_mw*hours_per_day*damas_afrr_up*capacity_mult_B*stack_capacity*acceptance_rate,power_mw*hours_per_day*damas_afrr_down*capacity_mult_B*stack_capacity*acceptance_rate)</f>
        <v/>
      </c>
      <c r="G231" s="42">
        <f>IF(C231="aFRR+",DAMAS_Daily!I231,DAMAS_Daily!J231)</f>
        <v/>
      </c>
      <c r="H231" s="43">
        <f>IF(C231="aFRR+",DAMAS_Daily!E231,DAMAS_Daily!F231)</f>
        <v/>
      </c>
      <c r="I231" s="43">
        <f>IF(C231="aFRR+",DAMAS_Daily!G231,DAMAS_Daily!H231)</f>
        <v/>
      </c>
      <c r="J231" s="45">
        <f>IF(C231="aFRR+",DAMAS_Daily!C231,DAMAS_Daily!D231)</f>
        <v/>
      </c>
      <c r="K231" s="45">
        <f>IF(C231="aFRR+",MIN(DAMAS_Daily!C231*market_share_B*acceptance_rate*stack_activation,power_mw*hours_per_day,capacity_mwh),MIN(DAMAS_Daily!D231*market_share_B*acceptance_rate*stack_activation,power_mw*hours_per_day,capacity_mwh))</f>
        <v/>
      </c>
      <c r="L231" s="42">
        <f>IF(K231&gt;=capacity_mwh-0.01,"yes","no")</f>
        <v/>
      </c>
      <c r="M231" s="18">
        <f>IF(C231="aFRR+",(MIN(DAMAS_Daily!C231*market_share_B*acceptance_rate*stack_activation,power_mw*hours_per_day,capacity_mwh))*DAMAS_Daily!E231*activation_mult_B,(MIN(DAMAS_Daily!D231*market_share_B*acceptance_rate*stack_activation,power_mw*hours_per_day,capacity_mwh))*DAMAS_Daily!F231*activation_mult_B)</f>
        <v/>
      </c>
      <c r="N231" s="19">
        <f>F231+M231</f>
        <v/>
      </c>
    </row>
    <row r="232">
      <c r="A232" s="41">
        <f>DAMAS_Daily!A232</f>
        <v/>
      </c>
      <c r="B232" s="42">
        <f>DAMAS_Daily!B232</f>
        <v/>
      </c>
      <c r="C232" s="42">
        <f>IF((power_mw*hours_per_day*damas_afrr_up*capacity_mult_B*stack_capacity*acceptance_rate+(MIN(DAMAS_Daily!C232*market_share_B*acceptance_rate*stack_activation,power_mw*hours_per_day,capacity_mwh))*DAMAS_Daily!E232*activation_mult_B)&gt;=(power_mw*hours_per_day*damas_afrr_down*capacity_mult_B*stack_capacity*acceptance_rate+(MIN(DAMAS_Daily!D232*market_share_B*acceptance_rate*stack_activation,power_mw*hours_per_day,capacity_mwh))*DAMAS_Daily!F232*activation_mult_B),"aFRR+","aFRR-")</f>
        <v/>
      </c>
      <c r="D232" s="43">
        <f>IF(C232="aFRR+",damas_afrr_up*capacity_mult_B,damas_afrr_down*capacity_mult_B)</f>
        <v/>
      </c>
      <c r="E232" s="44">
        <f>acceptance_rate</f>
        <v/>
      </c>
      <c r="F232" s="18">
        <f>IF(C232="aFRR+",power_mw*hours_per_day*damas_afrr_up*capacity_mult_B*stack_capacity*acceptance_rate,power_mw*hours_per_day*damas_afrr_down*capacity_mult_B*stack_capacity*acceptance_rate)</f>
        <v/>
      </c>
      <c r="G232" s="42">
        <f>IF(C232="aFRR+",DAMAS_Daily!I232,DAMAS_Daily!J232)</f>
        <v/>
      </c>
      <c r="H232" s="43">
        <f>IF(C232="aFRR+",DAMAS_Daily!E232,DAMAS_Daily!F232)</f>
        <v/>
      </c>
      <c r="I232" s="43">
        <f>IF(C232="aFRR+",DAMAS_Daily!G232,DAMAS_Daily!H232)</f>
        <v/>
      </c>
      <c r="J232" s="45">
        <f>IF(C232="aFRR+",DAMAS_Daily!C232,DAMAS_Daily!D232)</f>
        <v/>
      </c>
      <c r="K232" s="45">
        <f>IF(C232="aFRR+",MIN(DAMAS_Daily!C232*market_share_B*acceptance_rate*stack_activation,power_mw*hours_per_day,capacity_mwh),MIN(DAMAS_Daily!D232*market_share_B*acceptance_rate*stack_activation,power_mw*hours_per_day,capacity_mwh))</f>
        <v/>
      </c>
      <c r="L232" s="42">
        <f>IF(K232&gt;=capacity_mwh-0.01,"yes","no")</f>
        <v/>
      </c>
      <c r="M232" s="18">
        <f>IF(C232="aFRR+",(MIN(DAMAS_Daily!C232*market_share_B*acceptance_rate*stack_activation,power_mw*hours_per_day,capacity_mwh))*DAMAS_Daily!E232*activation_mult_B,(MIN(DAMAS_Daily!D232*market_share_B*acceptance_rate*stack_activation,power_mw*hours_per_day,capacity_mwh))*DAMAS_Daily!F232*activation_mult_B)</f>
        <v/>
      </c>
      <c r="N232" s="19">
        <f>F232+M232</f>
        <v/>
      </c>
    </row>
    <row r="233">
      <c r="A233" s="41">
        <f>DAMAS_Daily!A233</f>
        <v/>
      </c>
      <c r="B233" s="42">
        <f>DAMAS_Daily!B233</f>
        <v/>
      </c>
      <c r="C233" s="42">
        <f>IF((power_mw*hours_per_day*damas_afrr_up*capacity_mult_B*stack_capacity*acceptance_rate+(MIN(DAMAS_Daily!C233*market_share_B*acceptance_rate*stack_activation,power_mw*hours_per_day,capacity_mwh))*DAMAS_Daily!E233*activation_mult_B)&gt;=(power_mw*hours_per_day*damas_afrr_down*capacity_mult_B*stack_capacity*acceptance_rate+(MIN(DAMAS_Daily!D233*market_share_B*acceptance_rate*stack_activation,power_mw*hours_per_day,capacity_mwh))*DAMAS_Daily!F233*activation_mult_B),"aFRR+","aFRR-")</f>
        <v/>
      </c>
      <c r="D233" s="43">
        <f>IF(C233="aFRR+",damas_afrr_up*capacity_mult_B,damas_afrr_down*capacity_mult_B)</f>
        <v/>
      </c>
      <c r="E233" s="44">
        <f>acceptance_rate</f>
        <v/>
      </c>
      <c r="F233" s="18">
        <f>IF(C233="aFRR+",power_mw*hours_per_day*damas_afrr_up*capacity_mult_B*stack_capacity*acceptance_rate,power_mw*hours_per_day*damas_afrr_down*capacity_mult_B*stack_capacity*acceptance_rate)</f>
        <v/>
      </c>
      <c r="G233" s="42">
        <f>IF(C233="aFRR+",DAMAS_Daily!I233,DAMAS_Daily!J233)</f>
        <v/>
      </c>
      <c r="H233" s="43">
        <f>IF(C233="aFRR+",DAMAS_Daily!E233,DAMAS_Daily!F233)</f>
        <v/>
      </c>
      <c r="I233" s="43">
        <f>IF(C233="aFRR+",DAMAS_Daily!G233,DAMAS_Daily!H233)</f>
        <v/>
      </c>
      <c r="J233" s="45">
        <f>IF(C233="aFRR+",DAMAS_Daily!C233,DAMAS_Daily!D233)</f>
        <v/>
      </c>
      <c r="K233" s="45">
        <f>IF(C233="aFRR+",MIN(DAMAS_Daily!C233*market_share_B*acceptance_rate*stack_activation,power_mw*hours_per_day,capacity_mwh),MIN(DAMAS_Daily!D233*market_share_B*acceptance_rate*stack_activation,power_mw*hours_per_day,capacity_mwh))</f>
        <v/>
      </c>
      <c r="L233" s="42">
        <f>IF(K233&gt;=capacity_mwh-0.01,"yes","no")</f>
        <v/>
      </c>
      <c r="M233" s="18">
        <f>IF(C233="aFRR+",(MIN(DAMAS_Daily!C233*market_share_B*acceptance_rate*stack_activation,power_mw*hours_per_day,capacity_mwh))*DAMAS_Daily!E233*activation_mult_B,(MIN(DAMAS_Daily!D233*market_share_B*acceptance_rate*stack_activation,power_mw*hours_per_day,capacity_mwh))*DAMAS_Daily!F233*activation_mult_B)</f>
        <v/>
      </c>
      <c r="N233" s="19">
        <f>F233+M233</f>
        <v/>
      </c>
    </row>
    <row r="234">
      <c r="A234" s="41">
        <f>DAMAS_Daily!A234</f>
        <v/>
      </c>
      <c r="B234" s="42">
        <f>DAMAS_Daily!B234</f>
        <v/>
      </c>
      <c r="C234" s="42">
        <f>IF((power_mw*hours_per_day*damas_afrr_up*capacity_mult_B*stack_capacity*acceptance_rate+(MIN(DAMAS_Daily!C234*market_share_B*acceptance_rate*stack_activation,power_mw*hours_per_day,capacity_mwh))*DAMAS_Daily!E234*activation_mult_B)&gt;=(power_mw*hours_per_day*damas_afrr_down*capacity_mult_B*stack_capacity*acceptance_rate+(MIN(DAMAS_Daily!D234*market_share_B*acceptance_rate*stack_activation,power_mw*hours_per_day,capacity_mwh))*DAMAS_Daily!F234*activation_mult_B),"aFRR+","aFRR-")</f>
        <v/>
      </c>
      <c r="D234" s="43">
        <f>IF(C234="aFRR+",damas_afrr_up*capacity_mult_B,damas_afrr_down*capacity_mult_B)</f>
        <v/>
      </c>
      <c r="E234" s="44">
        <f>acceptance_rate</f>
        <v/>
      </c>
      <c r="F234" s="18">
        <f>IF(C234="aFRR+",power_mw*hours_per_day*damas_afrr_up*capacity_mult_B*stack_capacity*acceptance_rate,power_mw*hours_per_day*damas_afrr_down*capacity_mult_B*stack_capacity*acceptance_rate)</f>
        <v/>
      </c>
      <c r="G234" s="42">
        <f>IF(C234="aFRR+",DAMAS_Daily!I234,DAMAS_Daily!J234)</f>
        <v/>
      </c>
      <c r="H234" s="43">
        <f>IF(C234="aFRR+",DAMAS_Daily!E234,DAMAS_Daily!F234)</f>
        <v/>
      </c>
      <c r="I234" s="43">
        <f>IF(C234="aFRR+",DAMAS_Daily!G234,DAMAS_Daily!H234)</f>
        <v/>
      </c>
      <c r="J234" s="45">
        <f>IF(C234="aFRR+",DAMAS_Daily!C234,DAMAS_Daily!D234)</f>
        <v/>
      </c>
      <c r="K234" s="45">
        <f>IF(C234="aFRR+",MIN(DAMAS_Daily!C234*market_share_B*acceptance_rate*stack_activation,power_mw*hours_per_day,capacity_mwh),MIN(DAMAS_Daily!D234*market_share_B*acceptance_rate*stack_activation,power_mw*hours_per_day,capacity_mwh))</f>
        <v/>
      </c>
      <c r="L234" s="42">
        <f>IF(K234&gt;=capacity_mwh-0.01,"yes","no")</f>
        <v/>
      </c>
      <c r="M234" s="18">
        <f>IF(C234="aFRR+",(MIN(DAMAS_Daily!C234*market_share_B*acceptance_rate*stack_activation,power_mw*hours_per_day,capacity_mwh))*DAMAS_Daily!E234*activation_mult_B,(MIN(DAMAS_Daily!D234*market_share_B*acceptance_rate*stack_activation,power_mw*hours_per_day,capacity_mwh))*DAMAS_Daily!F234*activation_mult_B)</f>
        <v/>
      </c>
      <c r="N234" s="19">
        <f>F234+M234</f>
        <v/>
      </c>
    </row>
    <row r="235">
      <c r="A235" s="41">
        <f>DAMAS_Daily!A235</f>
        <v/>
      </c>
      <c r="B235" s="42">
        <f>DAMAS_Daily!B235</f>
        <v/>
      </c>
      <c r="C235" s="42">
        <f>IF((power_mw*hours_per_day*damas_afrr_up*capacity_mult_B*stack_capacity*acceptance_rate+(MIN(DAMAS_Daily!C235*market_share_B*acceptance_rate*stack_activation,power_mw*hours_per_day,capacity_mwh))*DAMAS_Daily!E235*activation_mult_B)&gt;=(power_mw*hours_per_day*damas_afrr_down*capacity_mult_B*stack_capacity*acceptance_rate+(MIN(DAMAS_Daily!D235*market_share_B*acceptance_rate*stack_activation,power_mw*hours_per_day,capacity_mwh))*DAMAS_Daily!F235*activation_mult_B),"aFRR+","aFRR-")</f>
        <v/>
      </c>
      <c r="D235" s="43">
        <f>IF(C235="aFRR+",damas_afrr_up*capacity_mult_B,damas_afrr_down*capacity_mult_B)</f>
        <v/>
      </c>
      <c r="E235" s="44">
        <f>acceptance_rate</f>
        <v/>
      </c>
      <c r="F235" s="18">
        <f>IF(C235="aFRR+",power_mw*hours_per_day*damas_afrr_up*capacity_mult_B*stack_capacity*acceptance_rate,power_mw*hours_per_day*damas_afrr_down*capacity_mult_B*stack_capacity*acceptance_rate)</f>
        <v/>
      </c>
      <c r="G235" s="42">
        <f>IF(C235="aFRR+",DAMAS_Daily!I235,DAMAS_Daily!J235)</f>
        <v/>
      </c>
      <c r="H235" s="43">
        <f>IF(C235="aFRR+",DAMAS_Daily!E235,DAMAS_Daily!F235)</f>
        <v/>
      </c>
      <c r="I235" s="43">
        <f>IF(C235="aFRR+",DAMAS_Daily!G235,DAMAS_Daily!H235)</f>
        <v/>
      </c>
      <c r="J235" s="45">
        <f>IF(C235="aFRR+",DAMAS_Daily!C235,DAMAS_Daily!D235)</f>
        <v/>
      </c>
      <c r="K235" s="45">
        <f>IF(C235="aFRR+",MIN(DAMAS_Daily!C235*market_share_B*acceptance_rate*stack_activation,power_mw*hours_per_day,capacity_mwh),MIN(DAMAS_Daily!D235*market_share_B*acceptance_rate*stack_activation,power_mw*hours_per_day,capacity_mwh))</f>
        <v/>
      </c>
      <c r="L235" s="42">
        <f>IF(K235&gt;=capacity_mwh-0.01,"yes","no")</f>
        <v/>
      </c>
      <c r="M235" s="18">
        <f>IF(C235="aFRR+",(MIN(DAMAS_Daily!C235*market_share_B*acceptance_rate*stack_activation,power_mw*hours_per_day,capacity_mwh))*DAMAS_Daily!E235*activation_mult_B,(MIN(DAMAS_Daily!D235*market_share_B*acceptance_rate*stack_activation,power_mw*hours_per_day,capacity_mwh))*DAMAS_Daily!F235*activation_mult_B)</f>
        <v/>
      </c>
      <c r="N235" s="19">
        <f>F235+M235</f>
        <v/>
      </c>
    </row>
    <row r="236">
      <c r="A236" s="41">
        <f>DAMAS_Daily!A236</f>
        <v/>
      </c>
      <c r="B236" s="42">
        <f>DAMAS_Daily!B236</f>
        <v/>
      </c>
      <c r="C236" s="42">
        <f>IF((power_mw*hours_per_day*damas_afrr_up*capacity_mult_B*stack_capacity*acceptance_rate+(MIN(DAMAS_Daily!C236*market_share_B*acceptance_rate*stack_activation,power_mw*hours_per_day,capacity_mwh))*DAMAS_Daily!E236*activation_mult_B)&gt;=(power_mw*hours_per_day*damas_afrr_down*capacity_mult_B*stack_capacity*acceptance_rate+(MIN(DAMAS_Daily!D236*market_share_B*acceptance_rate*stack_activation,power_mw*hours_per_day,capacity_mwh))*DAMAS_Daily!F236*activation_mult_B),"aFRR+","aFRR-")</f>
        <v/>
      </c>
      <c r="D236" s="43">
        <f>IF(C236="aFRR+",damas_afrr_up*capacity_mult_B,damas_afrr_down*capacity_mult_B)</f>
        <v/>
      </c>
      <c r="E236" s="44">
        <f>acceptance_rate</f>
        <v/>
      </c>
      <c r="F236" s="18">
        <f>IF(C236="aFRR+",power_mw*hours_per_day*damas_afrr_up*capacity_mult_B*stack_capacity*acceptance_rate,power_mw*hours_per_day*damas_afrr_down*capacity_mult_B*stack_capacity*acceptance_rate)</f>
        <v/>
      </c>
      <c r="G236" s="42">
        <f>IF(C236="aFRR+",DAMAS_Daily!I236,DAMAS_Daily!J236)</f>
        <v/>
      </c>
      <c r="H236" s="43">
        <f>IF(C236="aFRR+",DAMAS_Daily!E236,DAMAS_Daily!F236)</f>
        <v/>
      </c>
      <c r="I236" s="43">
        <f>IF(C236="aFRR+",DAMAS_Daily!G236,DAMAS_Daily!H236)</f>
        <v/>
      </c>
      <c r="J236" s="45">
        <f>IF(C236="aFRR+",DAMAS_Daily!C236,DAMAS_Daily!D236)</f>
        <v/>
      </c>
      <c r="K236" s="45">
        <f>IF(C236="aFRR+",MIN(DAMAS_Daily!C236*market_share_B*acceptance_rate*stack_activation,power_mw*hours_per_day,capacity_mwh),MIN(DAMAS_Daily!D236*market_share_B*acceptance_rate*stack_activation,power_mw*hours_per_day,capacity_mwh))</f>
        <v/>
      </c>
      <c r="L236" s="42">
        <f>IF(K236&gt;=capacity_mwh-0.01,"yes","no")</f>
        <v/>
      </c>
      <c r="M236" s="18">
        <f>IF(C236="aFRR+",(MIN(DAMAS_Daily!C236*market_share_B*acceptance_rate*stack_activation,power_mw*hours_per_day,capacity_mwh))*DAMAS_Daily!E236*activation_mult_B,(MIN(DAMAS_Daily!D236*market_share_B*acceptance_rate*stack_activation,power_mw*hours_per_day,capacity_mwh))*DAMAS_Daily!F236*activation_mult_B)</f>
        <v/>
      </c>
      <c r="N236" s="19">
        <f>F236+M236</f>
        <v/>
      </c>
    </row>
    <row r="237">
      <c r="A237" s="41">
        <f>DAMAS_Daily!A237</f>
        <v/>
      </c>
      <c r="B237" s="42">
        <f>DAMAS_Daily!B237</f>
        <v/>
      </c>
      <c r="C237" s="42">
        <f>IF((power_mw*hours_per_day*damas_afrr_up*capacity_mult_B*stack_capacity*acceptance_rate+(MIN(DAMAS_Daily!C237*market_share_B*acceptance_rate*stack_activation,power_mw*hours_per_day,capacity_mwh))*DAMAS_Daily!E237*activation_mult_B)&gt;=(power_mw*hours_per_day*damas_afrr_down*capacity_mult_B*stack_capacity*acceptance_rate+(MIN(DAMAS_Daily!D237*market_share_B*acceptance_rate*stack_activation,power_mw*hours_per_day,capacity_mwh))*DAMAS_Daily!F237*activation_mult_B),"aFRR+","aFRR-")</f>
        <v/>
      </c>
      <c r="D237" s="43">
        <f>IF(C237="aFRR+",damas_afrr_up*capacity_mult_B,damas_afrr_down*capacity_mult_B)</f>
        <v/>
      </c>
      <c r="E237" s="44">
        <f>acceptance_rate</f>
        <v/>
      </c>
      <c r="F237" s="18">
        <f>IF(C237="aFRR+",power_mw*hours_per_day*damas_afrr_up*capacity_mult_B*stack_capacity*acceptance_rate,power_mw*hours_per_day*damas_afrr_down*capacity_mult_B*stack_capacity*acceptance_rate)</f>
        <v/>
      </c>
      <c r="G237" s="42">
        <f>IF(C237="aFRR+",DAMAS_Daily!I237,DAMAS_Daily!J237)</f>
        <v/>
      </c>
      <c r="H237" s="43">
        <f>IF(C237="aFRR+",DAMAS_Daily!E237,DAMAS_Daily!F237)</f>
        <v/>
      </c>
      <c r="I237" s="43">
        <f>IF(C237="aFRR+",DAMAS_Daily!G237,DAMAS_Daily!H237)</f>
        <v/>
      </c>
      <c r="J237" s="45">
        <f>IF(C237="aFRR+",DAMAS_Daily!C237,DAMAS_Daily!D237)</f>
        <v/>
      </c>
      <c r="K237" s="45">
        <f>IF(C237="aFRR+",MIN(DAMAS_Daily!C237*market_share_B*acceptance_rate*stack_activation,power_mw*hours_per_day,capacity_mwh),MIN(DAMAS_Daily!D237*market_share_B*acceptance_rate*stack_activation,power_mw*hours_per_day,capacity_mwh))</f>
        <v/>
      </c>
      <c r="L237" s="42">
        <f>IF(K237&gt;=capacity_mwh-0.01,"yes","no")</f>
        <v/>
      </c>
      <c r="M237" s="18">
        <f>IF(C237="aFRR+",(MIN(DAMAS_Daily!C237*market_share_B*acceptance_rate*stack_activation,power_mw*hours_per_day,capacity_mwh))*DAMAS_Daily!E237*activation_mult_B,(MIN(DAMAS_Daily!D237*market_share_B*acceptance_rate*stack_activation,power_mw*hours_per_day,capacity_mwh))*DAMAS_Daily!F237*activation_mult_B)</f>
        <v/>
      </c>
      <c r="N237" s="19">
        <f>F237+M237</f>
        <v/>
      </c>
    </row>
    <row r="238">
      <c r="A238" s="41">
        <f>DAMAS_Daily!A238</f>
        <v/>
      </c>
      <c r="B238" s="42">
        <f>DAMAS_Daily!B238</f>
        <v/>
      </c>
      <c r="C238" s="42">
        <f>IF((power_mw*hours_per_day*damas_afrr_up*capacity_mult_B*stack_capacity*acceptance_rate+(MIN(DAMAS_Daily!C238*market_share_B*acceptance_rate*stack_activation,power_mw*hours_per_day,capacity_mwh))*DAMAS_Daily!E238*activation_mult_B)&gt;=(power_mw*hours_per_day*damas_afrr_down*capacity_mult_B*stack_capacity*acceptance_rate+(MIN(DAMAS_Daily!D238*market_share_B*acceptance_rate*stack_activation,power_mw*hours_per_day,capacity_mwh))*DAMAS_Daily!F238*activation_mult_B),"aFRR+","aFRR-")</f>
        <v/>
      </c>
      <c r="D238" s="43">
        <f>IF(C238="aFRR+",damas_afrr_up*capacity_mult_B,damas_afrr_down*capacity_mult_B)</f>
        <v/>
      </c>
      <c r="E238" s="44">
        <f>acceptance_rate</f>
        <v/>
      </c>
      <c r="F238" s="18">
        <f>IF(C238="aFRR+",power_mw*hours_per_day*damas_afrr_up*capacity_mult_B*stack_capacity*acceptance_rate,power_mw*hours_per_day*damas_afrr_down*capacity_mult_B*stack_capacity*acceptance_rate)</f>
        <v/>
      </c>
      <c r="G238" s="42">
        <f>IF(C238="aFRR+",DAMAS_Daily!I238,DAMAS_Daily!J238)</f>
        <v/>
      </c>
      <c r="H238" s="43">
        <f>IF(C238="aFRR+",DAMAS_Daily!E238,DAMAS_Daily!F238)</f>
        <v/>
      </c>
      <c r="I238" s="43">
        <f>IF(C238="aFRR+",DAMAS_Daily!G238,DAMAS_Daily!H238)</f>
        <v/>
      </c>
      <c r="J238" s="45">
        <f>IF(C238="aFRR+",DAMAS_Daily!C238,DAMAS_Daily!D238)</f>
        <v/>
      </c>
      <c r="K238" s="45">
        <f>IF(C238="aFRR+",MIN(DAMAS_Daily!C238*market_share_B*acceptance_rate*stack_activation,power_mw*hours_per_day,capacity_mwh),MIN(DAMAS_Daily!D238*market_share_B*acceptance_rate*stack_activation,power_mw*hours_per_day,capacity_mwh))</f>
        <v/>
      </c>
      <c r="L238" s="42">
        <f>IF(K238&gt;=capacity_mwh-0.01,"yes","no")</f>
        <v/>
      </c>
      <c r="M238" s="18">
        <f>IF(C238="aFRR+",(MIN(DAMAS_Daily!C238*market_share_B*acceptance_rate*stack_activation,power_mw*hours_per_day,capacity_mwh))*DAMAS_Daily!E238*activation_mult_B,(MIN(DAMAS_Daily!D238*market_share_B*acceptance_rate*stack_activation,power_mw*hours_per_day,capacity_mwh))*DAMAS_Daily!F238*activation_mult_B)</f>
        <v/>
      </c>
      <c r="N238" s="19">
        <f>F238+M238</f>
        <v/>
      </c>
    </row>
    <row r="239">
      <c r="A239" s="41">
        <f>DAMAS_Daily!A239</f>
        <v/>
      </c>
      <c r="B239" s="42">
        <f>DAMAS_Daily!B239</f>
        <v/>
      </c>
      <c r="C239" s="42">
        <f>IF((power_mw*hours_per_day*damas_afrr_up*capacity_mult_B*stack_capacity*acceptance_rate+(MIN(DAMAS_Daily!C239*market_share_B*acceptance_rate*stack_activation,power_mw*hours_per_day,capacity_mwh))*DAMAS_Daily!E239*activation_mult_B)&gt;=(power_mw*hours_per_day*damas_afrr_down*capacity_mult_B*stack_capacity*acceptance_rate+(MIN(DAMAS_Daily!D239*market_share_B*acceptance_rate*stack_activation,power_mw*hours_per_day,capacity_mwh))*DAMAS_Daily!F239*activation_mult_B),"aFRR+","aFRR-")</f>
        <v/>
      </c>
      <c r="D239" s="43">
        <f>IF(C239="aFRR+",damas_afrr_up*capacity_mult_B,damas_afrr_down*capacity_mult_B)</f>
        <v/>
      </c>
      <c r="E239" s="44">
        <f>acceptance_rate</f>
        <v/>
      </c>
      <c r="F239" s="18">
        <f>IF(C239="aFRR+",power_mw*hours_per_day*damas_afrr_up*capacity_mult_B*stack_capacity*acceptance_rate,power_mw*hours_per_day*damas_afrr_down*capacity_mult_B*stack_capacity*acceptance_rate)</f>
        <v/>
      </c>
      <c r="G239" s="42">
        <f>IF(C239="aFRR+",DAMAS_Daily!I239,DAMAS_Daily!J239)</f>
        <v/>
      </c>
      <c r="H239" s="43">
        <f>IF(C239="aFRR+",DAMAS_Daily!E239,DAMAS_Daily!F239)</f>
        <v/>
      </c>
      <c r="I239" s="43">
        <f>IF(C239="aFRR+",DAMAS_Daily!G239,DAMAS_Daily!H239)</f>
        <v/>
      </c>
      <c r="J239" s="45">
        <f>IF(C239="aFRR+",DAMAS_Daily!C239,DAMAS_Daily!D239)</f>
        <v/>
      </c>
      <c r="K239" s="45">
        <f>IF(C239="aFRR+",MIN(DAMAS_Daily!C239*market_share_B*acceptance_rate*stack_activation,power_mw*hours_per_day,capacity_mwh),MIN(DAMAS_Daily!D239*market_share_B*acceptance_rate*stack_activation,power_mw*hours_per_day,capacity_mwh))</f>
        <v/>
      </c>
      <c r="L239" s="42">
        <f>IF(K239&gt;=capacity_mwh-0.01,"yes","no")</f>
        <v/>
      </c>
      <c r="M239" s="18">
        <f>IF(C239="aFRR+",(MIN(DAMAS_Daily!C239*market_share_B*acceptance_rate*stack_activation,power_mw*hours_per_day,capacity_mwh))*DAMAS_Daily!E239*activation_mult_B,(MIN(DAMAS_Daily!D239*market_share_B*acceptance_rate*stack_activation,power_mw*hours_per_day,capacity_mwh))*DAMAS_Daily!F239*activation_mult_B)</f>
        <v/>
      </c>
      <c r="N239" s="19">
        <f>F239+M239</f>
        <v/>
      </c>
    </row>
    <row r="240">
      <c r="A240" s="41">
        <f>DAMAS_Daily!A240</f>
        <v/>
      </c>
      <c r="B240" s="42">
        <f>DAMAS_Daily!B240</f>
        <v/>
      </c>
      <c r="C240" s="42">
        <f>IF((power_mw*hours_per_day*damas_afrr_up*capacity_mult_B*stack_capacity*acceptance_rate+(MIN(DAMAS_Daily!C240*market_share_B*acceptance_rate*stack_activation,power_mw*hours_per_day,capacity_mwh))*DAMAS_Daily!E240*activation_mult_B)&gt;=(power_mw*hours_per_day*damas_afrr_down*capacity_mult_B*stack_capacity*acceptance_rate+(MIN(DAMAS_Daily!D240*market_share_B*acceptance_rate*stack_activation,power_mw*hours_per_day,capacity_mwh))*DAMAS_Daily!F240*activation_mult_B),"aFRR+","aFRR-")</f>
        <v/>
      </c>
      <c r="D240" s="43">
        <f>IF(C240="aFRR+",damas_afrr_up*capacity_mult_B,damas_afrr_down*capacity_mult_B)</f>
        <v/>
      </c>
      <c r="E240" s="44">
        <f>acceptance_rate</f>
        <v/>
      </c>
      <c r="F240" s="18">
        <f>IF(C240="aFRR+",power_mw*hours_per_day*damas_afrr_up*capacity_mult_B*stack_capacity*acceptance_rate,power_mw*hours_per_day*damas_afrr_down*capacity_mult_B*stack_capacity*acceptance_rate)</f>
        <v/>
      </c>
      <c r="G240" s="42">
        <f>IF(C240="aFRR+",DAMAS_Daily!I240,DAMAS_Daily!J240)</f>
        <v/>
      </c>
      <c r="H240" s="43">
        <f>IF(C240="aFRR+",DAMAS_Daily!E240,DAMAS_Daily!F240)</f>
        <v/>
      </c>
      <c r="I240" s="43">
        <f>IF(C240="aFRR+",DAMAS_Daily!G240,DAMAS_Daily!H240)</f>
        <v/>
      </c>
      <c r="J240" s="45">
        <f>IF(C240="aFRR+",DAMAS_Daily!C240,DAMAS_Daily!D240)</f>
        <v/>
      </c>
      <c r="K240" s="45">
        <f>IF(C240="aFRR+",MIN(DAMAS_Daily!C240*market_share_B*acceptance_rate*stack_activation,power_mw*hours_per_day,capacity_mwh),MIN(DAMAS_Daily!D240*market_share_B*acceptance_rate*stack_activation,power_mw*hours_per_day,capacity_mwh))</f>
        <v/>
      </c>
      <c r="L240" s="42">
        <f>IF(K240&gt;=capacity_mwh-0.01,"yes","no")</f>
        <v/>
      </c>
      <c r="M240" s="18">
        <f>IF(C240="aFRR+",(MIN(DAMAS_Daily!C240*market_share_B*acceptance_rate*stack_activation,power_mw*hours_per_day,capacity_mwh))*DAMAS_Daily!E240*activation_mult_B,(MIN(DAMAS_Daily!D240*market_share_B*acceptance_rate*stack_activation,power_mw*hours_per_day,capacity_mwh))*DAMAS_Daily!F240*activation_mult_B)</f>
        <v/>
      </c>
      <c r="N240" s="19">
        <f>F240+M240</f>
        <v/>
      </c>
    </row>
    <row r="241">
      <c r="A241" s="41">
        <f>DAMAS_Daily!A241</f>
        <v/>
      </c>
      <c r="B241" s="42">
        <f>DAMAS_Daily!B241</f>
        <v/>
      </c>
      <c r="C241" s="42">
        <f>IF((power_mw*hours_per_day*damas_afrr_up*capacity_mult_B*stack_capacity*acceptance_rate+(MIN(DAMAS_Daily!C241*market_share_B*acceptance_rate*stack_activation,power_mw*hours_per_day,capacity_mwh))*DAMAS_Daily!E241*activation_mult_B)&gt;=(power_mw*hours_per_day*damas_afrr_down*capacity_mult_B*stack_capacity*acceptance_rate+(MIN(DAMAS_Daily!D241*market_share_B*acceptance_rate*stack_activation,power_mw*hours_per_day,capacity_mwh))*DAMAS_Daily!F241*activation_mult_B),"aFRR+","aFRR-")</f>
        <v/>
      </c>
      <c r="D241" s="43">
        <f>IF(C241="aFRR+",damas_afrr_up*capacity_mult_B,damas_afrr_down*capacity_mult_B)</f>
        <v/>
      </c>
      <c r="E241" s="44">
        <f>acceptance_rate</f>
        <v/>
      </c>
      <c r="F241" s="18">
        <f>IF(C241="aFRR+",power_mw*hours_per_day*damas_afrr_up*capacity_mult_B*stack_capacity*acceptance_rate,power_mw*hours_per_day*damas_afrr_down*capacity_mult_B*stack_capacity*acceptance_rate)</f>
        <v/>
      </c>
      <c r="G241" s="42">
        <f>IF(C241="aFRR+",DAMAS_Daily!I241,DAMAS_Daily!J241)</f>
        <v/>
      </c>
      <c r="H241" s="43">
        <f>IF(C241="aFRR+",DAMAS_Daily!E241,DAMAS_Daily!F241)</f>
        <v/>
      </c>
      <c r="I241" s="43">
        <f>IF(C241="aFRR+",DAMAS_Daily!G241,DAMAS_Daily!H241)</f>
        <v/>
      </c>
      <c r="J241" s="45">
        <f>IF(C241="aFRR+",DAMAS_Daily!C241,DAMAS_Daily!D241)</f>
        <v/>
      </c>
      <c r="K241" s="45">
        <f>IF(C241="aFRR+",MIN(DAMAS_Daily!C241*market_share_B*acceptance_rate*stack_activation,power_mw*hours_per_day,capacity_mwh),MIN(DAMAS_Daily!D241*market_share_B*acceptance_rate*stack_activation,power_mw*hours_per_day,capacity_mwh))</f>
        <v/>
      </c>
      <c r="L241" s="42">
        <f>IF(K241&gt;=capacity_mwh-0.01,"yes","no")</f>
        <v/>
      </c>
      <c r="M241" s="18">
        <f>IF(C241="aFRR+",(MIN(DAMAS_Daily!C241*market_share_B*acceptance_rate*stack_activation,power_mw*hours_per_day,capacity_mwh))*DAMAS_Daily!E241*activation_mult_B,(MIN(DAMAS_Daily!D241*market_share_B*acceptance_rate*stack_activation,power_mw*hours_per_day,capacity_mwh))*DAMAS_Daily!F241*activation_mult_B)</f>
        <v/>
      </c>
      <c r="N241" s="19">
        <f>F241+M241</f>
        <v/>
      </c>
    </row>
    <row r="242">
      <c r="A242" s="41">
        <f>DAMAS_Daily!A242</f>
        <v/>
      </c>
      <c r="B242" s="42">
        <f>DAMAS_Daily!B242</f>
        <v/>
      </c>
      <c r="C242" s="42">
        <f>IF((power_mw*hours_per_day*damas_afrr_up*capacity_mult_B*stack_capacity*acceptance_rate+(MIN(DAMAS_Daily!C242*market_share_B*acceptance_rate*stack_activation,power_mw*hours_per_day,capacity_mwh))*DAMAS_Daily!E242*activation_mult_B)&gt;=(power_mw*hours_per_day*damas_afrr_down*capacity_mult_B*stack_capacity*acceptance_rate+(MIN(DAMAS_Daily!D242*market_share_B*acceptance_rate*stack_activation,power_mw*hours_per_day,capacity_mwh))*DAMAS_Daily!F242*activation_mult_B),"aFRR+","aFRR-")</f>
        <v/>
      </c>
      <c r="D242" s="43">
        <f>IF(C242="aFRR+",damas_afrr_up*capacity_mult_B,damas_afrr_down*capacity_mult_B)</f>
        <v/>
      </c>
      <c r="E242" s="44">
        <f>acceptance_rate</f>
        <v/>
      </c>
      <c r="F242" s="18">
        <f>IF(C242="aFRR+",power_mw*hours_per_day*damas_afrr_up*capacity_mult_B*stack_capacity*acceptance_rate,power_mw*hours_per_day*damas_afrr_down*capacity_mult_B*stack_capacity*acceptance_rate)</f>
        <v/>
      </c>
      <c r="G242" s="42">
        <f>IF(C242="aFRR+",DAMAS_Daily!I242,DAMAS_Daily!J242)</f>
        <v/>
      </c>
      <c r="H242" s="43">
        <f>IF(C242="aFRR+",DAMAS_Daily!E242,DAMAS_Daily!F242)</f>
        <v/>
      </c>
      <c r="I242" s="43">
        <f>IF(C242="aFRR+",DAMAS_Daily!G242,DAMAS_Daily!H242)</f>
        <v/>
      </c>
      <c r="J242" s="45">
        <f>IF(C242="aFRR+",DAMAS_Daily!C242,DAMAS_Daily!D242)</f>
        <v/>
      </c>
      <c r="K242" s="45">
        <f>IF(C242="aFRR+",MIN(DAMAS_Daily!C242*market_share_B*acceptance_rate*stack_activation,power_mw*hours_per_day,capacity_mwh),MIN(DAMAS_Daily!D242*market_share_B*acceptance_rate*stack_activation,power_mw*hours_per_day,capacity_mwh))</f>
        <v/>
      </c>
      <c r="L242" s="42">
        <f>IF(K242&gt;=capacity_mwh-0.01,"yes","no")</f>
        <v/>
      </c>
      <c r="M242" s="18">
        <f>IF(C242="aFRR+",(MIN(DAMAS_Daily!C242*market_share_B*acceptance_rate*stack_activation,power_mw*hours_per_day,capacity_mwh))*DAMAS_Daily!E242*activation_mult_B,(MIN(DAMAS_Daily!D242*market_share_B*acceptance_rate*stack_activation,power_mw*hours_per_day,capacity_mwh))*DAMAS_Daily!F242*activation_mult_B)</f>
        <v/>
      </c>
      <c r="N242" s="19">
        <f>F242+M242</f>
        <v/>
      </c>
    </row>
    <row r="243">
      <c r="A243" s="41">
        <f>DAMAS_Daily!A243</f>
        <v/>
      </c>
      <c r="B243" s="42">
        <f>DAMAS_Daily!B243</f>
        <v/>
      </c>
      <c r="C243" s="42">
        <f>IF((power_mw*hours_per_day*damas_afrr_up*capacity_mult_B*stack_capacity*acceptance_rate+(MIN(DAMAS_Daily!C243*market_share_B*acceptance_rate*stack_activation,power_mw*hours_per_day,capacity_mwh))*DAMAS_Daily!E243*activation_mult_B)&gt;=(power_mw*hours_per_day*damas_afrr_down*capacity_mult_B*stack_capacity*acceptance_rate+(MIN(DAMAS_Daily!D243*market_share_B*acceptance_rate*stack_activation,power_mw*hours_per_day,capacity_mwh))*DAMAS_Daily!F243*activation_mult_B),"aFRR+","aFRR-")</f>
        <v/>
      </c>
      <c r="D243" s="43">
        <f>IF(C243="aFRR+",damas_afrr_up*capacity_mult_B,damas_afrr_down*capacity_mult_B)</f>
        <v/>
      </c>
      <c r="E243" s="44">
        <f>acceptance_rate</f>
        <v/>
      </c>
      <c r="F243" s="18">
        <f>IF(C243="aFRR+",power_mw*hours_per_day*damas_afrr_up*capacity_mult_B*stack_capacity*acceptance_rate,power_mw*hours_per_day*damas_afrr_down*capacity_mult_B*stack_capacity*acceptance_rate)</f>
        <v/>
      </c>
      <c r="G243" s="42">
        <f>IF(C243="aFRR+",DAMAS_Daily!I243,DAMAS_Daily!J243)</f>
        <v/>
      </c>
      <c r="H243" s="43">
        <f>IF(C243="aFRR+",DAMAS_Daily!E243,DAMAS_Daily!F243)</f>
        <v/>
      </c>
      <c r="I243" s="43">
        <f>IF(C243="aFRR+",DAMAS_Daily!G243,DAMAS_Daily!H243)</f>
        <v/>
      </c>
      <c r="J243" s="45">
        <f>IF(C243="aFRR+",DAMAS_Daily!C243,DAMAS_Daily!D243)</f>
        <v/>
      </c>
      <c r="K243" s="45">
        <f>IF(C243="aFRR+",MIN(DAMAS_Daily!C243*market_share_B*acceptance_rate*stack_activation,power_mw*hours_per_day,capacity_mwh),MIN(DAMAS_Daily!D243*market_share_B*acceptance_rate*stack_activation,power_mw*hours_per_day,capacity_mwh))</f>
        <v/>
      </c>
      <c r="L243" s="42">
        <f>IF(K243&gt;=capacity_mwh-0.01,"yes","no")</f>
        <v/>
      </c>
      <c r="M243" s="18">
        <f>IF(C243="aFRR+",(MIN(DAMAS_Daily!C243*market_share_B*acceptance_rate*stack_activation,power_mw*hours_per_day,capacity_mwh))*DAMAS_Daily!E243*activation_mult_B,(MIN(DAMAS_Daily!D243*market_share_B*acceptance_rate*stack_activation,power_mw*hours_per_day,capacity_mwh))*DAMAS_Daily!F243*activation_mult_B)</f>
        <v/>
      </c>
      <c r="N243" s="19">
        <f>F243+M243</f>
        <v/>
      </c>
    </row>
    <row r="244">
      <c r="A244" s="41">
        <f>DAMAS_Daily!A244</f>
        <v/>
      </c>
      <c r="B244" s="42">
        <f>DAMAS_Daily!B244</f>
        <v/>
      </c>
      <c r="C244" s="42">
        <f>IF((power_mw*hours_per_day*damas_afrr_up*capacity_mult_B*stack_capacity*acceptance_rate+(MIN(DAMAS_Daily!C244*market_share_B*acceptance_rate*stack_activation,power_mw*hours_per_day,capacity_mwh))*DAMAS_Daily!E244*activation_mult_B)&gt;=(power_mw*hours_per_day*damas_afrr_down*capacity_mult_B*stack_capacity*acceptance_rate+(MIN(DAMAS_Daily!D244*market_share_B*acceptance_rate*stack_activation,power_mw*hours_per_day,capacity_mwh))*DAMAS_Daily!F244*activation_mult_B),"aFRR+","aFRR-")</f>
        <v/>
      </c>
      <c r="D244" s="43">
        <f>IF(C244="aFRR+",damas_afrr_up*capacity_mult_B,damas_afrr_down*capacity_mult_B)</f>
        <v/>
      </c>
      <c r="E244" s="44">
        <f>acceptance_rate</f>
        <v/>
      </c>
      <c r="F244" s="18">
        <f>IF(C244="aFRR+",power_mw*hours_per_day*damas_afrr_up*capacity_mult_B*stack_capacity*acceptance_rate,power_mw*hours_per_day*damas_afrr_down*capacity_mult_B*stack_capacity*acceptance_rate)</f>
        <v/>
      </c>
      <c r="G244" s="42">
        <f>IF(C244="aFRR+",DAMAS_Daily!I244,DAMAS_Daily!J244)</f>
        <v/>
      </c>
      <c r="H244" s="43">
        <f>IF(C244="aFRR+",DAMAS_Daily!E244,DAMAS_Daily!F244)</f>
        <v/>
      </c>
      <c r="I244" s="43">
        <f>IF(C244="aFRR+",DAMAS_Daily!G244,DAMAS_Daily!H244)</f>
        <v/>
      </c>
      <c r="J244" s="45">
        <f>IF(C244="aFRR+",DAMAS_Daily!C244,DAMAS_Daily!D244)</f>
        <v/>
      </c>
      <c r="K244" s="45">
        <f>IF(C244="aFRR+",MIN(DAMAS_Daily!C244*market_share_B*acceptance_rate*stack_activation,power_mw*hours_per_day,capacity_mwh),MIN(DAMAS_Daily!D244*market_share_B*acceptance_rate*stack_activation,power_mw*hours_per_day,capacity_mwh))</f>
        <v/>
      </c>
      <c r="L244" s="42">
        <f>IF(K244&gt;=capacity_mwh-0.01,"yes","no")</f>
        <v/>
      </c>
      <c r="M244" s="18">
        <f>IF(C244="aFRR+",(MIN(DAMAS_Daily!C244*market_share_B*acceptance_rate*stack_activation,power_mw*hours_per_day,capacity_mwh))*DAMAS_Daily!E244*activation_mult_B,(MIN(DAMAS_Daily!D244*market_share_B*acceptance_rate*stack_activation,power_mw*hours_per_day,capacity_mwh))*DAMAS_Daily!F244*activation_mult_B)</f>
        <v/>
      </c>
      <c r="N244" s="19">
        <f>F244+M244</f>
        <v/>
      </c>
    </row>
    <row r="245">
      <c r="A245" s="41">
        <f>DAMAS_Daily!A245</f>
        <v/>
      </c>
      <c r="B245" s="42">
        <f>DAMAS_Daily!B245</f>
        <v/>
      </c>
      <c r="C245" s="42">
        <f>IF((power_mw*hours_per_day*damas_afrr_up*capacity_mult_B*stack_capacity*acceptance_rate+(MIN(DAMAS_Daily!C245*market_share_B*acceptance_rate*stack_activation,power_mw*hours_per_day,capacity_mwh))*DAMAS_Daily!E245*activation_mult_B)&gt;=(power_mw*hours_per_day*damas_afrr_down*capacity_mult_B*stack_capacity*acceptance_rate+(MIN(DAMAS_Daily!D245*market_share_B*acceptance_rate*stack_activation,power_mw*hours_per_day,capacity_mwh))*DAMAS_Daily!F245*activation_mult_B),"aFRR+","aFRR-")</f>
        <v/>
      </c>
      <c r="D245" s="43">
        <f>IF(C245="aFRR+",damas_afrr_up*capacity_mult_B,damas_afrr_down*capacity_mult_B)</f>
        <v/>
      </c>
      <c r="E245" s="44">
        <f>acceptance_rate</f>
        <v/>
      </c>
      <c r="F245" s="18">
        <f>IF(C245="aFRR+",power_mw*hours_per_day*damas_afrr_up*capacity_mult_B*stack_capacity*acceptance_rate,power_mw*hours_per_day*damas_afrr_down*capacity_mult_B*stack_capacity*acceptance_rate)</f>
        <v/>
      </c>
      <c r="G245" s="42">
        <f>IF(C245="aFRR+",DAMAS_Daily!I245,DAMAS_Daily!J245)</f>
        <v/>
      </c>
      <c r="H245" s="43">
        <f>IF(C245="aFRR+",DAMAS_Daily!E245,DAMAS_Daily!F245)</f>
        <v/>
      </c>
      <c r="I245" s="43">
        <f>IF(C245="aFRR+",DAMAS_Daily!G245,DAMAS_Daily!H245)</f>
        <v/>
      </c>
      <c r="J245" s="45">
        <f>IF(C245="aFRR+",DAMAS_Daily!C245,DAMAS_Daily!D245)</f>
        <v/>
      </c>
      <c r="K245" s="45">
        <f>IF(C245="aFRR+",MIN(DAMAS_Daily!C245*market_share_B*acceptance_rate*stack_activation,power_mw*hours_per_day,capacity_mwh),MIN(DAMAS_Daily!D245*market_share_B*acceptance_rate*stack_activation,power_mw*hours_per_day,capacity_mwh))</f>
        <v/>
      </c>
      <c r="L245" s="42">
        <f>IF(K245&gt;=capacity_mwh-0.01,"yes","no")</f>
        <v/>
      </c>
      <c r="M245" s="18">
        <f>IF(C245="aFRR+",(MIN(DAMAS_Daily!C245*market_share_B*acceptance_rate*stack_activation,power_mw*hours_per_day,capacity_mwh))*DAMAS_Daily!E245*activation_mult_B,(MIN(DAMAS_Daily!D245*market_share_B*acceptance_rate*stack_activation,power_mw*hours_per_day,capacity_mwh))*DAMAS_Daily!F245*activation_mult_B)</f>
        <v/>
      </c>
      <c r="N245" s="19">
        <f>F245+M245</f>
        <v/>
      </c>
    </row>
    <row r="246">
      <c r="A246" s="41">
        <f>DAMAS_Daily!A246</f>
        <v/>
      </c>
      <c r="B246" s="42">
        <f>DAMAS_Daily!B246</f>
        <v/>
      </c>
      <c r="C246" s="42">
        <f>IF((power_mw*hours_per_day*damas_afrr_up*capacity_mult_B*stack_capacity*acceptance_rate+(MIN(DAMAS_Daily!C246*market_share_B*acceptance_rate*stack_activation,power_mw*hours_per_day,capacity_mwh))*DAMAS_Daily!E246*activation_mult_B)&gt;=(power_mw*hours_per_day*damas_afrr_down*capacity_mult_B*stack_capacity*acceptance_rate+(MIN(DAMAS_Daily!D246*market_share_B*acceptance_rate*stack_activation,power_mw*hours_per_day,capacity_mwh))*DAMAS_Daily!F246*activation_mult_B),"aFRR+","aFRR-")</f>
        <v/>
      </c>
      <c r="D246" s="43">
        <f>IF(C246="aFRR+",damas_afrr_up*capacity_mult_B,damas_afrr_down*capacity_mult_B)</f>
        <v/>
      </c>
      <c r="E246" s="44">
        <f>acceptance_rate</f>
        <v/>
      </c>
      <c r="F246" s="18">
        <f>IF(C246="aFRR+",power_mw*hours_per_day*damas_afrr_up*capacity_mult_B*stack_capacity*acceptance_rate,power_mw*hours_per_day*damas_afrr_down*capacity_mult_B*stack_capacity*acceptance_rate)</f>
        <v/>
      </c>
      <c r="G246" s="42">
        <f>IF(C246="aFRR+",DAMAS_Daily!I246,DAMAS_Daily!J246)</f>
        <v/>
      </c>
      <c r="H246" s="43">
        <f>IF(C246="aFRR+",DAMAS_Daily!E246,DAMAS_Daily!F246)</f>
        <v/>
      </c>
      <c r="I246" s="43">
        <f>IF(C246="aFRR+",DAMAS_Daily!G246,DAMAS_Daily!H246)</f>
        <v/>
      </c>
      <c r="J246" s="45">
        <f>IF(C246="aFRR+",DAMAS_Daily!C246,DAMAS_Daily!D246)</f>
        <v/>
      </c>
      <c r="K246" s="45">
        <f>IF(C246="aFRR+",MIN(DAMAS_Daily!C246*market_share_B*acceptance_rate*stack_activation,power_mw*hours_per_day,capacity_mwh),MIN(DAMAS_Daily!D246*market_share_B*acceptance_rate*stack_activation,power_mw*hours_per_day,capacity_mwh))</f>
        <v/>
      </c>
      <c r="L246" s="42">
        <f>IF(K246&gt;=capacity_mwh-0.01,"yes","no")</f>
        <v/>
      </c>
      <c r="M246" s="18">
        <f>IF(C246="aFRR+",(MIN(DAMAS_Daily!C246*market_share_B*acceptance_rate*stack_activation,power_mw*hours_per_day,capacity_mwh))*DAMAS_Daily!E246*activation_mult_B,(MIN(DAMAS_Daily!D246*market_share_B*acceptance_rate*stack_activation,power_mw*hours_per_day,capacity_mwh))*DAMAS_Daily!F246*activation_mult_B)</f>
        <v/>
      </c>
      <c r="N246" s="19">
        <f>F246+M246</f>
        <v/>
      </c>
    </row>
    <row r="247">
      <c r="A247" s="41">
        <f>DAMAS_Daily!A247</f>
        <v/>
      </c>
      <c r="B247" s="42">
        <f>DAMAS_Daily!B247</f>
        <v/>
      </c>
      <c r="C247" s="42">
        <f>IF((power_mw*hours_per_day*damas_afrr_up*capacity_mult_B*stack_capacity*acceptance_rate+(MIN(DAMAS_Daily!C247*market_share_B*acceptance_rate*stack_activation,power_mw*hours_per_day,capacity_mwh))*DAMAS_Daily!E247*activation_mult_B)&gt;=(power_mw*hours_per_day*damas_afrr_down*capacity_mult_B*stack_capacity*acceptance_rate+(MIN(DAMAS_Daily!D247*market_share_B*acceptance_rate*stack_activation,power_mw*hours_per_day,capacity_mwh))*DAMAS_Daily!F247*activation_mult_B),"aFRR+","aFRR-")</f>
        <v/>
      </c>
      <c r="D247" s="43">
        <f>IF(C247="aFRR+",damas_afrr_up*capacity_mult_B,damas_afrr_down*capacity_mult_B)</f>
        <v/>
      </c>
      <c r="E247" s="44">
        <f>acceptance_rate</f>
        <v/>
      </c>
      <c r="F247" s="18">
        <f>IF(C247="aFRR+",power_mw*hours_per_day*damas_afrr_up*capacity_mult_B*stack_capacity*acceptance_rate,power_mw*hours_per_day*damas_afrr_down*capacity_mult_B*stack_capacity*acceptance_rate)</f>
        <v/>
      </c>
      <c r="G247" s="42">
        <f>IF(C247="aFRR+",DAMAS_Daily!I247,DAMAS_Daily!J247)</f>
        <v/>
      </c>
      <c r="H247" s="43">
        <f>IF(C247="aFRR+",DAMAS_Daily!E247,DAMAS_Daily!F247)</f>
        <v/>
      </c>
      <c r="I247" s="43">
        <f>IF(C247="aFRR+",DAMAS_Daily!G247,DAMAS_Daily!H247)</f>
        <v/>
      </c>
      <c r="J247" s="45">
        <f>IF(C247="aFRR+",DAMAS_Daily!C247,DAMAS_Daily!D247)</f>
        <v/>
      </c>
      <c r="K247" s="45">
        <f>IF(C247="aFRR+",MIN(DAMAS_Daily!C247*market_share_B*acceptance_rate*stack_activation,power_mw*hours_per_day,capacity_mwh),MIN(DAMAS_Daily!D247*market_share_B*acceptance_rate*stack_activation,power_mw*hours_per_day,capacity_mwh))</f>
        <v/>
      </c>
      <c r="L247" s="42">
        <f>IF(K247&gt;=capacity_mwh-0.01,"yes","no")</f>
        <v/>
      </c>
      <c r="M247" s="18">
        <f>IF(C247="aFRR+",(MIN(DAMAS_Daily!C247*market_share_B*acceptance_rate*stack_activation,power_mw*hours_per_day,capacity_mwh))*DAMAS_Daily!E247*activation_mult_B,(MIN(DAMAS_Daily!D247*market_share_B*acceptance_rate*stack_activation,power_mw*hours_per_day,capacity_mwh))*DAMAS_Daily!F247*activation_mult_B)</f>
        <v/>
      </c>
      <c r="N247" s="19">
        <f>F247+M247</f>
        <v/>
      </c>
    </row>
    <row r="248">
      <c r="A248" s="41">
        <f>DAMAS_Daily!A248</f>
        <v/>
      </c>
      <c r="B248" s="42">
        <f>DAMAS_Daily!B248</f>
        <v/>
      </c>
      <c r="C248" s="42">
        <f>IF((power_mw*hours_per_day*damas_afrr_up*capacity_mult_B*stack_capacity*acceptance_rate+(MIN(DAMAS_Daily!C248*market_share_B*acceptance_rate*stack_activation,power_mw*hours_per_day,capacity_mwh))*DAMAS_Daily!E248*activation_mult_B)&gt;=(power_mw*hours_per_day*damas_afrr_down*capacity_mult_B*stack_capacity*acceptance_rate+(MIN(DAMAS_Daily!D248*market_share_B*acceptance_rate*stack_activation,power_mw*hours_per_day,capacity_mwh))*DAMAS_Daily!F248*activation_mult_B),"aFRR+","aFRR-")</f>
        <v/>
      </c>
      <c r="D248" s="43">
        <f>IF(C248="aFRR+",damas_afrr_up*capacity_mult_B,damas_afrr_down*capacity_mult_B)</f>
        <v/>
      </c>
      <c r="E248" s="44">
        <f>acceptance_rate</f>
        <v/>
      </c>
      <c r="F248" s="18">
        <f>IF(C248="aFRR+",power_mw*hours_per_day*damas_afrr_up*capacity_mult_B*stack_capacity*acceptance_rate,power_mw*hours_per_day*damas_afrr_down*capacity_mult_B*stack_capacity*acceptance_rate)</f>
        <v/>
      </c>
      <c r="G248" s="42">
        <f>IF(C248="aFRR+",DAMAS_Daily!I248,DAMAS_Daily!J248)</f>
        <v/>
      </c>
      <c r="H248" s="43">
        <f>IF(C248="aFRR+",DAMAS_Daily!E248,DAMAS_Daily!F248)</f>
        <v/>
      </c>
      <c r="I248" s="43">
        <f>IF(C248="aFRR+",DAMAS_Daily!G248,DAMAS_Daily!H248)</f>
        <v/>
      </c>
      <c r="J248" s="45">
        <f>IF(C248="aFRR+",DAMAS_Daily!C248,DAMAS_Daily!D248)</f>
        <v/>
      </c>
      <c r="K248" s="45">
        <f>IF(C248="aFRR+",MIN(DAMAS_Daily!C248*market_share_B*acceptance_rate*stack_activation,power_mw*hours_per_day,capacity_mwh),MIN(DAMAS_Daily!D248*market_share_B*acceptance_rate*stack_activation,power_mw*hours_per_day,capacity_mwh))</f>
        <v/>
      </c>
      <c r="L248" s="42">
        <f>IF(K248&gt;=capacity_mwh-0.01,"yes","no")</f>
        <v/>
      </c>
      <c r="M248" s="18">
        <f>IF(C248="aFRR+",(MIN(DAMAS_Daily!C248*market_share_B*acceptance_rate*stack_activation,power_mw*hours_per_day,capacity_mwh))*DAMAS_Daily!E248*activation_mult_B,(MIN(DAMAS_Daily!D248*market_share_B*acceptance_rate*stack_activation,power_mw*hours_per_day,capacity_mwh))*DAMAS_Daily!F248*activation_mult_B)</f>
        <v/>
      </c>
      <c r="N248" s="19">
        <f>F248+M248</f>
        <v/>
      </c>
    </row>
    <row r="249">
      <c r="A249" s="41">
        <f>DAMAS_Daily!A249</f>
        <v/>
      </c>
      <c r="B249" s="42">
        <f>DAMAS_Daily!B249</f>
        <v/>
      </c>
      <c r="C249" s="42">
        <f>IF((power_mw*hours_per_day*damas_afrr_up*capacity_mult_B*stack_capacity*acceptance_rate+(MIN(DAMAS_Daily!C249*market_share_B*acceptance_rate*stack_activation,power_mw*hours_per_day,capacity_mwh))*DAMAS_Daily!E249*activation_mult_B)&gt;=(power_mw*hours_per_day*damas_afrr_down*capacity_mult_B*stack_capacity*acceptance_rate+(MIN(DAMAS_Daily!D249*market_share_B*acceptance_rate*stack_activation,power_mw*hours_per_day,capacity_mwh))*DAMAS_Daily!F249*activation_mult_B),"aFRR+","aFRR-")</f>
        <v/>
      </c>
      <c r="D249" s="43">
        <f>IF(C249="aFRR+",damas_afrr_up*capacity_mult_B,damas_afrr_down*capacity_mult_B)</f>
        <v/>
      </c>
      <c r="E249" s="44">
        <f>acceptance_rate</f>
        <v/>
      </c>
      <c r="F249" s="18">
        <f>IF(C249="aFRR+",power_mw*hours_per_day*damas_afrr_up*capacity_mult_B*stack_capacity*acceptance_rate,power_mw*hours_per_day*damas_afrr_down*capacity_mult_B*stack_capacity*acceptance_rate)</f>
        <v/>
      </c>
      <c r="G249" s="42">
        <f>IF(C249="aFRR+",DAMAS_Daily!I249,DAMAS_Daily!J249)</f>
        <v/>
      </c>
      <c r="H249" s="43">
        <f>IF(C249="aFRR+",DAMAS_Daily!E249,DAMAS_Daily!F249)</f>
        <v/>
      </c>
      <c r="I249" s="43">
        <f>IF(C249="aFRR+",DAMAS_Daily!G249,DAMAS_Daily!H249)</f>
        <v/>
      </c>
      <c r="J249" s="45">
        <f>IF(C249="aFRR+",DAMAS_Daily!C249,DAMAS_Daily!D249)</f>
        <v/>
      </c>
      <c r="K249" s="45">
        <f>IF(C249="aFRR+",MIN(DAMAS_Daily!C249*market_share_B*acceptance_rate*stack_activation,power_mw*hours_per_day,capacity_mwh),MIN(DAMAS_Daily!D249*market_share_B*acceptance_rate*stack_activation,power_mw*hours_per_day,capacity_mwh))</f>
        <v/>
      </c>
      <c r="L249" s="42">
        <f>IF(K249&gt;=capacity_mwh-0.01,"yes","no")</f>
        <v/>
      </c>
      <c r="M249" s="18">
        <f>IF(C249="aFRR+",(MIN(DAMAS_Daily!C249*market_share_B*acceptance_rate*stack_activation,power_mw*hours_per_day,capacity_mwh))*DAMAS_Daily!E249*activation_mult_B,(MIN(DAMAS_Daily!D249*market_share_B*acceptance_rate*stack_activation,power_mw*hours_per_day,capacity_mwh))*DAMAS_Daily!F249*activation_mult_B)</f>
        <v/>
      </c>
      <c r="N249" s="19">
        <f>F249+M249</f>
        <v/>
      </c>
    </row>
    <row r="250">
      <c r="A250" s="41">
        <f>DAMAS_Daily!A250</f>
        <v/>
      </c>
      <c r="B250" s="42">
        <f>DAMAS_Daily!B250</f>
        <v/>
      </c>
      <c r="C250" s="42">
        <f>IF((power_mw*hours_per_day*damas_afrr_up*capacity_mult_B*stack_capacity*acceptance_rate+(MIN(DAMAS_Daily!C250*market_share_B*acceptance_rate*stack_activation,power_mw*hours_per_day,capacity_mwh))*DAMAS_Daily!E250*activation_mult_B)&gt;=(power_mw*hours_per_day*damas_afrr_down*capacity_mult_B*stack_capacity*acceptance_rate+(MIN(DAMAS_Daily!D250*market_share_B*acceptance_rate*stack_activation,power_mw*hours_per_day,capacity_mwh))*DAMAS_Daily!F250*activation_mult_B),"aFRR+","aFRR-")</f>
        <v/>
      </c>
      <c r="D250" s="43">
        <f>IF(C250="aFRR+",damas_afrr_up*capacity_mult_B,damas_afrr_down*capacity_mult_B)</f>
        <v/>
      </c>
      <c r="E250" s="44">
        <f>acceptance_rate</f>
        <v/>
      </c>
      <c r="F250" s="18">
        <f>IF(C250="aFRR+",power_mw*hours_per_day*damas_afrr_up*capacity_mult_B*stack_capacity*acceptance_rate,power_mw*hours_per_day*damas_afrr_down*capacity_mult_B*stack_capacity*acceptance_rate)</f>
        <v/>
      </c>
      <c r="G250" s="42">
        <f>IF(C250="aFRR+",DAMAS_Daily!I250,DAMAS_Daily!J250)</f>
        <v/>
      </c>
      <c r="H250" s="43">
        <f>IF(C250="aFRR+",DAMAS_Daily!E250,DAMAS_Daily!F250)</f>
        <v/>
      </c>
      <c r="I250" s="43">
        <f>IF(C250="aFRR+",DAMAS_Daily!G250,DAMAS_Daily!H250)</f>
        <v/>
      </c>
      <c r="J250" s="45">
        <f>IF(C250="aFRR+",DAMAS_Daily!C250,DAMAS_Daily!D250)</f>
        <v/>
      </c>
      <c r="K250" s="45">
        <f>IF(C250="aFRR+",MIN(DAMAS_Daily!C250*market_share_B*acceptance_rate*stack_activation,power_mw*hours_per_day,capacity_mwh),MIN(DAMAS_Daily!D250*market_share_B*acceptance_rate*stack_activation,power_mw*hours_per_day,capacity_mwh))</f>
        <v/>
      </c>
      <c r="L250" s="42">
        <f>IF(K250&gt;=capacity_mwh-0.01,"yes","no")</f>
        <v/>
      </c>
      <c r="M250" s="18">
        <f>IF(C250="aFRR+",(MIN(DAMAS_Daily!C250*market_share_B*acceptance_rate*stack_activation,power_mw*hours_per_day,capacity_mwh))*DAMAS_Daily!E250*activation_mult_B,(MIN(DAMAS_Daily!D250*market_share_B*acceptance_rate*stack_activation,power_mw*hours_per_day,capacity_mwh))*DAMAS_Daily!F250*activation_mult_B)</f>
        <v/>
      </c>
      <c r="N250" s="19">
        <f>F250+M250</f>
        <v/>
      </c>
    </row>
    <row r="251">
      <c r="A251" s="41">
        <f>DAMAS_Daily!A251</f>
        <v/>
      </c>
      <c r="B251" s="42">
        <f>DAMAS_Daily!B251</f>
        <v/>
      </c>
      <c r="C251" s="42">
        <f>IF((power_mw*hours_per_day*damas_afrr_up*capacity_mult_B*stack_capacity*acceptance_rate+(MIN(DAMAS_Daily!C251*market_share_B*acceptance_rate*stack_activation,power_mw*hours_per_day,capacity_mwh))*DAMAS_Daily!E251*activation_mult_B)&gt;=(power_mw*hours_per_day*damas_afrr_down*capacity_mult_B*stack_capacity*acceptance_rate+(MIN(DAMAS_Daily!D251*market_share_B*acceptance_rate*stack_activation,power_mw*hours_per_day,capacity_mwh))*DAMAS_Daily!F251*activation_mult_B),"aFRR+","aFRR-")</f>
        <v/>
      </c>
      <c r="D251" s="43">
        <f>IF(C251="aFRR+",damas_afrr_up*capacity_mult_B,damas_afrr_down*capacity_mult_B)</f>
        <v/>
      </c>
      <c r="E251" s="44">
        <f>acceptance_rate</f>
        <v/>
      </c>
      <c r="F251" s="18">
        <f>IF(C251="aFRR+",power_mw*hours_per_day*damas_afrr_up*capacity_mult_B*stack_capacity*acceptance_rate,power_mw*hours_per_day*damas_afrr_down*capacity_mult_B*stack_capacity*acceptance_rate)</f>
        <v/>
      </c>
      <c r="G251" s="42">
        <f>IF(C251="aFRR+",DAMAS_Daily!I251,DAMAS_Daily!J251)</f>
        <v/>
      </c>
      <c r="H251" s="43">
        <f>IF(C251="aFRR+",DAMAS_Daily!E251,DAMAS_Daily!F251)</f>
        <v/>
      </c>
      <c r="I251" s="43">
        <f>IF(C251="aFRR+",DAMAS_Daily!G251,DAMAS_Daily!H251)</f>
        <v/>
      </c>
      <c r="J251" s="45">
        <f>IF(C251="aFRR+",DAMAS_Daily!C251,DAMAS_Daily!D251)</f>
        <v/>
      </c>
      <c r="K251" s="45">
        <f>IF(C251="aFRR+",MIN(DAMAS_Daily!C251*market_share_B*acceptance_rate*stack_activation,power_mw*hours_per_day,capacity_mwh),MIN(DAMAS_Daily!D251*market_share_B*acceptance_rate*stack_activation,power_mw*hours_per_day,capacity_mwh))</f>
        <v/>
      </c>
      <c r="L251" s="42">
        <f>IF(K251&gt;=capacity_mwh-0.01,"yes","no")</f>
        <v/>
      </c>
      <c r="M251" s="18">
        <f>IF(C251="aFRR+",(MIN(DAMAS_Daily!C251*market_share_B*acceptance_rate*stack_activation,power_mw*hours_per_day,capacity_mwh))*DAMAS_Daily!E251*activation_mult_B,(MIN(DAMAS_Daily!D251*market_share_B*acceptance_rate*stack_activation,power_mw*hours_per_day,capacity_mwh))*DAMAS_Daily!F251*activation_mult_B)</f>
        <v/>
      </c>
      <c r="N251" s="19">
        <f>F251+M251</f>
        <v/>
      </c>
    </row>
    <row r="252">
      <c r="A252" s="41">
        <f>DAMAS_Daily!A252</f>
        <v/>
      </c>
      <c r="B252" s="42">
        <f>DAMAS_Daily!B252</f>
        <v/>
      </c>
      <c r="C252" s="42">
        <f>IF((power_mw*hours_per_day*damas_afrr_up*capacity_mult_B*stack_capacity*acceptance_rate+(MIN(DAMAS_Daily!C252*market_share_B*acceptance_rate*stack_activation,power_mw*hours_per_day,capacity_mwh))*DAMAS_Daily!E252*activation_mult_B)&gt;=(power_mw*hours_per_day*damas_afrr_down*capacity_mult_B*stack_capacity*acceptance_rate+(MIN(DAMAS_Daily!D252*market_share_B*acceptance_rate*stack_activation,power_mw*hours_per_day,capacity_mwh))*DAMAS_Daily!F252*activation_mult_B),"aFRR+","aFRR-")</f>
        <v/>
      </c>
      <c r="D252" s="43">
        <f>IF(C252="aFRR+",damas_afrr_up*capacity_mult_B,damas_afrr_down*capacity_mult_B)</f>
        <v/>
      </c>
      <c r="E252" s="44">
        <f>acceptance_rate</f>
        <v/>
      </c>
      <c r="F252" s="18">
        <f>IF(C252="aFRR+",power_mw*hours_per_day*damas_afrr_up*capacity_mult_B*stack_capacity*acceptance_rate,power_mw*hours_per_day*damas_afrr_down*capacity_mult_B*stack_capacity*acceptance_rate)</f>
        <v/>
      </c>
      <c r="G252" s="42">
        <f>IF(C252="aFRR+",DAMAS_Daily!I252,DAMAS_Daily!J252)</f>
        <v/>
      </c>
      <c r="H252" s="43">
        <f>IF(C252="aFRR+",DAMAS_Daily!E252,DAMAS_Daily!F252)</f>
        <v/>
      </c>
      <c r="I252" s="43">
        <f>IF(C252="aFRR+",DAMAS_Daily!G252,DAMAS_Daily!H252)</f>
        <v/>
      </c>
      <c r="J252" s="45">
        <f>IF(C252="aFRR+",DAMAS_Daily!C252,DAMAS_Daily!D252)</f>
        <v/>
      </c>
      <c r="K252" s="45">
        <f>IF(C252="aFRR+",MIN(DAMAS_Daily!C252*market_share_B*acceptance_rate*stack_activation,power_mw*hours_per_day,capacity_mwh),MIN(DAMAS_Daily!D252*market_share_B*acceptance_rate*stack_activation,power_mw*hours_per_day,capacity_mwh))</f>
        <v/>
      </c>
      <c r="L252" s="42">
        <f>IF(K252&gt;=capacity_mwh-0.01,"yes","no")</f>
        <v/>
      </c>
      <c r="M252" s="18">
        <f>IF(C252="aFRR+",(MIN(DAMAS_Daily!C252*market_share_B*acceptance_rate*stack_activation,power_mw*hours_per_day,capacity_mwh))*DAMAS_Daily!E252*activation_mult_B,(MIN(DAMAS_Daily!D252*market_share_B*acceptance_rate*stack_activation,power_mw*hours_per_day,capacity_mwh))*DAMAS_Daily!F252*activation_mult_B)</f>
        <v/>
      </c>
      <c r="N252" s="19">
        <f>F252+M252</f>
        <v/>
      </c>
    </row>
    <row r="253">
      <c r="A253" s="41">
        <f>DAMAS_Daily!A253</f>
        <v/>
      </c>
      <c r="B253" s="42">
        <f>DAMAS_Daily!B253</f>
        <v/>
      </c>
      <c r="C253" s="42">
        <f>IF((power_mw*hours_per_day*damas_afrr_up*capacity_mult_B*stack_capacity*acceptance_rate+(MIN(DAMAS_Daily!C253*market_share_B*acceptance_rate*stack_activation,power_mw*hours_per_day,capacity_mwh))*DAMAS_Daily!E253*activation_mult_B)&gt;=(power_mw*hours_per_day*damas_afrr_down*capacity_mult_B*stack_capacity*acceptance_rate+(MIN(DAMAS_Daily!D253*market_share_B*acceptance_rate*stack_activation,power_mw*hours_per_day,capacity_mwh))*DAMAS_Daily!F253*activation_mult_B),"aFRR+","aFRR-")</f>
        <v/>
      </c>
      <c r="D253" s="43">
        <f>IF(C253="aFRR+",damas_afrr_up*capacity_mult_B,damas_afrr_down*capacity_mult_B)</f>
        <v/>
      </c>
      <c r="E253" s="44">
        <f>acceptance_rate</f>
        <v/>
      </c>
      <c r="F253" s="18">
        <f>IF(C253="aFRR+",power_mw*hours_per_day*damas_afrr_up*capacity_mult_B*stack_capacity*acceptance_rate,power_mw*hours_per_day*damas_afrr_down*capacity_mult_B*stack_capacity*acceptance_rate)</f>
        <v/>
      </c>
      <c r="G253" s="42">
        <f>IF(C253="aFRR+",DAMAS_Daily!I253,DAMAS_Daily!J253)</f>
        <v/>
      </c>
      <c r="H253" s="43">
        <f>IF(C253="aFRR+",DAMAS_Daily!E253,DAMAS_Daily!F253)</f>
        <v/>
      </c>
      <c r="I253" s="43">
        <f>IF(C253="aFRR+",DAMAS_Daily!G253,DAMAS_Daily!H253)</f>
        <v/>
      </c>
      <c r="J253" s="45">
        <f>IF(C253="aFRR+",DAMAS_Daily!C253,DAMAS_Daily!D253)</f>
        <v/>
      </c>
      <c r="K253" s="45">
        <f>IF(C253="aFRR+",MIN(DAMAS_Daily!C253*market_share_B*acceptance_rate*stack_activation,power_mw*hours_per_day,capacity_mwh),MIN(DAMAS_Daily!D253*market_share_B*acceptance_rate*stack_activation,power_mw*hours_per_day,capacity_mwh))</f>
        <v/>
      </c>
      <c r="L253" s="42">
        <f>IF(K253&gt;=capacity_mwh-0.01,"yes","no")</f>
        <v/>
      </c>
      <c r="M253" s="18">
        <f>IF(C253="aFRR+",(MIN(DAMAS_Daily!C253*market_share_B*acceptance_rate*stack_activation,power_mw*hours_per_day,capacity_mwh))*DAMAS_Daily!E253*activation_mult_B,(MIN(DAMAS_Daily!D253*market_share_B*acceptance_rate*stack_activation,power_mw*hours_per_day,capacity_mwh))*DAMAS_Daily!F253*activation_mult_B)</f>
        <v/>
      </c>
      <c r="N253" s="19">
        <f>F253+M253</f>
        <v/>
      </c>
    </row>
    <row r="254">
      <c r="A254" s="41">
        <f>DAMAS_Daily!A254</f>
        <v/>
      </c>
      <c r="B254" s="42">
        <f>DAMAS_Daily!B254</f>
        <v/>
      </c>
      <c r="C254" s="42">
        <f>IF((power_mw*hours_per_day*damas_afrr_up*capacity_mult_B*stack_capacity*acceptance_rate+(MIN(DAMAS_Daily!C254*market_share_B*acceptance_rate*stack_activation,power_mw*hours_per_day,capacity_mwh))*DAMAS_Daily!E254*activation_mult_B)&gt;=(power_mw*hours_per_day*damas_afrr_down*capacity_mult_B*stack_capacity*acceptance_rate+(MIN(DAMAS_Daily!D254*market_share_B*acceptance_rate*stack_activation,power_mw*hours_per_day,capacity_mwh))*DAMAS_Daily!F254*activation_mult_B),"aFRR+","aFRR-")</f>
        <v/>
      </c>
      <c r="D254" s="43">
        <f>IF(C254="aFRR+",damas_afrr_up*capacity_mult_B,damas_afrr_down*capacity_mult_B)</f>
        <v/>
      </c>
      <c r="E254" s="44">
        <f>acceptance_rate</f>
        <v/>
      </c>
      <c r="F254" s="18">
        <f>IF(C254="aFRR+",power_mw*hours_per_day*damas_afrr_up*capacity_mult_B*stack_capacity*acceptance_rate,power_mw*hours_per_day*damas_afrr_down*capacity_mult_B*stack_capacity*acceptance_rate)</f>
        <v/>
      </c>
      <c r="G254" s="42">
        <f>IF(C254="aFRR+",DAMAS_Daily!I254,DAMAS_Daily!J254)</f>
        <v/>
      </c>
      <c r="H254" s="43">
        <f>IF(C254="aFRR+",DAMAS_Daily!E254,DAMAS_Daily!F254)</f>
        <v/>
      </c>
      <c r="I254" s="43">
        <f>IF(C254="aFRR+",DAMAS_Daily!G254,DAMAS_Daily!H254)</f>
        <v/>
      </c>
      <c r="J254" s="45">
        <f>IF(C254="aFRR+",DAMAS_Daily!C254,DAMAS_Daily!D254)</f>
        <v/>
      </c>
      <c r="K254" s="45">
        <f>IF(C254="aFRR+",MIN(DAMAS_Daily!C254*market_share_B*acceptance_rate*stack_activation,power_mw*hours_per_day,capacity_mwh),MIN(DAMAS_Daily!D254*market_share_B*acceptance_rate*stack_activation,power_mw*hours_per_day,capacity_mwh))</f>
        <v/>
      </c>
      <c r="L254" s="42">
        <f>IF(K254&gt;=capacity_mwh-0.01,"yes","no")</f>
        <v/>
      </c>
      <c r="M254" s="18">
        <f>IF(C254="aFRR+",(MIN(DAMAS_Daily!C254*market_share_B*acceptance_rate*stack_activation,power_mw*hours_per_day,capacity_mwh))*DAMAS_Daily!E254*activation_mult_B,(MIN(DAMAS_Daily!D254*market_share_B*acceptance_rate*stack_activation,power_mw*hours_per_day,capacity_mwh))*DAMAS_Daily!F254*activation_mult_B)</f>
        <v/>
      </c>
      <c r="N254" s="19">
        <f>F254+M254</f>
        <v/>
      </c>
    </row>
    <row r="255">
      <c r="A255" s="41">
        <f>DAMAS_Daily!A255</f>
        <v/>
      </c>
      <c r="B255" s="42">
        <f>DAMAS_Daily!B255</f>
        <v/>
      </c>
      <c r="C255" s="42">
        <f>IF((power_mw*hours_per_day*damas_afrr_up*capacity_mult_B*stack_capacity*acceptance_rate+(MIN(DAMAS_Daily!C255*market_share_B*acceptance_rate*stack_activation,power_mw*hours_per_day,capacity_mwh))*DAMAS_Daily!E255*activation_mult_B)&gt;=(power_mw*hours_per_day*damas_afrr_down*capacity_mult_B*stack_capacity*acceptance_rate+(MIN(DAMAS_Daily!D255*market_share_B*acceptance_rate*stack_activation,power_mw*hours_per_day,capacity_mwh))*DAMAS_Daily!F255*activation_mult_B),"aFRR+","aFRR-")</f>
        <v/>
      </c>
      <c r="D255" s="43">
        <f>IF(C255="aFRR+",damas_afrr_up*capacity_mult_B,damas_afrr_down*capacity_mult_B)</f>
        <v/>
      </c>
      <c r="E255" s="44">
        <f>acceptance_rate</f>
        <v/>
      </c>
      <c r="F255" s="18">
        <f>IF(C255="aFRR+",power_mw*hours_per_day*damas_afrr_up*capacity_mult_B*stack_capacity*acceptance_rate,power_mw*hours_per_day*damas_afrr_down*capacity_mult_B*stack_capacity*acceptance_rate)</f>
        <v/>
      </c>
      <c r="G255" s="42">
        <f>IF(C255="aFRR+",DAMAS_Daily!I255,DAMAS_Daily!J255)</f>
        <v/>
      </c>
      <c r="H255" s="43">
        <f>IF(C255="aFRR+",DAMAS_Daily!E255,DAMAS_Daily!F255)</f>
        <v/>
      </c>
      <c r="I255" s="43">
        <f>IF(C255="aFRR+",DAMAS_Daily!G255,DAMAS_Daily!H255)</f>
        <v/>
      </c>
      <c r="J255" s="45">
        <f>IF(C255="aFRR+",DAMAS_Daily!C255,DAMAS_Daily!D255)</f>
        <v/>
      </c>
      <c r="K255" s="45">
        <f>IF(C255="aFRR+",MIN(DAMAS_Daily!C255*market_share_B*acceptance_rate*stack_activation,power_mw*hours_per_day,capacity_mwh),MIN(DAMAS_Daily!D255*market_share_B*acceptance_rate*stack_activation,power_mw*hours_per_day,capacity_mwh))</f>
        <v/>
      </c>
      <c r="L255" s="42">
        <f>IF(K255&gt;=capacity_mwh-0.01,"yes","no")</f>
        <v/>
      </c>
      <c r="M255" s="18">
        <f>IF(C255="aFRR+",(MIN(DAMAS_Daily!C255*market_share_B*acceptance_rate*stack_activation,power_mw*hours_per_day,capacity_mwh))*DAMAS_Daily!E255*activation_mult_B,(MIN(DAMAS_Daily!D255*market_share_B*acceptance_rate*stack_activation,power_mw*hours_per_day,capacity_mwh))*DAMAS_Daily!F255*activation_mult_B)</f>
        <v/>
      </c>
      <c r="N255" s="19">
        <f>F255+M255</f>
        <v/>
      </c>
    </row>
    <row r="256">
      <c r="A256" s="41">
        <f>DAMAS_Daily!A256</f>
        <v/>
      </c>
      <c r="B256" s="42">
        <f>DAMAS_Daily!B256</f>
        <v/>
      </c>
      <c r="C256" s="42">
        <f>IF((power_mw*hours_per_day*damas_afrr_up*capacity_mult_B*stack_capacity*acceptance_rate+(MIN(DAMAS_Daily!C256*market_share_B*acceptance_rate*stack_activation,power_mw*hours_per_day,capacity_mwh))*DAMAS_Daily!E256*activation_mult_B)&gt;=(power_mw*hours_per_day*damas_afrr_down*capacity_mult_B*stack_capacity*acceptance_rate+(MIN(DAMAS_Daily!D256*market_share_B*acceptance_rate*stack_activation,power_mw*hours_per_day,capacity_mwh))*DAMAS_Daily!F256*activation_mult_B),"aFRR+","aFRR-")</f>
        <v/>
      </c>
      <c r="D256" s="43">
        <f>IF(C256="aFRR+",damas_afrr_up*capacity_mult_B,damas_afrr_down*capacity_mult_B)</f>
        <v/>
      </c>
      <c r="E256" s="44">
        <f>acceptance_rate</f>
        <v/>
      </c>
      <c r="F256" s="18">
        <f>IF(C256="aFRR+",power_mw*hours_per_day*damas_afrr_up*capacity_mult_B*stack_capacity*acceptance_rate,power_mw*hours_per_day*damas_afrr_down*capacity_mult_B*stack_capacity*acceptance_rate)</f>
        <v/>
      </c>
      <c r="G256" s="42">
        <f>IF(C256="aFRR+",DAMAS_Daily!I256,DAMAS_Daily!J256)</f>
        <v/>
      </c>
      <c r="H256" s="43">
        <f>IF(C256="aFRR+",DAMAS_Daily!E256,DAMAS_Daily!F256)</f>
        <v/>
      </c>
      <c r="I256" s="43">
        <f>IF(C256="aFRR+",DAMAS_Daily!G256,DAMAS_Daily!H256)</f>
        <v/>
      </c>
      <c r="J256" s="45">
        <f>IF(C256="aFRR+",DAMAS_Daily!C256,DAMAS_Daily!D256)</f>
        <v/>
      </c>
      <c r="K256" s="45">
        <f>IF(C256="aFRR+",MIN(DAMAS_Daily!C256*market_share_B*acceptance_rate*stack_activation,power_mw*hours_per_day,capacity_mwh),MIN(DAMAS_Daily!D256*market_share_B*acceptance_rate*stack_activation,power_mw*hours_per_day,capacity_mwh))</f>
        <v/>
      </c>
      <c r="L256" s="42">
        <f>IF(K256&gt;=capacity_mwh-0.01,"yes","no")</f>
        <v/>
      </c>
      <c r="M256" s="18">
        <f>IF(C256="aFRR+",(MIN(DAMAS_Daily!C256*market_share_B*acceptance_rate*stack_activation,power_mw*hours_per_day,capacity_mwh))*DAMAS_Daily!E256*activation_mult_B,(MIN(DAMAS_Daily!D256*market_share_B*acceptance_rate*stack_activation,power_mw*hours_per_day,capacity_mwh))*DAMAS_Daily!F256*activation_mult_B)</f>
        <v/>
      </c>
      <c r="N256" s="19">
        <f>F256+M256</f>
        <v/>
      </c>
    </row>
    <row r="257">
      <c r="A257" s="41">
        <f>DAMAS_Daily!A257</f>
        <v/>
      </c>
      <c r="B257" s="42">
        <f>DAMAS_Daily!B257</f>
        <v/>
      </c>
      <c r="C257" s="42">
        <f>IF((power_mw*hours_per_day*damas_afrr_up*capacity_mult_B*stack_capacity*acceptance_rate+(MIN(DAMAS_Daily!C257*market_share_B*acceptance_rate*stack_activation,power_mw*hours_per_day,capacity_mwh))*DAMAS_Daily!E257*activation_mult_B)&gt;=(power_mw*hours_per_day*damas_afrr_down*capacity_mult_B*stack_capacity*acceptance_rate+(MIN(DAMAS_Daily!D257*market_share_B*acceptance_rate*stack_activation,power_mw*hours_per_day,capacity_mwh))*DAMAS_Daily!F257*activation_mult_B),"aFRR+","aFRR-")</f>
        <v/>
      </c>
      <c r="D257" s="43">
        <f>IF(C257="aFRR+",damas_afrr_up*capacity_mult_B,damas_afrr_down*capacity_mult_B)</f>
        <v/>
      </c>
      <c r="E257" s="44">
        <f>acceptance_rate</f>
        <v/>
      </c>
      <c r="F257" s="18">
        <f>IF(C257="aFRR+",power_mw*hours_per_day*damas_afrr_up*capacity_mult_B*stack_capacity*acceptance_rate,power_mw*hours_per_day*damas_afrr_down*capacity_mult_B*stack_capacity*acceptance_rate)</f>
        <v/>
      </c>
      <c r="G257" s="42">
        <f>IF(C257="aFRR+",DAMAS_Daily!I257,DAMAS_Daily!J257)</f>
        <v/>
      </c>
      <c r="H257" s="43">
        <f>IF(C257="aFRR+",DAMAS_Daily!E257,DAMAS_Daily!F257)</f>
        <v/>
      </c>
      <c r="I257" s="43">
        <f>IF(C257="aFRR+",DAMAS_Daily!G257,DAMAS_Daily!H257)</f>
        <v/>
      </c>
      <c r="J257" s="45">
        <f>IF(C257="aFRR+",DAMAS_Daily!C257,DAMAS_Daily!D257)</f>
        <v/>
      </c>
      <c r="K257" s="45">
        <f>IF(C257="aFRR+",MIN(DAMAS_Daily!C257*market_share_B*acceptance_rate*stack_activation,power_mw*hours_per_day,capacity_mwh),MIN(DAMAS_Daily!D257*market_share_B*acceptance_rate*stack_activation,power_mw*hours_per_day,capacity_mwh))</f>
        <v/>
      </c>
      <c r="L257" s="42">
        <f>IF(K257&gt;=capacity_mwh-0.01,"yes","no")</f>
        <v/>
      </c>
      <c r="M257" s="18">
        <f>IF(C257="aFRR+",(MIN(DAMAS_Daily!C257*market_share_B*acceptance_rate*stack_activation,power_mw*hours_per_day,capacity_mwh))*DAMAS_Daily!E257*activation_mult_B,(MIN(DAMAS_Daily!D257*market_share_B*acceptance_rate*stack_activation,power_mw*hours_per_day,capacity_mwh))*DAMAS_Daily!F257*activation_mult_B)</f>
        <v/>
      </c>
      <c r="N257" s="19">
        <f>F257+M257</f>
        <v/>
      </c>
    </row>
    <row r="258">
      <c r="A258" s="41">
        <f>DAMAS_Daily!A258</f>
        <v/>
      </c>
      <c r="B258" s="42">
        <f>DAMAS_Daily!B258</f>
        <v/>
      </c>
      <c r="C258" s="42">
        <f>IF((power_mw*hours_per_day*damas_afrr_up*capacity_mult_B*stack_capacity*acceptance_rate+(MIN(DAMAS_Daily!C258*market_share_B*acceptance_rate*stack_activation,power_mw*hours_per_day,capacity_mwh))*DAMAS_Daily!E258*activation_mult_B)&gt;=(power_mw*hours_per_day*damas_afrr_down*capacity_mult_B*stack_capacity*acceptance_rate+(MIN(DAMAS_Daily!D258*market_share_B*acceptance_rate*stack_activation,power_mw*hours_per_day,capacity_mwh))*DAMAS_Daily!F258*activation_mult_B),"aFRR+","aFRR-")</f>
        <v/>
      </c>
      <c r="D258" s="43">
        <f>IF(C258="aFRR+",damas_afrr_up*capacity_mult_B,damas_afrr_down*capacity_mult_B)</f>
        <v/>
      </c>
      <c r="E258" s="44">
        <f>acceptance_rate</f>
        <v/>
      </c>
      <c r="F258" s="18">
        <f>IF(C258="aFRR+",power_mw*hours_per_day*damas_afrr_up*capacity_mult_B*stack_capacity*acceptance_rate,power_mw*hours_per_day*damas_afrr_down*capacity_mult_B*stack_capacity*acceptance_rate)</f>
        <v/>
      </c>
      <c r="G258" s="42">
        <f>IF(C258="aFRR+",DAMAS_Daily!I258,DAMAS_Daily!J258)</f>
        <v/>
      </c>
      <c r="H258" s="43">
        <f>IF(C258="aFRR+",DAMAS_Daily!E258,DAMAS_Daily!F258)</f>
        <v/>
      </c>
      <c r="I258" s="43">
        <f>IF(C258="aFRR+",DAMAS_Daily!G258,DAMAS_Daily!H258)</f>
        <v/>
      </c>
      <c r="J258" s="45">
        <f>IF(C258="aFRR+",DAMAS_Daily!C258,DAMAS_Daily!D258)</f>
        <v/>
      </c>
      <c r="K258" s="45">
        <f>IF(C258="aFRR+",MIN(DAMAS_Daily!C258*market_share_B*acceptance_rate*stack_activation,power_mw*hours_per_day,capacity_mwh),MIN(DAMAS_Daily!D258*market_share_B*acceptance_rate*stack_activation,power_mw*hours_per_day,capacity_mwh))</f>
        <v/>
      </c>
      <c r="L258" s="42">
        <f>IF(K258&gt;=capacity_mwh-0.01,"yes","no")</f>
        <v/>
      </c>
      <c r="M258" s="18">
        <f>IF(C258="aFRR+",(MIN(DAMAS_Daily!C258*market_share_B*acceptance_rate*stack_activation,power_mw*hours_per_day,capacity_mwh))*DAMAS_Daily!E258*activation_mult_B,(MIN(DAMAS_Daily!D258*market_share_B*acceptance_rate*stack_activation,power_mw*hours_per_day,capacity_mwh))*DAMAS_Daily!F258*activation_mult_B)</f>
        <v/>
      </c>
      <c r="N258" s="19">
        <f>F258+M258</f>
        <v/>
      </c>
    </row>
    <row r="259">
      <c r="A259" s="41">
        <f>DAMAS_Daily!A259</f>
        <v/>
      </c>
      <c r="B259" s="42">
        <f>DAMAS_Daily!B259</f>
        <v/>
      </c>
      <c r="C259" s="42">
        <f>IF((power_mw*hours_per_day*damas_afrr_up*capacity_mult_B*stack_capacity*acceptance_rate+(MIN(DAMAS_Daily!C259*market_share_B*acceptance_rate*stack_activation,power_mw*hours_per_day,capacity_mwh))*DAMAS_Daily!E259*activation_mult_B)&gt;=(power_mw*hours_per_day*damas_afrr_down*capacity_mult_B*stack_capacity*acceptance_rate+(MIN(DAMAS_Daily!D259*market_share_B*acceptance_rate*stack_activation,power_mw*hours_per_day,capacity_mwh))*DAMAS_Daily!F259*activation_mult_B),"aFRR+","aFRR-")</f>
        <v/>
      </c>
      <c r="D259" s="43">
        <f>IF(C259="aFRR+",damas_afrr_up*capacity_mult_B,damas_afrr_down*capacity_mult_B)</f>
        <v/>
      </c>
      <c r="E259" s="44">
        <f>acceptance_rate</f>
        <v/>
      </c>
      <c r="F259" s="18">
        <f>IF(C259="aFRR+",power_mw*hours_per_day*damas_afrr_up*capacity_mult_B*stack_capacity*acceptance_rate,power_mw*hours_per_day*damas_afrr_down*capacity_mult_B*stack_capacity*acceptance_rate)</f>
        <v/>
      </c>
      <c r="G259" s="42">
        <f>IF(C259="aFRR+",DAMAS_Daily!I259,DAMAS_Daily!J259)</f>
        <v/>
      </c>
      <c r="H259" s="43">
        <f>IF(C259="aFRR+",DAMAS_Daily!E259,DAMAS_Daily!F259)</f>
        <v/>
      </c>
      <c r="I259" s="43">
        <f>IF(C259="aFRR+",DAMAS_Daily!G259,DAMAS_Daily!H259)</f>
        <v/>
      </c>
      <c r="J259" s="45">
        <f>IF(C259="aFRR+",DAMAS_Daily!C259,DAMAS_Daily!D259)</f>
        <v/>
      </c>
      <c r="K259" s="45">
        <f>IF(C259="aFRR+",MIN(DAMAS_Daily!C259*market_share_B*acceptance_rate*stack_activation,power_mw*hours_per_day,capacity_mwh),MIN(DAMAS_Daily!D259*market_share_B*acceptance_rate*stack_activation,power_mw*hours_per_day,capacity_mwh))</f>
        <v/>
      </c>
      <c r="L259" s="42">
        <f>IF(K259&gt;=capacity_mwh-0.01,"yes","no")</f>
        <v/>
      </c>
      <c r="M259" s="18">
        <f>IF(C259="aFRR+",(MIN(DAMAS_Daily!C259*market_share_B*acceptance_rate*stack_activation,power_mw*hours_per_day,capacity_mwh))*DAMAS_Daily!E259*activation_mult_B,(MIN(DAMAS_Daily!D259*market_share_B*acceptance_rate*stack_activation,power_mw*hours_per_day,capacity_mwh))*DAMAS_Daily!F259*activation_mult_B)</f>
        <v/>
      </c>
      <c r="N259" s="19">
        <f>F259+M259</f>
        <v/>
      </c>
    </row>
    <row r="260">
      <c r="A260" s="41">
        <f>DAMAS_Daily!A260</f>
        <v/>
      </c>
      <c r="B260" s="42">
        <f>DAMAS_Daily!B260</f>
        <v/>
      </c>
      <c r="C260" s="42">
        <f>IF((power_mw*hours_per_day*damas_afrr_up*capacity_mult_B*stack_capacity*acceptance_rate+(MIN(DAMAS_Daily!C260*market_share_B*acceptance_rate*stack_activation,power_mw*hours_per_day,capacity_mwh))*DAMAS_Daily!E260*activation_mult_B)&gt;=(power_mw*hours_per_day*damas_afrr_down*capacity_mult_B*stack_capacity*acceptance_rate+(MIN(DAMAS_Daily!D260*market_share_B*acceptance_rate*stack_activation,power_mw*hours_per_day,capacity_mwh))*DAMAS_Daily!F260*activation_mult_B),"aFRR+","aFRR-")</f>
        <v/>
      </c>
      <c r="D260" s="43">
        <f>IF(C260="aFRR+",damas_afrr_up*capacity_mult_B,damas_afrr_down*capacity_mult_B)</f>
        <v/>
      </c>
      <c r="E260" s="44">
        <f>acceptance_rate</f>
        <v/>
      </c>
      <c r="F260" s="18">
        <f>IF(C260="aFRR+",power_mw*hours_per_day*damas_afrr_up*capacity_mult_B*stack_capacity*acceptance_rate,power_mw*hours_per_day*damas_afrr_down*capacity_mult_B*stack_capacity*acceptance_rate)</f>
        <v/>
      </c>
      <c r="G260" s="42">
        <f>IF(C260="aFRR+",DAMAS_Daily!I260,DAMAS_Daily!J260)</f>
        <v/>
      </c>
      <c r="H260" s="43">
        <f>IF(C260="aFRR+",DAMAS_Daily!E260,DAMAS_Daily!F260)</f>
        <v/>
      </c>
      <c r="I260" s="43">
        <f>IF(C260="aFRR+",DAMAS_Daily!G260,DAMAS_Daily!H260)</f>
        <v/>
      </c>
      <c r="J260" s="45">
        <f>IF(C260="aFRR+",DAMAS_Daily!C260,DAMAS_Daily!D260)</f>
        <v/>
      </c>
      <c r="K260" s="45">
        <f>IF(C260="aFRR+",MIN(DAMAS_Daily!C260*market_share_B*acceptance_rate*stack_activation,power_mw*hours_per_day,capacity_mwh),MIN(DAMAS_Daily!D260*market_share_B*acceptance_rate*stack_activation,power_mw*hours_per_day,capacity_mwh))</f>
        <v/>
      </c>
      <c r="L260" s="42">
        <f>IF(K260&gt;=capacity_mwh-0.01,"yes","no")</f>
        <v/>
      </c>
      <c r="M260" s="18">
        <f>IF(C260="aFRR+",(MIN(DAMAS_Daily!C260*market_share_B*acceptance_rate*stack_activation,power_mw*hours_per_day,capacity_mwh))*DAMAS_Daily!E260*activation_mult_B,(MIN(DAMAS_Daily!D260*market_share_B*acceptance_rate*stack_activation,power_mw*hours_per_day,capacity_mwh))*DAMAS_Daily!F260*activation_mult_B)</f>
        <v/>
      </c>
      <c r="N260" s="19">
        <f>F260+M260</f>
        <v/>
      </c>
    </row>
    <row r="261">
      <c r="A261" s="41">
        <f>DAMAS_Daily!A261</f>
        <v/>
      </c>
      <c r="B261" s="42">
        <f>DAMAS_Daily!B261</f>
        <v/>
      </c>
      <c r="C261" s="42">
        <f>IF((power_mw*hours_per_day*damas_afrr_up*capacity_mult_B*stack_capacity*acceptance_rate+(MIN(DAMAS_Daily!C261*market_share_B*acceptance_rate*stack_activation,power_mw*hours_per_day,capacity_mwh))*DAMAS_Daily!E261*activation_mult_B)&gt;=(power_mw*hours_per_day*damas_afrr_down*capacity_mult_B*stack_capacity*acceptance_rate+(MIN(DAMAS_Daily!D261*market_share_B*acceptance_rate*stack_activation,power_mw*hours_per_day,capacity_mwh))*DAMAS_Daily!F261*activation_mult_B),"aFRR+","aFRR-")</f>
        <v/>
      </c>
      <c r="D261" s="43">
        <f>IF(C261="aFRR+",damas_afrr_up*capacity_mult_B,damas_afrr_down*capacity_mult_B)</f>
        <v/>
      </c>
      <c r="E261" s="44">
        <f>acceptance_rate</f>
        <v/>
      </c>
      <c r="F261" s="18">
        <f>IF(C261="aFRR+",power_mw*hours_per_day*damas_afrr_up*capacity_mult_B*stack_capacity*acceptance_rate,power_mw*hours_per_day*damas_afrr_down*capacity_mult_B*stack_capacity*acceptance_rate)</f>
        <v/>
      </c>
      <c r="G261" s="42">
        <f>IF(C261="aFRR+",DAMAS_Daily!I261,DAMAS_Daily!J261)</f>
        <v/>
      </c>
      <c r="H261" s="43">
        <f>IF(C261="aFRR+",DAMAS_Daily!E261,DAMAS_Daily!F261)</f>
        <v/>
      </c>
      <c r="I261" s="43">
        <f>IF(C261="aFRR+",DAMAS_Daily!G261,DAMAS_Daily!H261)</f>
        <v/>
      </c>
      <c r="J261" s="45">
        <f>IF(C261="aFRR+",DAMAS_Daily!C261,DAMAS_Daily!D261)</f>
        <v/>
      </c>
      <c r="K261" s="45">
        <f>IF(C261="aFRR+",MIN(DAMAS_Daily!C261*market_share_B*acceptance_rate*stack_activation,power_mw*hours_per_day,capacity_mwh),MIN(DAMAS_Daily!D261*market_share_B*acceptance_rate*stack_activation,power_mw*hours_per_day,capacity_mwh))</f>
        <v/>
      </c>
      <c r="L261" s="42">
        <f>IF(K261&gt;=capacity_mwh-0.01,"yes","no")</f>
        <v/>
      </c>
      <c r="M261" s="18">
        <f>IF(C261="aFRR+",(MIN(DAMAS_Daily!C261*market_share_B*acceptance_rate*stack_activation,power_mw*hours_per_day,capacity_mwh))*DAMAS_Daily!E261*activation_mult_B,(MIN(DAMAS_Daily!D261*market_share_B*acceptance_rate*stack_activation,power_mw*hours_per_day,capacity_mwh))*DAMAS_Daily!F261*activation_mult_B)</f>
        <v/>
      </c>
      <c r="N261" s="19">
        <f>F261+M261</f>
        <v/>
      </c>
    </row>
    <row r="262">
      <c r="A262" s="41">
        <f>DAMAS_Daily!A262</f>
        <v/>
      </c>
      <c r="B262" s="42">
        <f>DAMAS_Daily!B262</f>
        <v/>
      </c>
      <c r="C262" s="42">
        <f>IF((power_mw*hours_per_day*damas_afrr_up*capacity_mult_B*stack_capacity*acceptance_rate+(MIN(DAMAS_Daily!C262*market_share_B*acceptance_rate*stack_activation,power_mw*hours_per_day,capacity_mwh))*DAMAS_Daily!E262*activation_mult_B)&gt;=(power_mw*hours_per_day*damas_afrr_down*capacity_mult_B*stack_capacity*acceptance_rate+(MIN(DAMAS_Daily!D262*market_share_B*acceptance_rate*stack_activation,power_mw*hours_per_day,capacity_mwh))*DAMAS_Daily!F262*activation_mult_B),"aFRR+","aFRR-")</f>
        <v/>
      </c>
      <c r="D262" s="43">
        <f>IF(C262="aFRR+",damas_afrr_up*capacity_mult_B,damas_afrr_down*capacity_mult_B)</f>
        <v/>
      </c>
      <c r="E262" s="44">
        <f>acceptance_rate</f>
        <v/>
      </c>
      <c r="F262" s="18">
        <f>IF(C262="aFRR+",power_mw*hours_per_day*damas_afrr_up*capacity_mult_B*stack_capacity*acceptance_rate,power_mw*hours_per_day*damas_afrr_down*capacity_mult_B*stack_capacity*acceptance_rate)</f>
        <v/>
      </c>
      <c r="G262" s="42">
        <f>IF(C262="aFRR+",DAMAS_Daily!I262,DAMAS_Daily!J262)</f>
        <v/>
      </c>
      <c r="H262" s="43">
        <f>IF(C262="aFRR+",DAMAS_Daily!E262,DAMAS_Daily!F262)</f>
        <v/>
      </c>
      <c r="I262" s="43">
        <f>IF(C262="aFRR+",DAMAS_Daily!G262,DAMAS_Daily!H262)</f>
        <v/>
      </c>
      <c r="J262" s="45">
        <f>IF(C262="aFRR+",DAMAS_Daily!C262,DAMAS_Daily!D262)</f>
        <v/>
      </c>
      <c r="K262" s="45">
        <f>IF(C262="aFRR+",MIN(DAMAS_Daily!C262*market_share_B*acceptance_rate*stack_activation,power_mw*hours_per_day,capacity_mwh),MIN(DAMAS_Daily!D262*market_share_B*acceptance_rate*stack_activation,power_mw*hours_per_day,capacity_mwh))</f>
        <v/>
      </c>
      <c r="L262" s="42">
        <f>IF(K262&gt;=capacity_mwh-0.01,"yes","no")</f>
        <v/>
      </c>
      <c r="M262" s="18">
        <f>IF(C262="aFRR+",(MIN(DAMAS_Daily!C262*market_share_B*acceptance_rate*stack_activation,power_mw*hours_per_day,capacity_mwh))*DAMAS_Daily!E262*activation_mult_B,(MIN(DAMAS_Daily!D262*market_share_B*acceptance_rate*stack_activation,power_mw*hours_per_day,capacity_mwh))*DAMAS_Daily!F262*activation_mult_B)</f>
        <v/>
      </c>
      <c r="N262" s="19">
        <f>F262+M262</f>
        <v/>
      </c>
    </row>
    <row r="263">
      <c r="A263" s="41">
        <f>DAMAS_Daily!A263</f>
        <v/>
      </c>
      <c r="B263" s="42">
        <f>DAMAS_Daily!B263</f>
        <v/>
      </c>
      <c r="C263" s="42">
        <f>IF((power_mw*hours_per_day*damas_afrr_up*capacity_mult_B*stack_capacity*acceptance_rate+(MIN(DAMAS_Daily!C263*market_share_B*acceptance_rate*stack_activation,power_mw*hours_per_day,capacity_mwh))*DAMAS_Daily!E263*activation_mult_B)&gt;=(power_mw*hours_per_day*damas_afrr_down*capacity_mult_B*stack_capacity*acceptance_rate+(MIN(DAMAS_Daily!D263*market_share_B*acceptance_rate*stack_activation,power_mw*hours_per_day,capacity_mwh))*DAMAS_Daily!F263*activation_mult_B),"aFRR+","aFRR-")</f>
        <v/>
      </c>
      <c r="D263" s="43">
        <f>IF(C263="aFRR+",damas_afrr_up*capacity_mult_B,damas_afrr_down*capacity_mult_B)</f>
        <v/>
      </c>
      <c r="E263" s="44">
        <f>acceptance_rate</f>
        <v/>
      </c>
      <c r="F263" s="18">
        <f>IF(C263="aFRR+",power_mw*hours_per_day*damas_afrr_up*capacity_mult_B*stack_capacity*acceptance_rate,power_mw*hours_per_day*damas_afrr_down*capacity_mult_B*stack_capacity*acceptance_rate)</f>
        <v/>
      </c>
      <c r="G263" s="42">
        <f>IF(C263="aFRR+",DAMAS_Daily!I263,DAMAS_Daily!J263)</f>
        <v/>
      </c>
      <c r="H263" s="43">
        <f>IF(C263="aFRR+",DAMAS_Daily!E263,DAMAS_Daily!F263)</f>
        <v/>
      </c>
      <c r="I263" s="43">
        <f>IF(C263="aFRR+",DAMAS_Daily!G263,DAMAS_Daily!H263)</f>
        <v/>
      </c>
      <c r="J263" s="45">
        <f>IF(C263="aFRR+",DAMAS_Daily!C263,DAMAS_Daily!D263)</f>
        <v/>
      </c>
      <c r="K263" s="45">
        <f>IF(C263="aFRR+",MIN(DAMAS_Daily!C263*market_share_B*acceptance_rate*stack_activation,power_mw*hours_per_day,capacity_mwh),MIN(DAMAS_Daily!D263*market_share_B*acceptance_rate*stack_activation,power_mw*hours_per_day,capacity_mwh))</f>
        <v/>
      </c>
      <c r="L263" s="42">
        <f>IF(K263&gt;=capacity_mwh-0.01,"yes","no")</f>
        <v/>
      </c>
      <c r="M263" s="18">
        <f>IF(C263="aFRR+",(MIN(DAMAS_Daily!C263*market_share_B*acceptance_rate*stack_activation,power_mw*hours_per_day,capacity_mwh))*DAMAS_Daily!E263*activation_mult_B,(MIN(DAMAS_Daily!D263*market_share_B*acceptance_rate*stack_activation,power_mw*hours_per_day,capacity_mwh))*DAMAS_Daily!F263*activation_mult_B)</f>
        <v/>
      </c>
      <c r="N263" s="19">
        <f>F263+M263</f>
        <v/>
      </c>
    </row>
    <row r="264">
      <c r="A264" s="41">
        <f>DAMAS_Daily!A264</f>
        <v/>
      </c>
      <c r="B264" s="42">
        <f>DAMAS_Daily!B264</f>
        <v/>
      </c>
      <c r="C264" s="42">
        <f>IF((power_mw*hours_per_day*damas_afrr_up*capacity_mult_B*stack_capacity*acceptance_rate+(MIN(DAMAS_Daily!C264*market_share_B*acceptance_rate*stack_activation,power_mw*hours_per_day,capacity_mwh))*DAMAS_Daily!E264*activation_mult_B)&gt;=(power_mw*hours_per_day*damas_afrr_down*capacity_mult_B*stack_capacity*acceptance_rate+(MIN(DAMAS_Daily!D264*market_share_B*acceptance_rate*stack_activation,power_mw*hours_per_day,capacity_mwh))*DAMAS_Daily!F264*activation_mult_B),"aFRR+","aFRR-")</f>
        <v/>
      </c>
      <c r="D264" s="43">
        <f>IF(C264="aFRR+",damas_afrr_up*capacity_mult_B,damas_afrr_down*capacity_mult_B)</f>
        <v/>
      </c>
      <c r="E264" s="44">
        <f>acceptance_rate</f>
        <v/>
      </c>
      <c r="F264" s="18">
        <f>IF(C264="aFRR+",power_mw*hours_per_day*damas_afrr_up*capacity_mult_B*stack_capacity*acceptance_rate,power_mw*hours_per_day*damas_afrr_down*capacity_mult_B*stack_capacity*acceptance_rate)</f>
        <v/>
      </c>
      <c r="G264" s="42">
        <f>IF(C264="aFRR+",DAMAS_Daily!I264,DAMAS_Daily!J264)</f>
        <v/>
      </c>
      <c r="H264" s="43">
        <f>IF(C264="aFRR+",DAMAS_Daily!E264,DAMAS_Daily!F264)</f>
        <v/>
      </c>
      <c r="I264" s="43">
        <f>IF(C264="aFRR+",DAMAS_Daily!G264,DAMAS_Daily!H264)</f>
        <v/>
      </c>
      <c r="J264" s="45">
        <f>IF(C264="aFRR+",DAMAS_Daily!C264,DAMAS_Daily!D264)</f>
        <v/>
      </c>
      <c r="K264" s="45">
        <f>IF(C264="aFRR+",MIN(DAMAS_Daily!C264*market_share_B*acceptance_rate*stack_activation,power_mw*hours_per_day,capacity_mwh),MIN(DAMAS_Daily!D264*market_share_B*acceptance_rate*stack_activation,power_mw*hours_per_day,capacity_mwh))</f>
        <v/>
      </c>
      <c r="L264" s="42">
        <f>IF(K264&gt;=capacity_mwh-0.01,"yes","no")</f>
        <v/>
      </c>
      <c r="M264" s="18">
        <f>IF(C264="aFRR+",(MIN(DAMAS_Daily!C264*market_share_B*acceptance_rate*stack_activation,power_mw*hours_per_day,capacity_mwh))*DAMAS_Daily!E264*activation_mult_B,(MIN(DAMAS_Daily!D264*market_share_B*acceptance_rate*stack_activation,power_mw*hours_per_day,capacity_mwh))*DAMAS_Daily!F264*activation_mult_B)</f>
        <v/>
      </c>
      <c r="N264" s="19">
        <f>F264+M264</f>
        <v/>
      </c>
    </row>
    <row r="265">
      <c r="A265" s="41">
        <f>DAMAS_Daily!A265</f>
        <v/>
      </c>
      <c r="B265" s="42">
        <f>DAMAS_Daily!B265</f>
        <v/>
      </c>
      <c r="C265" s="42">
        <f>IF((power_mw*hours_per_day*damas_afrr_up*capacity_mult_B*stack_capacity*acceptance_rate+(MIN(DAMAS_Daily!C265*market_share_B*acceptance_rate*stack_activation,power_mw*hours_per_day,capacity_mwh))*DAMAS_Daily!E265*activation_mult_B)&gt;=(power_mw*hours_per_day*damas_afrr_down*capacity_mult_B*stack_capacity*acceptance_rate+(MIN(DAMAS_Daily!D265*market_share_B*acceptance_rate*stack_activation,power_mw*hours_per_day,capacity_mwh))*DAMAS_Daily!F265*activation_mult_B),"aFRR+","aFRR-")</f>
        <v/>
      </c>
      <c r="D265" s="43">
        <f>IF(C265="aFRR+",damas_afrr_up*capacity_mult_B,damas_afrr_down*capacity_mult_B)</f>
        <v/>
      </c>
      <c r="E265" s="44">
        <f>acceptance_rate</f>
        <v/>
      </c>
      <c r="F265" s="18">
        <f>IF(C265="aFRR+",power_mw*hours_per_day*damas_afrr_up*capacity_mult_B*stack_capacity*acceptance_rate,power_mw*hours_per_day*damas_afrr_down*capacity_mult_B*stack_capacity*acceptance_rate)</f>
        <v/>
      </c>
      <c r="G265" s="42">
        <f>IF(C265="aFRR+",DAMAS_Daily!I265,DAMAS_Daily!J265)</f>
        <v/>
      </c>
      <c r="H265" s="43">
        <f>IF(C265="aFRR+",DAMAS_Daily!E265,DAMAS_Daily!F265)</f>
        <v/>
      </c>
      <c r="I265" s="43">
        <f>IF(C265="aFRR+",DAMAS_Daily!G265,DAMAS_Daily!H265)</f>
        <v/>
      </c>
      <c r="J265" s="45">
        <f>IF(C265="aFRR+",DAMAS_Daily!C265,DAMAS_Daily!D265)</f>
        <v/>
      </c>
      <c r="K265" s="45">
        <f>IF(C265="aFRR+",MIN(DAMAS_Daily!C265*market_share_B*acceptance_rate*stack_activation,power_mw*hours_per_day,capacity_mwh),MIN(DAMAS_Daily!D265*market_share_B*acceptance_rate*stack_activation,power_mw*hours_per_day,capacity_mwh))</f>
        <v/>
      </c>
      <c r="L265" s="42">
        <f>IF(K265&gt;=capacity_mwh-0.01,"yes","no")</f>
        <v/>
      </c>
      <c r="M265" s="18">
        <f>IF(C265="aFRR+",(MIN(DAMAS_Daily!C265*market_share_B*acceptance_rate*stack_activation,power_mw*hours_per_day,capacity_mwh))*DAMAS_Daily!E265*activation_mult_B,(MIN(DAMAS_Daily!D265*market_share_B*acceptance_rate*stack_activation,power_mw*hours_per_day,capacity_mwh))*DAMAS_Daily!F265*activation_mult_B)</f>
        <v/>
      </c>
      <c r="N265" s="19">
        <f>F265+M265</f>
        <v/>
      </c>
    </row>
    <row r="266">
      <c r="A266" s="41">
        <f>DAMAS_Daily!A266</f>
        <v/>
      </c>
      <c r="B266" s="42">
        <f>DAMAS_Daily!B266</f>
        <v/>
      </c>
      <c r="C266" s="42">
        <f>IF((power_mw*hours_per_day*damas_afrr_up*capacity_mult_B*stack_capacity*acceptance_rate+(MIN(DAMAS_Daily!C266*market_share_B*acceptance_rate*stack_activation,power_mw*hours_per_day,capacity_mwh))*DAMAS_Daily!E266*activation_mult_B)&gt;=(power_mw*hours_per_day*damas_afrr_down*capacity_mult_B*stack_capacity*acceptance_rate+(MIN(DAMAS_Daily!D266*market_share_B*acceptance_rate*stack_activation,power_mw*hours_per_day,capacity_mwh))*DAMAS_Daily!F266*activation_mult_B),"aFRR+","aFRR-")</f>
        <v/>
      </c>
      <c r="D266" s="43">
        <f>IF(C266="aFRR+",damas_afrr_up*capacity_mult_B,damas_afrr_down*capacity_mult_B)</f>
        <v/>
      </c>
      <c r="E266" s="44">
        <f>acceptance_rate</f>
        <v/>
      </c>
      <c r="F266" s="18">
        <f>IF(C266="aFRR+",power_mw*hours_per_day*damas_afrr_up*capacity_mult_B*stack_capacity*acceptance_rate,power_mw*hours_per_day*damas_afrr_down*capacity_mult_B*stack_capacity*acceptance_rate)</f>
        <v/>
      </c>
      <c r="G266" s="42">
        <f>IF(C266="aFRR+",DAMAS_Daily!I266,DAMAS_Daily!J266)</f>
        <v/>
      </c>
      <c r="H266" s="43">
        <f>IF(C266="aFRR+",DAMAS_Daily!E266,DAMAS_Daily!F266)</f>
        <v/>
      </c>
      <c r="I266" s="43">
        <f>IF(C266="aFRR+",DAMAS_Daily!G266,DAMAS_Daily!H266)</f>
        <v/>
      </c>
      <c r="J266" s="45">
        <f>IF(C266="aFRR+",DAMAS_Daily!C266,DAMAS_Daily!D266)</f>
        <v/>
      </c>
      <c r="K266" s="45">
        <f>IF(C266="aFRR+",MIN(DAMAS_Daily!C266*market_share_B*acceptance_rate*stack_activation,power_mw*hours_per_day,capacity_mwh),MIN(DAMAS_Daily!D266*market_share_B*acceptance_rate*stack_activation,power_mw*hours_per_day,capacity_mwh))</f>
        <v/>
      </c>
      <c r="L266" s="42">
        <f>IF(K266&gt;=capacity_mwh-0.01,"yes","no")</f>
        <v/>
      </c>
      <c r="M266" s="18">
        <f>IF(C266="aFRR+",(MIN(DAMAS_Daily!C266*market_share_B*acceptance_rate*stack_activation,power_mw*hours_per_day,capacity_mwh))*DAMAS_Daily!E266*activation_mult_B,(MIN(DAMAS_Daily!D266*market_share_B*acceptance_rate*stack_activation,power_mw*hours_per_day,capacity_mwh))*DAMAS_Daily!F266*activation_mult_B)</f>
        <v/>
      </c>
      <c r="N266" s="19">
        <f>F266+M266</f>
        <v/>
      </c>
    </row>
    <row r="267">
      <c r="A267" s="41">
        <f>DAMAS_Daily!A267</f>
        <v/>
      </c>
      <c r="B267" s="42">
        <f>DAMAS_Daily!B267</f>
        <v/>
      </c>
      <c r="C267" s="42">
        <f>IF((power_mw*hours_per_day*damas_afrr_up*capacity_mult_B*stack_capacity*acceptance_rate+(MIN(DAMAS_Daily!C267*market_share_B*acceptance_rate*stack_activation,power_mw*hours_per_day,capacity_mwh))*DAMAS_Daily!E267*activation_mult_B)&gt;=(power_mw*hours_per_day*damas_afrr_down*capacity_mult_B*stack_capacity*acceptance_rate+(MIN(DAMAS_Daily!D267*market_share_B*acceptance_rate*stack_activation,power_mw*hours_per_day,capacity_mwh))*DAMAS_Daily!F267*activation_mult_B),"aFRR+","aFRR-")</f>
        <v/>
      </c>
      <c r="D267" s="43">
        <f>IF(C267="aFRR+",damas_afrr_up*capacity_mult_B,damas_afrr_down*capacity_mult_B)</f>
        <v/>
      </c>
      <c r="E267" s="44">
        <f>acceptance_rate</f>
        <v/>
      </c>
      <c r="F267" s="18">
        <f>IF(C267="aFRR+",power_mw*hours_per_day*damas_afrr_up*capacity_mult_B*stack_capacity*acceptance_rate,power_mw*hours_per_day*damas_afrr_down*capacity_mult_B*stack_capacity*acceptance_rate)</f>
        <v/>
      </c>
      <c r="G267" s="42">
        <f>IF(C267="aFRR+",DAMAS_Daily!I267,DAMAS_Daily!J267)</f>
        <v/>
      </c>
      <c r="H267" s="43">
        <f>IF(C267="aFRR+",DAMAS_Daily!E267,DAMAS_Daily!F267)</f>
        <v/>
      </c>
      <c r="I267" s="43">
        <f>IF(C267="aFRR+",DAMAS_Daily!G267,DAMAS_Daily!H267)</f>
        <v/>
      </c>
      <c r="J267" s="45">
        <f>IF(C267="aFRR+",DAMAS_Daily!C267,DAMAS_Daily!D267)</f>
        <v/>
      </c>
      <c r="K267" s="45">
        <f>IF(C267="aFRR+",MIN(DAMAS_Daily!C267*market_share_B*acceptance_rate*stack_activation,power_mw*hours_per_day,capacity_mwh),MIN(DAMAS_Daily!D267*market_share_B*acceptance_rate*stack_activation,power_mw*hours_per_day,capacity_mwh))</f>
        <v/>
      </c>
      <c r="L267" s="42">
        <f>IF(K267&gt;=capacity_mwh-0.01,"yes","no")</f>
        <v/>
      </c>
      <c r="M267" s="18">
        <f>IF(C267="aFRR+",(MIN(DAMAS_Daily!C267*market_share_B*acceptance_rate*stack_activation,power_mw*hours_per_day,capacity_mwh))*DAMAS_Daily!E267*activation_mult_B,(MIN(DAMAS_Daily!D267*market_share_B*acceptance_rate*stack_activation,power_mw*hours_per_day,capacity_mwh))*DAMAS_Daily!F267*activation_mult_B)</f>
        <v/>
      </c>
      <c r="N267" s="19">
        <f>F267+M267</f>
        <v/>
      </c>
    </row>
    <row r="268">
      <c r="A268" s="41">
        <f>DAMAS_Daily!A268</f>
        <v/>
      </c>
      <c r="B268" s="42">
        <f>DAMAS_Daily!B268</f>
        <v/>
      </c>
      <c r="C268" s="42">
        <f>IF((power_mw*hours_per_day*damas_afrr_up*capacity_mult_B*stack_capacity*acceptance_rate+(MIN(DAMAS_Daily!C268*market_share_B*acceptance_rate*stack_activation,power_mw*hours_per_day,capacity_mwh))*DAMAS_Daily!E268*activation_mult_B)&gt;=(power_mw*hours_per_day*damas_afrr_down*capacity_mult_B*stack_capacity*acceptance_rate+(MIN(DAMAS_Daily!D268*market_share_B*acceptance_rate*stack_activation,power_mw*hours_per_day,capacity_mwh))*DAMAS_Daily!F268*activation_mult_B),"aFRR+","aFRR-")</f>
        <v/>
      </c>
      <c r="D268" s="43">
        <f>IF(C268="aFRR+",damas_afrr_up*capacity_mult_B,damas_afrr_down*capacity_mult_B)</f>
        <v/>
      </c>
      <c r="E268" s="44">
        <f>acceptance_rate</f>
        <v/>
      </c>
      <c r="F268" s="18">
        <f>IF(C268="aFRR+",power_mw*hours_per_day*damas_afrr_up*capacity_mult_B*stack_capacity*acceptance_rate,power_mw*hours_per_day*damas_afrr_down*capacity_mult_B*stack_capacity*acceptance_rate)</f>
        <v/>
      </c>
      <c r="G268" s="42">
        <f>IF(C268="aFRR+",DAMAS_Daily!I268,DAMAS_Daily!J268)</f>
        <v/>
      </c>
      <c r="H268" s="43">
        <f>IF(C268="aFRR+",DAMAS_Daily!E268,DAMAS_Daily!F268)</f>
        <v/>
      </c>
      <c r="I268" s="43">
        <f>IF(C268="aFRR+",DAMAS_Daily!G268,DAMAS_Daily!H268)</f>
        <v/>
      </c>
      <c r="J268" s="45">
        <f>IF(C268="aFRR+",DAMAS_Daily!C268,DAMAS_Daily!D268)</f>
        <v/>
      </c>
      <c r="K268" s="45">
        <f>IF(C268="aFRR+",MIN(DAMAS_Daily!C268*market_share_B*acceptance_rate*stack_activation,power_mw*hours_per_day,capacity_mwh),MIN(DAMAS_Daily!D268*market_share_B*acceptance_rate*stack_activation,power_mw*hours_per_day,capacity_mwh))</f>
        <v/>
      </c>
      <c r="L268" s="42">
        <f>IF(K268&gt;=capacity_mwh-0.01,"yes","no")</f>
        <v/>
      </c>
      <c r="M268" s="18">
        <f>IF(C268="aFRR+",(MIN(DAMAS_Daily!C268*market_share_B*acceptance_rate*stack_activation,power_mw*hours_per_day,capacity_mwh))*DAMAS_Daily!E268*activation_mult_B,(MIN(DAMAS_Daily!D268*market_share_B*acceptance_rate*stack_activation,power_mw*hours_per_day,capacity_mwh))*DAMAS_Daily!F268*activation_mult_B)</f>
        <v/>
      </c>
      <c r="N268" s="19">
        <f>F268+M268</f>
        <v/>
      </c>
    </row>
    <row r="269">
      <c r="A269" s="41">
        <f>DAMAS_Daily!A269</f>
        <v/>
      </c>
      <c r="B269" s="42">
        <f>DAMAS_Daily!B269</f>
        <v/>
      </c>
      <c r="C269" s="42">
        <f>IF((power_mw*hours_per_day*damas_afrr_up*capacity_mult_B*stack_capacity*acceptance_rate+(MIN(DAMAS_Daily!C269*market_share_B*acceptance_rate*stack_activation,power_mw*hours_per_day,capacity_mwh))*DAMAS_Daily!E269*activation_mult_B)&gt;=(power_mw*hours_per_day*damas_afrr_down*capacity_mult_B*stack_capacity*acceptance_rate+(MIN(DAMAS_Daily!D269*market_share_B*acceptance_rate*stack_activation,power_mw*hours_per_day,capacity_mwh))*DAMAS_Daily!F269*activation_mult_B),"aFRR+","aFRR-")</f>
        <v/>
      </c>
      <c r="D269" s="43">
        <f>IF(C269="aFRR+",damas_afrr_up*capacity_mult_B,damas_afrr_down*capacity_mult_B)</f>
        <v/>
      </c>
      <c r="E269" s="44">
        <f>acceptance_rate</f>
        <v/>
      </c>
      <c r="F269" s="18">
        <f>IF(C269="aFRR+",power_mw*hours_per_day*damas_afrr_up*capacity_mult_B*stack_capacity*acceptance_rate,power_mw*hours_per_day*damas_afrr_down*capacity_mult_B*stack_capacity*acceptance_rate)</f>
        <v/>
      </c>
      <c r="G269" s="42">
        <f>IF(C269="aFRR+",DAMAS_Daily!I269,DAMAS_Daily!J269)</f>
        <v/>
      </c>
      <c r="H269" s="43">
        <f>IF(C269="aFRR+",DAMAS_Daily!E269,DAMAS_Daily!F269)</f>
        <v/>
      </c>
      <c r="I269" s="43">
        <f>IF(C269="aFRR+",DAMAS_Daily!G269,DAMAS_Daily!H269)</f>
        <v/>
      </c>
      <c r="J269" s="45">
        <f>IF(C269="aFRR+",DAMAS_Daily!C269,DAMAS_Daily!D269)</f>
        <v/>
      </c>
      <c r="K269" s="45">
        <f>IF(C269="aFRR+",MIN(DAMAS_Daily!C269*market_share_B*acceptance_rate*stack_activation,power_mw*hours_per_day,capacity_mwh),MIN(DAMAS_Daily!D269*market_share_B*acceptance_rate*stack_activation,power_mw*hours_per_day,capacity_mwh))</f>
        <v/>
      </c>
      <c r="L269" s="42">
        <f>IF(K269&gt;=capacity_mwh-0.01,"yes","no")</f>
        <v/>
      </c>
      <c r="M269" s="18">
        <f>IF(C269="aFRR+",(MIN(DAMAS_Daily!C269*market_share_B*acceptance_rate*stack_activation,power_mw*hours_per_day,capacity_mwh))*DAMAS_Daily!E269*activation_mult_B,(MIN(DAMAS_Daily!D269*market_share_B*acceptance_rate*stack_activation,power_mw*hours_per_day,capacity_mwh))*DAMAS_Daily!F269*activation_mult_B)</f>
        <v/>
      </c>
      <c r="N269" s="19">
        <f>F269+M269</f>
        <v/>
      </c>
    </row>
    <row r="270">
      <c r="A270" s="41">
        <f>DAMAS_Daily!A270</f>
        <v/>
      </c>
      <c r="B270" s="42">
        <f>DAMAS_Daily!B270</f>
        <v/>
      </c>
      <c r="C270" s="42">
        <f>IF((power_mw*hours_per_day*damas_afrr_up*capacity_mult_B*stack_capacity*acceptance_rate+(MIN(DAMAS_Daily!C270*market_share_B*acceptance_rate*stack_activation,power_mw*hours_per_day,capacity_mwh))*DAMAS_Daily!E270*activation_mult_B)&gt;=(power_mw*hours_per_day*damas_afrr_down*capacity_mult_B*stack_capacity*acceptance_rate+(MIN(DAMAS_Daily!D270*market_share_B*acceptance_rate*stack_activation,power_mw*hours_per_day,capacity_mwh))*DAMAS_Daily!F270*activation_mult_B),"aFRR+","aFRR-")</f>
        <v/>
      </c>
      <c r="D270" s="43">
        <f>IF(C270="aFRR+",damas_afrr_up*capacity_mult_B,damas_afrr_down*capacity_mult_B)</f>
        <v/>
      </c>
      <c r="E270" s="44">
        <f>acceptance_rate</f>
        <v/>
      </c>
      <c r="F270" s="18">
        <f>IF(C270="aFRR+",power_mw*hours_per_day*damas_afrr_up*capacity_mult_B*stack_capacity*acceptance_rate,power_mw*hours_per_day*damas_afrr_down*capacity_mult_B*stack_capacity*acceptance_rate)</f>
        <v/>
      </c>
      <c r="G270" s="42">
        <f>IF(C270="aFRR+",DAMAS_Daily!I270,DAMAS_Daily!J270)</f>
        <v/>
      </c>
      <c r="H270" s="43">
        <f>IF(C270="aFRR+",DAMAS_Daily!E270,DAMAS_Daily!F270)</f>
        <v/>
      </c>
      <c r="I270" s="43">
        <f>IF(C270="aFRR+",DAMAS_Daily!G270,DAMAS_Daily!H270)</f>
        <v/>
      </c>
      <c r="J270" s="45">
        <f>IF(C270="aFRR+",DAMAS_Daily!C270,DAMAS_Daily!D270)</f>
        <v/>
      </c>
      <c r="K270" s="45">
        <f>IF(C270="aFRR+",MIN(DAMAS_Daily!C270*market_share_B*acceptance_rate*stack_activation,power_mw*hours_per_day,capacity_mwh),MIN(DAMAS_Daily!D270*market_share_B*acceptance_rate*stack_activation,power_mw*hours_per_day,capacity_mwh))</f>
        <v/>
      </c>
      <c r="L270" s="42">
        <f>IF(K270&gt;=capacity_mwh-0.01,"yes","no")</f>
        <v/>
      </c>
      <c r="M270" s="18">
        <f>IF(C270="aFRR+",(MIN(DAMAS_Daily!C270*market_share_B*acceptance_rate*stack_activation,power_mw*hours_per_day,capacity_mwh))*DAMAS_Daily!E270*activation_mult_B,(MIN(DAMAS_Daily!D270*market_share_B*acceptance_rate*stack_activation,power_mw*hours_per_day,capacity_mwh))*DAMAS_Daily!F270*activation_mult_B)</f>
        <v/>
      </c>
      <c r="N270" s="19">
        <f>F270+M270</f>
        <v/>
      </c>
    </row>
    <row r="271">
      <c r="A271" s="41">
        <f>DAMAS_Daily!A271</f>
        <v/>
      </c>
      <c r="B271" s="42">
        <f>DAMAS_Daily!B271</f>
        <v/>
      </c>
      <c r="C271" s="42">
        <f>IF((power_mw*hours_per_day*damas_afrr_up*capacity_mult_B*stack_capacity*acceptance_rate+(MIN(DAMAS_Daily!C271*market_share_B*acceptance_rate*stack_activation,power_mw*hours_per_day,capacity_mwh))*DAMAS_Daily!E271*activation_mult_B)&gt;=(power_mw*hours_per_day*damas_afrr_down*capacity_mult_B*stack_capacity*acceptance_rate+(MIN(DAMAS_Daily!D271*market_share_B*acceptance_rate*stack_activation,power_mw*hours_per_day,capacity_mwh))*DAMAS_Daily!F271*activation_mult_B),"aFRR+","aFRR-")</f>
        <v/>
      </c>
      <c r="D271" s="43">
        <f>IF(C271="aFRR+",damas_afrr_up*capacity_mult_B,damas_afrr_down*capacity_mult_B)</f>
        <v/>
      </c>
      <c r="E271" s="44">
        <f>acceptance_rate</f>
        <v/>
      </c>
      <c r="F271" s="18">
        <f>IF(C271="aFRR+",power_mw*hours_per_day*damas_afrr_up*capacity_mult_B*stack_capacity*acceptance_rate,power_mw*hours_per_day*damas_afrr_down*capacity_mult_B*stack_capacity*acceptance_rate)</f>
        <v/>
      </c>
      <c r="G271" s="42">
        <f>IF(C271="aFRR+",DAMAS_Daily!I271,DAMAS_Daily!J271)</f>
        <v/>
      </c>
      <c r="H271" s="43">
        <f>IF(C271="aFRR+",DAMAS_Daily!E271,DAMAS_Daily!F271)</f>
        <v/>
      </c>
      <c r="I271" s="43">
        <f>IF(C271="aFRR+",DAMAS_Daily!G271,DAMAS_Daily!H271)</f>
        <v/>
      </c>
      <c r="J271" s="45">
        <f>IF(C271="aFRR+",DAMAS_Daily!C271,DAMAS_Daily!D271)</f>
        <v/>
      </c>
      <c r="K271" s="45">
        <f>IF(C271="aFRR+",MIN(DAMAS_Daily!C271*market_share_B*acceptance_rate*stack_activation,power_mw*hours_per_day,capacity_mwh),MIN(DAMAS_Daily!D271*market_share_B*acceptance_rate*stack_activation,power_mw*hours_per_day,capacity_mwh))</f>
        <v/>
      </c>
      <c r="L271" s="42">
        <f>IF(K271&gt;=capacity_mwh-0.01,"yes","no")</f>
        <v/>
      </c>
      <c r="M271" s="18">
        <f>IF(C271="aFRR+",(MIN(DAMAS_Daily!C271*market_share_B*acceptance_rate*stack_activation,power_mw*hours_per_day,capacity_mwh))*DAMAS_Daily!E271*activation_mult_B,(MIN(DAMAS_Daily!D271*market_share_B*acceptance_rate*stack_activation,power_mw*hours_per_day,capacity_mwh))*DAMAS_Daily!F271*activation_mult_B)</f>
        <v/>
      </c>
      <c r="N271" s="19">
        <f>F271+M271</f>
        <v/>
      </c>
    </row>
    <row r="272">
      <c r="A272" s="41">
        <f>DAMAS_Daily!A272</f>
        <v/>
      </c>
      <c r="B272" s="42">
        <f>DAMAS_Daily!B272</f>
        <v/>
      </c>
      <c r="C272" s="42">
        <f>IF((power_mw*hours_per_day*damas_afrr_up*capacity_mult_B*stack_capacity*acceptance_rate+(MIN(DAMAS_Daily!C272*market_share_B*acceptance_rate*stack_activation,power_mw*hours_per_day,capacity_mwh))*DAMAS_Daily!E272*activation_mult_B)&gt;=(power_mw*hours_per_day*damas_afrr_down*capacity_mult_B*stack_capacity*acceptance_rate+(MIN(DAMAS_Daily!D272*market_share_B*acceptance_rate*stack_activation,power_mw*hours_per_day,capacity_mwh))*DAMAS_Daily!F272*activation_mult_B),"aFRR+","aFRR-")</f>
        <v/>
      </c>
      <c r="D272" s="43">
        <f>IF(C272="aFRR+",damas_afrr_up*capacity_mult_B,damas_afrr_down*capacity_mult_B)</f>
        <v/>
      </c>
      <c r="E272" s="44">
        <f>acceptance_rate</f>
        <v/>
      </c>
      <c r="F272" s="18">
        <f>IF(C272="aFRR+",power_mw*hours_per_day*damas_afrr_up*capacity_mult_B*stack_capacity*acceptance_rate,power_mw*hours_per_day*damas_afrr_down*capacity_mult_B*stack_capacity*acceptance_rate)</f>
        <v/>
      </c>
      <c r="G272" s="42">
        <f>IF(C272="aFRR+",DAMAS_Daily!I272,DAMAS_Daily!J272)</f>
        <v/>
      </c>
      <c r="H272" s="43">
        <f>IF(C272="aFRR+",DAMAS_Daily!E272,DAMAS_Daily!F272)</f>
        <v/>
      </c>
      <c r="I272" s="43">
        <f>IF(C272="aFRR+",DAMAS_Daily!G272,DAMAS_Daily!H272)</f>
        <v/>
      </c>
      <c r="J272" s="45">
        <f>IF(C272="aFRR+",DAMAS_Daily!C272,DAMAS_Daily!D272)</f>
        <v/>
      </c>
      <c r="K272" s="45">
        <f>IF(C272="aFRR+",MIN(DAMAS_Daily!C272*market_share_B*acceptance_rate*stack_activation,power_mw*hours_per_day,capacity_mwh),MIN(DAMAS_Daily!D272*market_share_B*acceptance_rate*stack_activation,power_mw*hours_per_day,capacity_mwh))</f>
        <v/>
      </c>
      <c r="L272" s="42">
        <f>IF(K272&gt;=capacity_mwh-0.01,"yes","no")</f>
        <v/>
      </c>
      <c r="M272" s="18">
        <f>IF(C272="aFRR+",(MIN(DAMAS_Daily!C272*market_share_B*acceptance_rate*stack_activation,power_mw*hours_per_day,capacity_mwh))*DAMAS_Daily!E272*activation_mult_B,(MIN(DAMAS_Daily!D272*market_share_B*acceptance_rate*stack_activation,power_mw*hours_per_day,capacity_mwh))*DAMAS_Daily!F272*activation_mult_B)</f>
        <v/>
      </c>
      <c r="N272" s="19">
        <f>F272+M272</f>
        <v/>
      </c>
    </row>
    <row r="273">
      <c r="A273" s="41">
        <f>DAMAS_Daily!A273</f>
        <v/>
      </c>
      <c r="B273" s="42">
        <f>DAMAS_Daily!B273</f>
        <v/>
      </c>
      <c r="C273" s="42">
        <f>IF((power_mw*hours_per_day*damas_afrr_up*capacity_mult_B*stack_capacity*acceptance_rate+(MIN(DAMAS_Daily!C273*market_share_B*acceptance_rate*stack_activation,power_mw*hours_per_day,capacity_mwh))*DAMAS_Daily!E273*activation_mult_B)&gt;=(power_mw*hours_per_day*damas_afrr_down*capacity_mult_B*stack_capacity*acceptance_rate+(MIN(DAMAS_Daily!D273*market_share_B*acceptance_rate*stack_activation,power_mw*hours_per_day,capacity_mwh))*DAMAS_Daily!F273*activation_mult_B),"aFRR+","aFRR-")</f>
        <v/>
      </c>
      <c r="D273" s="43">
        <f>IF(C273="aFRR+",damas_afrr_up*capacity_mult_B,damas_afrr_down*capacity_mult_B)</f>
        <v/>
      </c>
      <c r="E273" s="44">
        <f>acceptance_rate</f>
        <v/>
      </c>
      <c r="F273" s="18">
        <f>IF(C273="aFRR+",power_mw*hours_per_day*damas_afrr_up*capacity_mult_B*stack_capacity*acceptance_rate,power_mw*hours_per_day*damas_afrr_down*capacity_mult_B*stack_capacity*acceptance_rate)</f>
        <v/>
      </c>
      <c r="G273" s="42">
        <f>IF(C273="aFRR+",DAMAS_Daily!I273,DAMAS_Daily!J273)</f>
        <v/>
      </c>
      <c r="H273" s="43">
        <f>IF(C273="aFRR+",DAMAS_Daily!E273,DAMAS_Daily!F273)</f>
        <v/>
      </c>
      <c r="I273" s="43">
        <f>IF(C273="aFRR+",DAMAS_Daily!G273,DAMAS_Daily!H273)</f>
        <v/>
      </c>
      <c r="J273" s="45">
        <f>IF(C273="aFRR+",DAMAS_Daily!C273,DAMAS_Daily!D273)</f>
        <v/>
      </c>
      <c r="K273" s="45">
        <f>IF(C273="aFRR+",MIN(DAMAS_Daily!C273*market_share_B*acceptance_rate*stack_activation,power_mw*hours_per_day,capacity_mwh),MIN(DAMAS_Daily!D273*market_share_B*acceptance_rate*stack_activation,power_mw*hours_per_day,capacity_mwh))</f>
        <v/>
      </c>
      <c r="L273" s="42">
        <f>IF(K273&gt;=capacity_mwh-0.01,"yes","no")</f>
        <v/>
      </c>
      <c r="M273" s="18">
        <f>IF(C273="aFRR+",(MIN(DAMAS_Daily!C273*market_share_B*acceptance_rate*stack_activation,power_mw*hours_per_day,capacity_mwh))*DAMAS_Daily!E273*activation_mult_B,(MIN(DAMAS_Daily!D273*market_share_B*acceptance_rate*stack_activation,power_mw*hours_per_day,capacity_mwh))*DAMAS_Daily!F273*activation_mult_B)</f>
        <v/>
      </c>
      <c r="N273" s="19">
        <f>F273+M273</f>
        <v/>
      </c>
    </row>
    <row r="274">
      <c r="A274" s="41">
        <f>DAMAS_Daily!A274</f>
        <v/>
      </c>
      <c r="B274" s="42">
        <f>DAMAS_Daily!B274</f>
        <v/>
      </c>
      <c r="C274" s="42">
        <f>IF((power_mw*hours_per_day*damas_afrr_up*capacity_mult_B*stack_capacity*acceptance_rate+(MIN(DAMAS_Daily!C274*market_share_B*acceptance_rate*stack_activation,power_mw*hours_per_day,capacity_mwh))*DAMAS_Daily!E274*activation_mult_B)&gt;=(power_mw*hours_per_day*damas_afrr_down*capacity_mult_B*stack_capacity*acceptance_rate+(MIN(DAMAS_Daily!D274*market_share_B*acceptance_rate*stack_activation,power_mw*hours_per_day,capacity_mwh))*DAMAS_Daily!F274*activation_mult_B),"aFRR+","aFRR-")</f>
        <v/>
      </c>
      <c r="D274" s="43">
        <f>IF(C274="aFRR+",damas_afrr_up*capacity_mult_B,damas_afrr_down*capacity_mult_B)</f>
        <v/>
      </c>
      <c r="E274" s="44">
        <f>acceptance_rate</f>
        <v/>
      </c>
      <c r="F274" s="18">
        <f>IF(C274="aFRR+",power_mw*hours_per_day*damas_afrr_up*capacity_mult_B*stack_capacity*acceptance_rate,power_mw*hours_per_day*damas_afrr_down*capacity_mult_B*stack_capacity*acceptance_rate)</f>
        <v/>
      </c>
      <c r="G274" s="42">
        <f>IF(C274="aFRR+",DAMAS_Daily!I274,DAMAS_Daily!J274)</f>
        <v/>
      </c>
      <c r="H274" s="43">
        <f>IF(C274="aFRR+",DAMAS_Daily!E274,DAMAS_Daily!F274)</f>
        <v/>
      </c>
      <c r="I274" s="43">
        <f>IF(C274="aFRR+",DAMAS_Daily!G274,DAMAS_Daily!H274)</f>
        <v/>
      </c>
      <c r="J274" s="45">
        <f>IF(C274="aFRR+",DAMAS_Daily!C274,DAMAS_Daily!D274)</f>
        <v/>
      </c>
      <c r="K274" s="45">
        <f>IF(C274="aFRR+",MIN(DAMAS_Daily!C274*market_share_B*acceptance_rate*stack_activation,power_mw*hours_per_day,capacity_mwh),MIN(DAMAS_Daily!D274*market_share_B*acceptance_rate*stack_activation,power_mw*hours_per_day,capacity_mwh))</f>
        <v/>
      </c>
      <c r="L274" s="42">
        <f>IF(K274&gt;=capacity_mwh-0.01,"yes","no")</f>
        <v/>
      </c>
      <c r="M274" s="18">
        <f>IF(C274="aFRR+",(MIN(DAMAS_Daily!C274*market_share_B*acceptance_rate*stack_activation,power_mw*hours_per_day,capacity_mwh))*DAMAS_Daily!E274*activation_mult_B,(MIN(DAMAS_Daily!D274*market_share_B*acceptance_rate*stack_activation,power_mw*hours_per_day,capacity_mwh))*DAMAS_Daily!F274*activation_mult_B)</f>
        <v/>
      </c>
      <c r="N274" s="19">
        <f>F274+M274</f>
        <v/>
      </c>
    </row>
    <row r="275">
      <c r="A275" s="41">
        <f>DAMAS_Daily!A275</f>
        <v/>
      </c>
      <c r="B275" s="42">
        <f>DAMAS_Daily!B275</f>
        <v/>
      </c>
      <c r="C275" s="42">
        <f>IF((power_mw*hours_per_day*damas_afrr_up*capacity_mult_B*stack_capacity*acceptance_rate+(MIN(DAMAS_Daily!C275*market_share_B*acceptance_rate*stack_activation,power_mw*hours_per_day,capacity_mwh))*DAMAS_Daily!E275*activation_mult_B)&gt;=(power_mw*hours_per_day*damas_afrr_down*capacity_mult_B*stack_capacity*acceptance_rate+(MIN(DAMAS_Daily!D275*market_share_B*acceptance_rate*stack_activation,power_mw*hours_per_day,capacity_mwh))*DAMAS_Daily!F275*activation_mult_B),"aFRR+","aFRR-")</f>
        <v/>
      </c>
      <c r="D275" s="43">
        <f>IF(C275="aFRR+",damas_afrr_up*capacity_mult_B,damas_afrr_down*capacity_mult_B)</f>
        <v/>
      </c>
      <c r="E275" s="44">
        <f>acceptance_rate</f>
        <v/>
      </c>
      <c r="F275" s="18">
        <f>IF(C275="aFRR+",power_mw*hours_per_day*damas_afrr_up*capacity_mult_B*stack_capacity*acceptance_rate,power_mw*hours_per_day*damas_afrr_down*capacity_mult_B*stack_capacity*acceptance_rate)</f>
        <v/>
      </c>
      <c r="G275" s="42">
        <f>IF(C275="aFRR+",DAMAS_Daily!I275,DAMAS_Daily!J275)</f>
        <v/>
      </c>
      <c r="H275" s="43">
        <f>IF(C275="aFRR+",DAMAS_Daily!E275,DAMAS_Daily!F275)</f>
        <v/>
      </c>
      <c r="I275" s="43">
        <f>IF(C275="aFRR+",DAMAS_Daily!G275,DAMAS_Daily!H275)</f>
        <v/>
      </c>
      <c r="J275" s="45">
        <f>IF(C275="aFRR+",DAMAS_Daily!C275,DAMAS_Daily!D275)</f>
        <v/>
      </c>
      <c r="K275" s="45">
        <f>IF(C275="aFRR+",MIN(DAMAS_Daily!C275*market_share_B*acceptance_rate*stack_activation,power_mw*hours_per_day,capacity_mwh),MIN(DAMAS_Daily!D275*market_share_B*acceptance_rate*stack_activation,power_mw*hours_per_day,capacity_mwh))</f>
        <v/>
      </c>
      <c r="L275" s="42">
        <f>IF(K275&gt;=capacity_mwh-0.01,"yes","no")</f>
        <v/>
      </c>
      <c r="M275" s="18">
        <f>IF(C275="aFRR+",(MIN(DAMAS_Daily!C275*market_share_B*acceptance_rate*stack_activation,power_mw*hours_per_day,capacity_mwh))*DAMAS_Daily!E275*activation_mult_B,(MIN(DAMAS_Daily!D275*market_share_B*acceptance_rate*stack_activation,power_mw*hours_per_day,capacity_mwh))*DAMAS_Daily!F275*activation_mult_B)</f>
        <v/>
      </c>
      <c r="N275" s="19">
        <f>F275+M275</f>
        <v/>
      </c>
    </row>
    <row r="276">
      <c r="A276" s="41">
        <f>DAMAS_Daily!A276</f>
        <v/>
      </c>
      <c r="B276" s="42">
        <f>DAMAS_Daily!B276</f>
        <v/>
      </c>
      <c r="C276" s="42">
        <f>IF((power_mw*hours_per_day*damas_afrr_up*capacity_mult_B*stack_capacity*acceptance_rate+(MIN(DAMAS_Daily!C276*market_share_B*acceptance_rate*stack_activation,power_mw*hours_per_day,capacity_mwh))*DAMAS_Daily!E276*activation_mult_B)&gt;=(power_mw*hours_per_day*damas_afrr_down*capacity_mult_B*stack_capacity*acceptance_rate+(MIN(DAMAS_Daily!D276*market_share_B*acceptance_rate*stack_activation,power_mw*hours_per_day,capacity_mwh))*DAMAS_Daily!F276*activation_mult_B),"aFRR+","aFRR-")</f>
        <v/>
      </c>
      <c r="D276" s="43">
        <f>IF(C276="aFRR+",damas_afrr_up*capacity_mult_B,damas_afrr_down*capacity_mult_B)</f>
        <v/>
      </c>
      <c r="E276" s="44">
        <f>acceptance_rate</f>
        <v/>
      </c>
      <c r="F276" s="18">
        <f>IF(C276="aFRR+",power_mw*hours_per_day*damas_afrr_up*capacity_mult_B*stack_capacity*acceptance_rate,power_mw*hours_per_day*damas_afrr_down*capacity_mult_B*stack_capacity*acceptance_rate)</f>
        <v/>
      </c>
      <c r="G276" s="42">
        <f>IF(C276="aFRR+",DAMAS_Daily!I276,DAMAS_Daily!J276)</f>
        <v/>
      </c>
      <c r="H276" s="43">
        <f>IF(C276="aFRR+",DAMAS_Daily!E276,DAMAS_Daily!F276)</f>
        <v/>
      </c>
      <c r="I276" s="43">
        <f>IF(C276="aFRR+",DAMAS_Daily!G276,DAMAS_Daily!H276)</f>
        <v/>
      </c>
      <c r="J276" s="45">
        <f>IF(C276="aFRR+",DAMAS_Daily!C276,DAMAS_Daily!D276)</f>
        <v/>
      </c>
      <c r="K276" s="45">
        <f>IF(C276="aFRR+",MIN(DAMAS_Daily!C276*market_share_B*acceptance_rate*stack_activation,power_mw*hours_per_day,capacity_mwh),MIN(DAMAS_Daily!D276*market_share_B*acceptance_rate*stack_activation,power_mw*hours_per_day,capacity_mwh))</f>
        <v/>
      </c>
      <c r="L276" s="42">
        <f>IF(K276&gt;=capacity_mwh-0.01,"yes","no")</f>
        <v/>
      </c>
      <c r="M276" s="18">
        <f>IF(C276="aFRR+",(MIN(DAMAS_Daily!C276*market_share_B*acceptance_rate*stack_activation,power_mw*hours_per_day,capacity_mwh))*DAMAS_Daily!E276*activation_mult_B,(MIN(DAMAS_Daily!D276*market_share_B*acceptance_rate*stack_activation,power_mw*hours_per_day,capacity_mwh))*DAMAS_Daily!F276*activation_mult_B)</f>
        <v/>
      </c>
      <c r="N276" s="19">
        <f>F276+M276</f>
        <v/>
      </c>
    </row>
    <row r="277">
      <c r="A277" s="41">
        <f>DAMAS_Daily!A277</f>
        <v/>
      </c>
      <c r="B277" s="42">
        <f>DAMAS_Daily!B277</f>
        <v/>
      </c>
      <c r="C277" s="42">
        <f>IF((power_mw*hours_per_day*damas_afrr_up*capacity_mult_B*stack_capacity*acceptance_rate+(MIN(DAMAS_Daily!C277*market_share_B*acceptance_rate*stack_activation,power_mw*hours_per_day,capacity_mwh))*DAMAS_Daily!E277*activation_mult_B)&gt;=(power_mw*hours_per_day*damas_afrr_down*capacity_mult_B*stack_capacity*acceptance_rate+(MIN(DAMAS_Daily!D277*market_share_B*acceptance_rate*stack_activation,power_mw*hours_per_day,capacity_mwh))*DAMAS_Daily!F277*activation_mult_B),"aFRR+","aFRR-")</f>
        <v/>
      </c>
      <c r="D277" s="43">
        <f>IF(C277="aFRR+",damas_afrr_up*capacity_mult_B,damas_afrr_down*capacity_mult_B)</f>
        <v/>
      </c>
      <c r="E277" s="44">
        <f>acceptance_rate</f>
        <v/>
      </c>
      <c r="F277" s="18">
        <f>IF(C277="aFRR+",power_mw*hours_per_day*damas_afrr_up*capacity_mult_B*stack_capacity*acceptance_rate,power_mw*hours_per_day*damas_afrr_down*capacity_mult_B*stack_capacity*acceptance_rate)</f>
        <v/>
      </c>
      <c r="G277" s="42">
        <f>IF(C277="aFRR+",DAMAS_Daily!I277,DAMAS_Daily!J277)</f>
        <v/>
      </c>
      <c r="H277" s="43">
        <f>IF(C277="aFRR+",DAMAS_Daily!E277,DAMAS_Daily!F277)</f>
        <v/>
      </c>
      <c r="I277" s="43">
        <f>IF(C277="aFRR+",DAMAS_Daily!G277,DAMAS_Daily!H277)</f>
        <v/>
      </c>
      <c r="J277" s="45">
        <f>IF(C277="aFRR+",DAMAS_Daily!C277,DAMAS_Daily!D277)</f>
        <v/>
      </c>
      <c r="K277" s="45">
        <f>IF(C277="aFRR+",MIN(DAMAS_Daily!C277*market_share_B*acceptance_rate*stack_activation,power_mw*hours_per_day,capacity_mwh),MIN(DAMAS_Daily!D277*market_share_B*acceptance_rate*stack_activation,power_mw*hours_per_day,capacity_mwh))</f>
        <v/>
      </c>
      <c r="L277" s="42">
        <f>IF(K277&gt;=capacity_mwh-0.01,"yes","no")</f>
        <v/>
      </c>
      <c r="M277" s="18">
        <f>IF(C277="aFRR+",(MIN(DAMAS_Daily!C277*market_share_B*acceptance_rate*stack_activation,power_mw*hours_per_day,capacity_mwh))*DAMAS_Daily!E277*activation_mult_B,(MIN(DAMAS_Daily!D277*market_share_B*acceptance_rate*stack_activation,power_mw*hours_per_day,capacity_mwh))*DAMAS_Daily!F277*activation_mult_B)</f>
        <v/>
      </c>
      <c r="N277" s="19">
        <f>F277+M277</f>
        <v/>
      </c>
    </row>
    <row r="278">
      <c r="A278" s="41">
        <f>DAMAS_Daily!A278</f>
        <v/>
      </c>
      <c r="B278" s="42">
        <f>DAMAS_Daily!B278</f>
        <v/>
      </c>
      <c r="C278" s="42">
        <f>IF((power_mw*hours_per_day*damas_afrr_up*capacity_mult_B*stack_capacity*acceptance_rate+(MIN(DAMAS_Daily!C278*market_share_B*acceptance_rate*stack_activation,power_mw*hours_per_day,capacity_mwh))*DAMAS_Daily!E278*activation_mult_B)&gt;=(power_mw*hours_per_day*damas_afrr_down*capacity_mult_B*stack_capacity*acceptance_rate+(MIN(DAMAS_Daily!D278*market_share_B*acceptance_rate*stack_activation,power_mw*hours_per_day,capacity_mwh))*DAMAS_Daily!F278*activation_mult_B),"aFRR+","aFRR-")</f>
        <v/>
      </c>
      <c r="D278" s="43">
        <f>IF(C278="aFRR+",damas_afrr_up*capacity_mult_B,damas_afrr_down*capacity_mult_B)</f>
        <v/>
      </c>
      <c r="E278" s="44">
        <f>acceptance_rate</f>
        <v/>
      </c>
      <c r="F278" s="18">
        <f>IF(C278="aFRR+",power_mw*hours_per_day*damas_afrr_up*capacity_mult_B*stack_capacity*acceptance_rate,power_mw*hours_per_day*damas_afrr_down*capacity_mult_B*stack_capacity*acceptance_rate)</f>
        <v/>
      </c>
      <c r="G278" s="42">
        <f>IF(C278="aFRR+",DAMAS_Daily!I278,DAMAS_Daily!J278)</f>
        <v/>
      </c>
      <c r="H278" s="43">
        <f>IF(C278="aFRR+",DAMAS_Daily!E278,DAMAS_Daily!F278)</f>
        <v/>
      </c>
      <c r="I278" s="43">
        <f>IF(C278="aFRR+",DAMAS_Daily!G278,DAMAS_Daily!H278)</f>
        <v/>
      </c>
      <c r="J278" s="45">
        <f>IF(C278="aFRR+",DAMAS_Daily!C278,DAMAS_Daily!D278)</f>
        <v/>
      </c>
      <c r="K278" s="45">
        <f>IF(C278="aFRR+",MIN(DAMAS_Daily!C278*market_share_B*acceptance_rate*stack_activation,power_mw*hours_per_day,capacity_mwh),MIN(DAMAS_Daily!D278*market_share_B*acceptance_rate*stack_activation,power_mw*hours_per_day,capacity_mwh))</f>
        <v/>
      </c>
      <c r="L278" s="42">
        <f>IF(K278&gt;=capacity_mwh-0.01,"yes","no")</f>
        <v/>
      </c>
      <c r="M278" s="18">
        <f>IF(C278="aFRR+",(MIN(DAMAS_Daily!C278*market_share_B*acceptance_rate*stack_activation,power_mw*hours_per_day,capacity_mwh))*DAMAS_Daily!E278*activation_mult_B,(MIN(DAMAS_Daily!D278*market_share_B*acceptance_rate*stack_activation,power_mw*hours_per_day,capacity_mwh))*DAMAS_Daily!F278*activation_mult_B)</f>
        <v/>
      </c>
      <c r="N278" s="19">
        <f>F278+M278</f>
        <v/>
      </c>
    </row>
    <row r="279">
      <c r="A279" s="41">
        <f>DAMAS_Daily!A279</f>
        <v/>
      </c>
      <c r="B279" s="42">
        <f>DAMAS_Daily!B279</f>
        <v/>
      </c>
      <c r="C279" s="42">
        <f>IF((power_mw*hours_per_day*damas_afrr_up*capacity_mult_B*stack_capacity*acceptance_rate+(MIN(DAMAS_Daily!C279*market_share_B*acceptance_rate*stack_activation,power_mw*hours_per_day,capacity_mwh))*DAMAS_Daily!E279*activation_mult_B)&gt;=(power_mw*hours_per_day*damas_afrr_down*capacity_mult_B*stack_capacity*acceptance_rate+(MIN(DAMAS_Daily!D279*market_share_B*acceptance_rate*stack_activation,power_mw*hours_per_day,capacity_mwh))*DAMAS_Daily!F279*activation_mult_B),"aFRR+","aFRR-")</f>
        <v/>
      </c>
      <c r="D279" s="43">
        <f>IF(C279="aFRR+",damas_afrr_up*capacity_mult_B,damas_afrr_down*capacity_mult_B)</f>
        <v/>
      </c>
      <c r="E279" s="44">
        <f>acceptance_rate</f>
        <v/>
      </c>
      <c r="F279" s="18">
        <f>IF(C279="aFRR+",power_mw*hours_per_day*damas_afrr_up*capacity_mult_B*stack_capacity*acceptance_rate,power_mw*hours_per_day*damas_afrr_down*capacity_mult_B*stack_capacity*acceptance_rate)</f>
        <v/>
      </c>
      <c r="G279" s="42">
        <f>IF(C279="aFRR+",DAMAS_Daily!I279,DAMAS_Daily!J279)</f>
        <v/>
      </c>
      <c r="H279" s="43">
        <f>IF(C279="aFRR+",DAMAS_Daily!E279,DAMAS_Daily!F279)</f>
        <v/>
      </c>
      <c r="I279" s="43">
        <f>IF(C279="aFRR+",DAMAS_Daily!G279,DAMAS_Daily!H279)</f>
        <v/>
      </c>
      <c r="J279" s="45">
        <f>IF(C279="aFRR+",DAMAS_Daily!C279,DAMAS_Daily!D279)</f>
        <v/>
      </c>
      <c r="K279" s="45">
        <f>IF(C279="aFRR+",MIN(DAMAS_Daily!C279*market_share_B*acceptance_rate*stack_activation,power_mw*hours_per_day,capacity_mwh),MIN(DAMAS_Daily!D279*market_share_B*acceptance_rate*stack_activation,power_mw*hours_per_day,capacity_mwh))</f>
        <v/>
      </c>
      <c r="L279" s="42">
        <f>IF(K279&gt;=capacity_mwh-0.01,"yes","no")</f>
        <v/>
      </c>
      <c r="M279" s="18">
        <f>IF(C279="aFRR+",(MIN(DAMAS_Daily!C279*market_share_B*acceptance_rate*stack_activation,power_mw*hours_per_day,capacity_mwh))*DAMAS_Daily!E279*activation_mult_B,(MIN(DAMAS_Daily!D279*market_share_B*acceptance_rate*stack_activation,power_mw*hours_per_day,capacity_mwh))*DAMAS_Daily!F279*activation_mult_B)</f>
        <v/>
      </c>
      <c r="N279" s="19">
        <f>F279+M279</f>
        <v/>
      </c>
    </row>
    <row r="280">
      <c r="A280" s="41">
        <f>DAMAS_Daily!A280</f>
        <v/>
      </c>
      <c r="B280" s="42">
        <f>DAMAS_Daily!B280</f>
        <v/>
      </c>
      <c r="C280" s="42">
        <f>IF((power_mw*hours_per_day*damas_afrr_up*capacity_mult_B*stack_capacity*acceptance_rate+(MIN(DAMAS_Daily!C280*market_share_B*acceptance_rate*stack_activation,power_mw*hours_per_day,capacity_mwh))*DAMAS_Daily!E280*activation_mult_B)&gt;=(power_mw*hours_per_day*damas_afrr_down*capacity_mult_B*stack_capacity*acceptance_rate+(MIN(DAMAS_Daily!D280*market_share_B*acceptance_rate*stack_activation,power_mw*hours_per_day,capacity_mwh))*DAMAS_Daily!F280*activation_mult_B),"aFRR+","aFRR-")</f>
        <v/>
      </c>
      <c r="D280" s="43">
        <f>IF(C280="aFRR+",damas_afrr_up*capacity_mult_B,damas_afrr_down*capacity_mult_B)</f>
        <v/>
      </c>
      <c r="E280" s="44">
        <f>acceptance_rate</f>
        <v/>
      </c>
      <c r="F280" s="18">
        <f>IF(C280="aFRR+",power_mw*hours_per_day*damas_afrr_up*capacity_mult_B*stack_capacity*acceptance_rate,power_mw*hours_per_day*damas_afrr_down*capacity_mult_B*stack_capacity*acceptance_rate)</f>
        <v/>
      </c>
      <c r="G280" s="42">
        <f>IF(C280="aFRR+",DAMAS_Daily!I280,DAMAS_Daily!J280)</f>
        <v/>
      </c>
      <c r="H280" s="43">
        <f>IF(C280="aFRR+",DAMAS_Daily!E280,DAMAS_Daily!F280)</f>
        <v/>
      </c>
      <c r="I280" s="43">
        <f>IF(C280="aFRR+",DAMAS_Daily!G280,DAMAS_Daily!H280)</f>
        <v/>
      </c>
      <c r="J280" s="45">
        <f>IF(C280="aFRR+",DAMAS_Daily!C280,DAMAS_Daily!D280)</f>
        <v/>
      </c>
      <c r="K280" s="45">
        <f>IF(C280="aFRR+",MIN(DAMAS_Daily!C280*market_share_B*acceptance_rate*stack_activation,power_mw*hours_per_day,capacity_mwh),MIN(DAMAS_Daily!D280*market_share_B*acceptance_rate*stack_activation,power_mw*hours_per_day,capacity_mwh))</f>
        <v/>
      </c>
      <c r="L280" s="42">
        <f>IF(K280&gt;=capacity_mwh-0.01,"yes","no")</f>
        <v/>
      </c>
      <c r="M280" s="18">
        <f>IF(C280="aFRR+",(MIN(DAMAS_Daily!C280*market_share_B*acceptance_rate*stack_activation,power_mw*hours_per_day,capacity_mwh))*DAMAS_Daily!E280*activation_mult_B,(MIN(DAMAS_Daily!D280*market_share_B*acceptance_rate*stack_activation,power_mw*hours_per_day,capacity_mwh))*DAMAS_Daily!F280*activation_mult_B)</f>
        <v/>
      </c>
      <c r="N280" s="19">
        <f>F280+M280</f>
        <v/>
      </c>
    </row>
    <row r="281">
      <c r="A281" s="41">
        <f>DAMAS_Daily!A281</f>
        <v/>
      </c>
      <c r="B281" s="42">
        <f>DAMAS_Daily!B281</f>
        <v/>
      </c>
      <c r="C281" s="42">
        <f>IF((power_mw*hours_per_day*damas_afrr_up*capacity_mult_B*stack_capacity*acceptance_rate+(MIN(DAMAS_Daily!C281*market_share_B*acceptance_rate*stack_activation,power_mw*hours_per_day,capacity_mwh))*DAMAS_Daily!E281*activation_mult_B)&gt;=(power_mw*hours_per_day*damas_afrr_down*capacity_mult_B*stack_capacity*acceptance_rate+(MIN(DAMAS_Daily!D281*market_share_B*acceptance_rate*stack_activation,power_mw*hours_per_day,capacity_mwh))*DAMAS_Daily!F281*activation_mult_B),"aFRR+","aFRR-")</f>
        <v/>
      </c>
      <c r="D281" s="43">
        <f>IF(C281="aFRR+",damas_afrr_up*capacity_mult_B,damas_afrr_down*capacity_mult_B)</f>
        <v/>
      </c>
      <c r="E281" s="44">
        <f>acceptance_rate</f>
        <v/>
      </c>
      <c r="F281" s="18">
        <f>IF(C281="aFRR+",power_mw*hours_per_day*damas_afrr_up*capacity_mult_B*stack_capacity*acceptance_rate,power_mw*hours_per_day*damas_afrr_down*capacity_mult_B*stack_capacity*acceptance_rate)</f>
        <v/>
      </c>
      <c r="G281" s="42">
        <f>IF(C281="aFRR+",DAMAS_Daily!I281,DAMAS_Daily!J281)</f>
        <v/>
      </c>
      <c r="H281" s="43">
        <f>IF(C281="aFRR+",DAMAS_Daily!E281,DAMAS_Daily!F281)</f>
        <v/>
      </c>
      <c r="I281" s="43">
        <f>IF(C281="aFRR+",DAMAS_Daily!G281,DAMAS_Daily!H281)</f>
        <v/>
      </c>
      <c r="J281" s="45">
        <f>IF(C281="aFRR+",DAMAS_Daily!C281,DAMAS_Daily!D281)</f>
        <v/>
      </c>
      <c r="K281" s="45">
        <f>IF(C281="aFRR+",MIN(DAMAS_Daily!C281*market_share_B*acceptance_rate*stack_activation,power_mw*hours_per_day,capacity_mwh),MIN(DAMAS_Daily!D281*market_share_B*acceptance_rate*stack_activation,power_mw*hours_per_day,capacity_mwh))</f>
        <v/>
      </c>
      <c r="L281" s="42">
        <f>IF(K281&gt;=capacity_mwh-0.01,"yes","no")</f>
        <v/>
      </c>
      <c r="M281" s="18">
        <f>IF(C281="aFRR+",(MIN(DAMAS_Daily!C281*market_share_B*acceptance_rate*stack_activation,power_mw*hours_per_day,capacity_mwh))*DAMAS_Daily!E281*activation_mult_B,(MIN(DAMAS_Daily!D281*market_share_B*acceptance_rate*stack_activation,power_mw*hours_per_day,capacity_mwh))*DAMAS_Daily!F281*activation_mult_B)</f>
        <v/>
      </c>
      <c r="N281" s="19">
        <f>F281+M281</f>
        <v/>
      </c>
    </row>
    <row r="282">
      <c r="A282" s="41">
        <f>DAMAS_Daily!A282</f>
        <v/>
      </c>
      <c r="B282" s="42">
        <f>DAMAS_Daily!B282</f>
        <v/>
      </c>
      <c r="C282" s="42">
        <f>IF((power_mw*hours_per_day*damas_afrr_up*capacity_mult_B*stack_capacity*acceptance_rate+(MIN(DAMAS_Daily!C282*market_share_B*acceptance_rate*stack_activation,power_mw*hours_per_day,capacity_mwh))*DAMAS_Daily!E282*activation_mult_B)&gt;=(power_mw*hours_per_day*damas_afrr_down*capacity_mult_B*stack_capacity*acceptance_rate+(MIN(DAMAS_Daily!D282*market_share_B*acceptance_rate*stack_activation,power_mw*hours_per_day,capacity_mwh))*DAMAS_Daily!F282*activation_mult_B),"aFRR+","aFRR-")</f>
        <v/>
      </c>
      <c r="D282" s="43">
        <f>IF(C282="aFRR+",damas_afrr_up*capacity_mult_B,damas_afrr_down*capacity_mult_B)</f>
        <v/>
      </c>
      <c r="E282" s="44">
        <f>acceptance_rate</f>
        <v/>
      </c>
      <c r="F282" s="18">
        <f>IF(C282="aFRR+",power_mw*hours_per_day*damas_afrr_up*capacity_mult_B*stack_capacity*acceptance_rate,power_mw*hours_per_day*damas_afrr_down*capacity_mult_B*stack_capacity*acceptance_rate)</f>
        <v/>
      </c>
      <c r="G282" s="42">
        <f>IF(C282="aFRR+",DAMAS_Daily!I282,DAMAS_Daily!J282)</f>
        <v/>
      </c>
      <c r="H282" s="43">
        <f>IF(C282="aFRR+",DAMAS_Daily!E282,DAMAS_Daily!F282)</f>
        <v/>
      </c>
      <c r="I282" s="43">
        <f>IF(C282="aFRR+",DAMAS_Daily!G282,DAMAS_Daily!H282)</f>
        <v/>
      </c>
      <c r="J282" s="45">
        <f>IF(C282="aFRR+",DAMAS_Daily!C282,DAMAS_Daily!D282)</f>
        <v/>
      </c>
      <c r="K282" s="45">
        <f>IF(C282="aFRR+",MIN(DAMAS_Daily!C282*market_share_B*acceptance_rate*stack_activation,power_mw*hours_per_day,capacity_mwh),MIN(DAMAS_Daily!D282*market_share_B*acceptance_rate*stack_activation,power_mw*hours_per_day,capacity_mwh))</f>
        <v/>
      </c>
      <c r="L282" s="42">
        <f>IF(K282&gt;=capacity_mwh-0.01,"yes","no")</f>
        <v/>
      </c>
      <c r="M282" s="18">
        <f>IF(C282="aFRR+",(MIN(DAMAS_Daily!C282*market_share_B*acceptance_rate*stack_activation,power_mw*hours_per_day,capacity_mwh))*DAMAS_Daily!E282*activation_mult_B,(MIN(DAMAS_Daily!D282*market_share_B*acceptance_rate*stack_activation,power_mw*hours_per_day,capacity_mwh))*DAMAS_Daily!F282*activation_mult_B)</f>
        <v/>
      </c>
      <c r="N282" s="19">
        <f>F282+M282</f>
        <v/>
      </c>
    </row>
    <row r="283">
      <c r="A283" s="41">
        <f>DAMAS_Daily!A283</f>
        <v/>
      </c>
      <c r="B283" s="42">
        <f>DAMAS_Daily!B283</f>
        <v/>
      </c>
      <c r="C283" s="42">
        <f>IF((power_mw*hours_per_day*damas_afrr_up*capacity_mult_B*stack_capacity*acceptance_rate+(MIN(DAMAS_Daily!C283*market_share_B*acceptance_rate*stack_activation,power_mw*hours_per_day,capacity_mwh))*DAMAS_Daily!E283*activation_mult_B)&gt;=(power_mw*hours_per_day*damas_afrr_down*capacity_mult_B*stack_capacity*acceptance_rate+(MIN(DAMAS_Daily!D283*market_share_B*acceptance_rate*stack_activation,power_mw*hours_per_day,capacity_mwh))*DAMAS_Daily!F283*activation_mult_B),"aFRR+","aFRR-")</f>
        <v/>
      </c>
      <c r="D283" s="43">
        <f>IF(C283="aFRR+",damas_afrr_up*capacity_mult_B,damas_afrr_down*capacity_mult_B)</f>
        <v/>
      </c>
      <c r="E283" s="44">
        <f>acceptance_rate</f>
        <v/>
      </c>
      <c r="F283" s="18">
        <f>IF(C283="aFRR+",power_mw*hours_per_day*damas_afrr_up*capacity_mult_B*stack_capacity*acceptance_rate,power_mw*hours_per_day*damas_afrr_down*capacity_mult_B*stack_capacity*acceptance_rate)</f>
        <v/>
      </c>
      <c r="G283" s="42">
        <f>IF(C283="aFRR+",DAMAS_Daily!I283,DAMAS_Daily!J283)</f>
        <v/>
      </c>
      <c r="H283" s="43">
        <f>IF(C283="aFRR+",DAMAS_Daily!E283,DAMAS_Daily!F283)</f>
        <v/>
      </c>
      <c r="I283" s="43">
        <f>IF(C283="aFRR+",DAMAS_Daily!G283,DAMAS_Daily!H283)</f>
        <v/>
      </c>
      <c r="J283" s="45">
        <f>IF(C283="aFRR+",DAMAS_Daily!C283,DAMAS_Daily!D283)</f>
        <v/>
      </c>
      <c r="K283" s="45">
        <f>IF(C283="aFRR+",MIN(DAMAS_Daily!C283*market_share_B*acceptance_rate*stack_activation,power_mw*hours_per_day,capacity_mwh),MIN(DAMAS_Daily!D283*market_share_B*acceptance_rate*stack_activation,power_mw*hours_per_day,capacity_mwh))</f>
        <v/>
      </c>
      <c r="L283" s="42">
        <f>IF(K283&gt;=capacity_mwh-0.01,"yes","no")</f>
        <v/>
      </c>
      <c r="M283" s="18">
        <f>IF(C283="aFRR+",(MIN(DAMAS_Daily!C283*market_share_B*acceptance_rate*stack_activation,power_mw*hours_per_day,capacity_mwh))*DAMAS_Daily!E283*activation_mult_B,(MIN(DAMAS_Daily!D283*market_share_B*acceptance_rate*stack_activation,power_mw*hours_per_day,capacity_mwh))*DAMAS_Daily!F283*activation_mult_B)</f>
        <v/>
      </c>
      <c r="N283" s="19">
        <f>F283+M283</f>
        <v/>
      </c>
    </row>
    <row r="284">
      <c r="A284" s="41">
        <f>DAMAS_Daily!A284</f>
        <v/>
      </c>
      <c r="B284" s="42">
        <f>DAMAS_Daily!B284</f>
        <v/>
      </c>
      <c r="C284" s="42">
        <f>IF((power_mw*hours_per_day*damas_afrr_up*capacity_mult_B*stack_capacity*acceptance_rate+(MIN(DAMAS_Daily!C284*market_share_B*acceptance_rate*stack_activation,power_mw*hours_per_day,capacity_mwh))*DAMAS_Daily!E284*activation_mult_B)&gt;=(power_mw*hours_per_day*damas_afrr_down*capacity_mult_B*stack_capacity*acceptance_rate+(MIN(DAMAS_Daily!D284*market_share_B*acceptance_rate*stack_activation,power_mw*hours_per_day,capacity_mwh))*DAMAS_Daily!F284*activation_mult_B),"aFRR+","aFRR-")</f>
        <v/>
      </c>
      <c r="D284" s="43">
        <f>IF(C284="aFRR+",damas_afrr_up*capacity_mult_B,damas_afrr_down*capacity_mult_B)</f>
        <v/>
      </c>
      <c r="E284" s="44">
        <f>acceptance_rate</f>
        <v/>
      </c>
      <c r="F284" s="18">
        <f>IF(C284="aFRR+",power_mw*hours_per_day*damas_afrr_up*capacity_mult_B*stack_capacity*acceptance_rate,power_mw*hours_per_day*damas_afrr_down*capacity_mult_B*stack_capacity*acceptance_rate)</f>
        <v/>
      </c>
      <c r="G284" s="42">
        <f>IF(C284="aFRR+",DAMAS_Daily!I284,DAMAS_Daily!J284)</f>
        <v/>
      </c>
      <c r="H284" s="43">
        <f>IF(C284="aFRR+",DAMAS_Daily!E284,DAMAS_Daily!F284)</f>
        <v/>
      </c>
      <c r="I284" s="43">
        <f>IF(C284="aFRR+",DAMAS_Daily!G284,DAMAS_Daily!H284)</f>
        <v/>
      </c>
      <c r="J284" s="45">
        <f>IF(C284="aFRR+",DAMAS_Daily!C284,DAMAS_Daily!D284)</f>
        <v/>
      </c>
      <c r="K284" s="45">
        <f>IF(C284="aFRR+",MIN(DAMAS_Daily!C284*market_share_B*acceptance_rate*stack_activation,power_mw*hours_per_day,capacity_mwh),MIN(DAMAS_Daily!D284*market_share_B*acceptance_rate*stack_activation,power_mw*hours_per_day,capacity_mwh))</f>
        <v/>
      </c>
      <c r="L284" s="42">
        <f>IF(K284&gt;=capacity_mwh-0.01,"yes","no")</f>
        <v/>
      </c>
      <c r="M284" s="18">
        <f>IF(C284="aFRR+",(MIN(DAMAS_Daily!C284*market_share_B*acceptance_rate*stack_activation,power_mw*hours_per_day,capacity_mwh))*DAMAS_Daily!E284*activation_mult_B,(MIN(DAMAS_Daily!D284*market_share_B*acceptance_rate*stack_activation,power_mw*hours_per_day,capacity_mwh))*DAMAS_Daily!F284*activation_mult_B)</f>
        <v/>
      </c>
      <c r="N284" s="19">
        <f>F284+M284</f>
        <v/>
      </c>
    </row>
    <row r="285">
      <c r="A285" s="41">
        <f>DAMAS_Daily!A285</f>
        <v/>
      </c>
      <c r="B285" s="42">
        <f>DAMAS_Daily!B285</f>
        <v/>
      </c>
      <c r="C285" s="42">
        <f>IF((power_mw*hours_per_day*damas_afrr_up*capacity_mult_B*stack_capacity*acceptance_rate+(MIN(DAMAS_Daily!C285*market_share_B*acceptance_rate*stack_activation,power_mw*hours_per_day,capacity_mwh))*DAMAS_Daily!E285*activation_mult_B)&gt;=(power_mw*hours_per_day*damas_afrr_down*capacity_mult_B*stack_capacity*acceptance_rate+(MIN(DAMAS_Daily!D285*market_share_B*acceptance_rate*stack_activation,power_mw*hours_per_day,capacity_mwh))*DAMAS_Daily!F285*activation_mult_B),"aFRR+","aFRR-")</f>
        <v/>
      </c>
      <c r="D285" s="43">
        <f>IF(C285="aFRR+",damas_afrr_up*capacity_mult_B,damas_afrr_down*capacity_mult_B)</f>
        <v/>
      </c>
      <c r="E285" s="44">
        <f>acceptance_rate</f>
        <v/>
      </c>
      <c r="F285" s="18">
        <f>IF(C285="aFRR+",power_mw*hours_per_day*damas_afrr_up*capacity_mult_B*stack_capacity*acceptance_rate,power_mw*hours_per_day*damas_afrr_down*capacity_mult_B*stack_capacity*acceptance_rate)</f>
        <v/>
      </c>
      <c r="G285" s="42">
        <f>IF(C285="aFRR+",DAMAS_Daily!I285,DAMAS_Daily!J285)</f>
        <v/>
      </c>
      <c r="H285" s="43">
        <f>IF(C285="aFRR+",DAMAS_Daily!E285,DAMAS_Daily!F285)</f>
        <v/>
      </c>
      <c r="I285" s="43">
        <f>IF(C285="aFRR+",DAMAS_Daily!G285,DAMAS_Daily!H285)</f>
        <v/>
      </c>
      <c r="J285" s="45">
        <f>IF(C285="aFRR+",DAMAS_Daily!C285,DAMAS_Daily!D285)</f>
        <v/>
      </c>
      <c r="K285" s="45">
        <f>IF(C285="aFRR+",MIN(DAMAS_Daily!C285*market_share_B*acceptance_rate*stack_activation,power_mw*hours_per_day,capacity_mwh),MIN(DAMAS_Daily!D285*market_share_B*acceptance_rate*stack_activation,power_mw*hours_per_day,capacity_mwh))</f>
        <v/>
      </c>
      <c r="L285" s="42">
        <f>IF(K285&gt;=capacity_mwh-0.01,"yes","no")</f>
        <v/>
      </c>
      <c r="M285" s="18">
        <f>IF(C285="aFRR+",(MIN(DAMAS_Daily!C285*market_share_B*acceptance_rate*stack_activation,power_mw*hours_per_day,capacity_mwh))*DAMAS_Daily!E285*activation_mult_B,(MIN(DAMAS_Daily!D285*market_share_B*acceptance_rate*stack_activation,power_mw*hours_per_day,capacity_mwh))*DAMAS_Daily!F285*activation_mult_B)</f>
        <v/>
      </c>
      <c r="N285" s="19">
        <f>F285+M285</f>
        <v/>
      </c>
    </row>
    <row r="286">
      <c r="A286" s="41">
        <f>DAMAS_Daily!A286</f>
        <v/>
      </c>
      <c r="B286" s="42">
        <f>DAMAS_Daily!B286</f>
        <v/>
      </c>
      <c r="C286" s="42">
        <f>IF((power_mw*hours_per_day*damas_afrr_up*capacity_mult_B*stack_capacity*acceptance_rate+(MIN(DAMAS_Daily!C286*market_share_B*acceptance_rate*stack_activation,power_mw*hours_per_day,capacity_mwh))*DAMAS_Daily!E286*activation_mult_B)&gt;=(power_mw*hours_per_day*damas_afrr_down*capacity_mult_B*stack_capacity*acceptance_rate+(MIN(DAMAS_Daily!D286*market_share_B*acceptance_rate*stack_activation,power_mw*hours_per_day,capacity_mwh))*DAMAS_Daily!F286*activation_mult_B),"aFRR+","aFRR-")</f>
        <v/>
      </c>
      <c r="D286" s="43">
        <f>IF(C286="aFRR+",damas_afrr_up*capacity_mult_B,damas_afrr_down*capacity_mult_B)</f>
        <v/>
      </c>
      <c r="E286" s="44">
        <f>acceptance_rate</f>
        <v/>
      </c>
      <c r="F286" s="18">
        <f>IF(C286="aFRR+",power_mw*hours_per_day*damas_afrr_up*capacity_mult_B*stack_capacity*acceptance_rate,power_mw*hours_per_day*damas_afrr_down*capacity_mult_B*stack_capacity*acceptance_rate)</f>
        <v/>
      </c>
      <c r="G286" s="42">
        <f>IF(C286="aFRR+",DAMAS_Daily!I286,DAMAS_Daily!J286)</f>
        <v/>
      </c>
      <c r="H286" s="43">
        <f>IF(C286="aFRR+",DAMAS_Daily!E286,DAMAS_Daily!F286)</f>
        <v/>
      </c>
      <c r="I286" s="43">
        <f>IF(C286="aFRR+",DAMAS_Daily!G286,DAMAS_Daily!H286)</f>
        <v/>
      </c>
      <c r="J286" s="45">
        <f>IF(C286="aFRR+",DAMAS_Daily!C286,DAMAS_Daily!D286)</f>
        <v/>
      </c>
      <c r="K286" s="45">
        <f>IF(C286="aFRR+",MIN(DAMAS_Daily!C286*market_share_B*acceptance_rate*stack_activation,power_mw*hours_per_day,capacity_mwh),MIN(DAMAS_Daily!D286*market_share_B*acceptance_rate*stack_activation,power_mw*hours_per_day,capacity_mwh))</f>
        <v/>
      </c>
      <c r="L286" s="42">
        <f>IF(K286&gt;=capacity_mwh-0.01,"yes","no")</f>
        <v/>
      </c>
      <c r="M286" s="18">
        <f>IF(C286="aFRR+",(MIN(DAMAS_Daily!C286*market_share_B*acceptance_rate*stack_activation,power_mw*hours_per_day,capacity_mwh))*DAMAS_Daily!E286*activation_mult_B,(MIN(DAMAS_Daily!D286*market_share_B*acceptance_rate*stack_activation,power_mw*hours_per_day,capacity_mwh))*DAMAS_Daily!F286*activation_mult_B)</f>
        <v/>
      </c>
      <c r="N286" s="19">
        <f>F286+M286</f>
        <v/>
      </c>
    </row>
    <row r="287">
      <c r="A287" s="41">
        <f>DAMAS_Daily!A287</f>
        <v/>
      </c>
      <c r="B287" s="42">
        <f>DAMAS_Daily!B287</f>
        <v/>
      </c>
      <c r="C287" s="42">
        <f>IF((power_mw*hours_per_day*damas_afrr_up*capacity_mult_B*stack_capacity*acceptance_rate+(MIN(DAMAS_Daily!C287*market_share_B*acceptance_rate*stack_activation,power_mw*hours_per_day,capacity_mwh))*DAMAS_Daily!E287*activation_mult_B)&gt;=(power_mw*hours_per_day*damas_afrr_down*capacity_mult_B*stack_capacity*acceptance_rate+(MIN(DAMAS_Daily!D287*market_share_B*acceptance_rate*stack_activation,power_mw*hours_per_day,capacity_mwh))*DAMAS_Daily!F287*activation_mult_B),"aFRR+","aFRR-")</f>
        <v/>
      </c>
      <c r="D287" s="43">
        <f>IF(C287="aFRR+",damas_afrr_up*capacity_mult_B,damas_afrr_down*capacity_mult_B)</f>
        <v/>
      </c>
      <c r="E287" s="44">
        <f>acceptance_rate</f>
        <v/>
      </c>
      <c r="F287" s="18">
        <f>IF(C287="aFRR+",power_mw*hours_per_day*damas_afrr_up*capacity_mult_B*stack_capacity*acceptance_rate,power_mw*hours_per_day*damas_afrr_down*capacity_mult_B*stack_capacity*acceptance_rate)</f>
        <v/>
      </c>
      <c r="G287" s="42">
        <f>IF(C287="aFRR+",DAMAS_Daily!I287,DAMAS_Daily!J287)</f>
        <v/>
      </c>
      <c r="H287" s="43">
        <f>IF(C287="aFRR+",DAMAS_Daily!E287,DAMAS_Daily!F287)</f>
        <v/>
      </c>
      <c r="I287" s="43">
        <f>IF(C287="aFRR+",DAMAS_Daily!G287,DAMAS_Daily!H287)</f>
        <v/>
      </c>
      <c r="J287" s="45">
        <f>IF(C287="aFRR+",DAMAS_Daily!C287,DAMAS_Daily!D287)</f>
        <v/>
      </c>
      <c r="K287" s="45">
        <f>IF(C287="aFRR+",MIN(DAMAS_Daily!C287*market_share_B*acceptance_rate*stack_activation,power_mw*hours_per_day,capacity_mwh),MIN(DAMAS_Daily!D287*market_share_B*acceptance_rate*stack_activation,power_mw*hours_per_day,capacity_mwh))</f>
        <v/>
      </c>
      <c r="L287" s="42">
        <f>IF(K287&gt;=capacity_mwh-0.01,"yes","no")</f>
        <v/>
      </c>
      <c r="M287" s="18">
        <f>IF(C287="aFRR+",(MIN(DAMAS_Daily!C287*market_share_B*acceptance_rate*stack_activation,power_mw*hours_per_day,capacity_mwh))*DAMAS_Daily!E287*activation_mult_B,(MIN(DAMAS_Daily!D287*market_share_B*acceptance_rate*stack_activation,power_mw*hours_per_day,capacity_mwh))*DAMAS_Daily!F287*activation_mult_B)</f>
        <v/>
      </c>
      <c r="N287" s="19">
        <f>F287+M287</f>
        <v/>
      </c>
    </row>
    <row r="288">
      <c r="A288" s="41">
        <f>DAMAS_Daily!A288</f>
        <v/>
      </c>
      <c r="B288" s="42">
        <f>DAMAS_Daily!B288</f>
        <v/>
      </c>
      <c r="C288" s="42">
        <f>IF((power_mw*hours_per_day*damas_afrr_up*capacity_mult_B*stack_capacity*acceptance_rate+(MIN(DAMAS_Daily!C288*market_share_B*acceptance_rate*stack_activation,power_mw*hours_per_day,capacity_mwh))*DAMAS_Daily!E288*activation_mult_B)&gt;=(power_mw*hours_per_day*damas_afrr_down*capacity_mult_B*stack_capacity*acceptance_rate+(MIN(DAMAS_Daily!D288*market_share_B*acceptance_rate*stack_activation,power_mw*hours_per_day,capacity_mwh))*DAMAS_Daily!F288*activation_mult_B),"aFRR+","aFRR-")</f>
        <v/>
      </c>
      <c r="D288" s="43">
        <f>IF(C288="aFRR+",damas_afrr_up*capacity_mult_B,damas_afrr_down*capacity_mult_B)</f>
        <v/>
      </c>
      <c r="E288" s="44">
        <f>acceptance_rate</f>
        <v/>
      </c>
      <c r="F288" s="18">
        <f>IF(C288="aFRR+",power_mw*hours_per_day*damas_afrr_up*capacity_mult_B*stack_capacity*acceptance_rate,power_mw*hours_per_day*damas_afrr_down*capacity_mult_B*stack_capacity*acceptance_rate)</f>
        <v/>
      </c>
      <c r="G288" s="42">
        <f>IF(C288="aFRR+",DAMAS_Daily!I288,DAMAS_Daily!J288)</f>
        <v/>
      </c>
      <c r="H288" s="43">
        <f>IF(C288="aFRR+",DAMAS_Daily!E288,DAMAS_Daily!F288)</f>
        <v/>
      </c>
      <c r="I288" s="43">
        <f>IF(C288="aFRR+",DAMAS_Daily!G288,DAMAS_Daily!H288)</f>
        <v/>
      </c>
      <c r="J288" s="45">
        <f>IF(C288="aFRR+",DAMAS_Daily!C288,DAMAS_Daily!D288)</f>
        <v/>
      </c>
      <c r="K288" s="45">
        <f>IF(C288="aFRR+",MIN(DAMAS_Daily!C288*market_share_B*acceptance_rate*stack_activation,power_mw*hours_per_day,capacity_mwh),MIN(DAMAS_Daily!D288*market_share_B*acceptance_rate*stack_activation,power_mw*hours_per_day,capacity_mwh))</f>
        <v/>
      </c>
      <c r="L288" s="42">
        <f>IF(K288&gt;=capacity_mwh-0.01,"yes","no")</f>
        <v/>
      </c>
      <c r="M288" s="18">
        <f>IF(C288="aFRR+",(MIN(DAMAS_Daily!C288*market_share_B*acceptance_rate*stack_activation,power_mw*hours_per_day,capacity_mwh))*DAMAS_Daily!E288*activation_mult_B,(MIN(DAMAS_Daily!D288*market_share_B*acceptance_rate*stack_activation,power_mw*hours_per_day,capacity_mwh))*DAMAS_Daily!F288*activation_mult_B)</f>
        <v/>
      </c>
      <c r="N288" s="19">
        <f>F288+M288</f>
        <v/>
      </c>
    </row>
    <row r="289">
      <c r="A289" s="41">
        <f>DAMAS_Daily!A289</f>
        <v/>
      </c>
      <c r="B289" s="42">
        <f>DAMAS_Daily!B289</f>
        <v/>
      </c>
      <c r="C289" s="42">
        <f>IF((power_mw*hours_per_day*damas_afrr_up*capacity_mult_B*stack_capacity*acceptance_rate+(MIN(DAMAS_Daily!C289*market_share_B*acceptance_rate*stack_activation,power_mw*hours_per_day,capacity_mwh))*DAMAS_Daily!E289*activation_mult_B)&gt;=(power_mw*hours_per_day*damas_afrr_down*capacity_mult_B*stack_capacity*acceptance_rate+(MIN(DAMAS_Daily!D289*market_share_B*acceptance_rate*stack_activation,power_mw*hours_per_day,capacity_mwh))*DAMAS_Daily!F289*activation_mult_B),"aFRR+","aFRR-")</f>
        <v/>
      </c>
      <c r="D289" s="43">
        <f>IF(C289="aFRR+",damas_afrr_up*capacity_mult_B,damas_afrr_down*capacity_mult_B)</f>
        <v/>
      </c>
      <c r="E289" s="44">
        <f>acceptance_rate</f>
        <v/>
      </c>
      <c r="F289" s="18">
        <f>IF(C289="aFRR+",power_mw*hours_per_day*damas_afrr_up*capacity_mult_B*stack_capacity*acceptance_rate,power_mw*hours_per_day*damas_afrr_down*capacity_mult_B*stack_capacity*acceptance_rate)</f>
        <v/>
      </c>
      <c r="G289" s="42">
        <f>IF(C289="aFRR+",DAMAS_Daily!I289,DAMAS_Daily!J289)</f>
        <v/>
      </c>
      <c r="H289" s="43">
        <f>IF(C289="aFRR+",DAMAS_Daily!E289,DAMAS_Daily!F289)</f>
        <v/>
      </c>
      <c r="I289" s="43">
        <f>IF(C289="aFRR+",DAMAS_Daily!G289,DAMAS_Daily!H289)</f>
        <v/>
      </c>
      <c r="J289" s="45">
        <f>IF(C289="aFRR+",DAMAS_Daily!C289,DAMAS_Daily!D289)</f>
        <v/>
      </c>
      <c r="K289" s="45">
        <f>IF(C289="aFRR+",MIN(DAMAS_Daily!C289*market_share_B*acceptance_rate*stack_activation,power_mw*hours_per_day,capacity_mwh),MIN(DAMAS_Daily!D289*market_share_B*acceptance_rate*stack_activation,power_mw*hours_per_day,capacity_mwh))</f>
        <v/>
      </c>
      <c r="L289" s="42">
        <f>IF(K289&gt;=capacity_mwh-0.01,"yes","no")</f>
        <v/>
      </c>
      <c r="M289" s="18">
        <f>IF(C289="aFRR+",(MIN(DAMAS_Daily!C289*market_share_B*acceptance_rate*stack_activation,power_mw*hours_per_day,capacity_mwh))*DAMAS_Daily!E289*activation_mult_B,(MIN(DAMAS_Daily!D289*market_share_B*acceptance_rate*stack_activation,power_mw*hours_per_day,capacity_mwh))*DAMAS_Daily!F289*activation_mult_B)</f>
        <v/>
      </c>
      <c r="N289" s="19">
        <f>F289+M289</f>
        <v/>
      </c>
    </row>
    <row r="290">
      <c r="A290" s="41">
        <f>DAMAS_Daily!A290</f>
        <v/>
      </c>
      <c r="B290" s="42">
        <f>DAMAS_Daily!B290</f>
        <v/>
      </c>
      <c r="C290" s="42">
        <f>IF((power_mw*hours_per_day*damas_afrr_up*capacity_mult_B*stack_capacity*acceptance_rate+(MIN(DAMAS_Daily!C290*market_share_B*acceptance_rate*stack_activation,power_mw*hours_per_day,capacity_mwh))*DAMAS_Daily!E290*activation_mult_B)&gt;=(power_mw*hours_per_day*damas_afrr_down*capacity_mult_B*stack_capacity*acceptance_rate+(MIN(DAMAS_Daily!D290*market_share_B*acceptance_rate*stack_activation,power_mw*hours_per_day,capacity_mwh))*DAMAS_Daily!F290*activation_mult_B),"aFRR+","aFRR-")</f>
        <v/>
      </c>
      <c r="D290" s="43">
        <f>IF(C290="aFRR+",damas_afrr_up*capacity_mult_B,damas_afrr_down*capacity_mult_B)</f>
        <v/>
      </c>
      <c r="E290" s="44">
        <f>acceptance_rate</f>
        <v/>
      </c>
      <c r="F290" s="18">
        <f>IF(C290="aFRR+",power_mw*hours_per_day*damas_afrr_up*capacity_mult_B*stack_capacity*acceptance_rate,power_mw*hours_per_day*damas_afrr_down*capacity_mult_B*stack_capacity*acceptance_rate)</f>
        <v/>
      </c>
      <c r="G290" s="42">
        <f>IF(C290="aFRR+",DAMAS_Daily!I290,DAMAS_Daily!J290)</f>
        <v/>
      </c>
      <c r="H290" s="43">
        <f>IF(C290="aFRR+",DAMAS_Daily!E290,DAMAS_Daily!F290)</f>
        <v/>
      </c>
      <c r="I290" s="43">
        <f>IF(C290="aFRR+",DAMAS_Daily!G290,DAMAS_Daily!H290)</f>
        <v/>
      </c>
      <c r="J290" s="45">
        <f>IF(C290="aFRR+",DAMAS_Daily!C290,DAMAS_Daily!D290)</f>
        <v/>
      </c>
      <c r="K290" s="45">
        <f>IF(C290="aFRR+",MIN(DAMAS_Daily!C290*market_share_B*acceptance_rate*stack_activation,power_mw*hours_per_day,capacity_mwh),MIN(DAMAS_Daily!D290*market_share_B*acceptance_rate*stack_activation,power_mw*hours_per_day,capacity_mwh))</f>
        <v/>
      </c>
      <c r="L290" s="42">
        <f>IF(K290&gt;=capacity_mwh-0.01,"yes","no")</f>
        <v/>
      </c>
      <c r="M290" s="18">
        <f>IF(C290="aFRR+",(MIN(DAMAS_Daily!C290*market_share_B*acceptance_rate*stack_activation,power_mw*hours_per_day,capacity_mwh))*DAMAS_Daily!E290*activation_mult_B,(MIN(DAMAS_Daily!D290*market_share_B*acceptance_rate*stack_activation,power_mw*hours_per_day,capacity_mwh))*DAMAS_Daily!F290*activation_mult_B)</f>
        <v/>
      </c>
      <c r="N290" s="19">
        <f>F290+M290</f>
        <v/>
      </c>
    </row>
    <row r="291">
      <c r="A291" s="41">
        <f>DAMAS_Daily!A291</f>
        <v/>
      </c>
      <c r="B291" s="42">
        <f>DAMAS_Daily!B291</f>
        <v/>
      </c>
      <c r="C291" s="42">
        <f>IF((power_mw*hours_per_day*damas_afrr_up*capacity_mult_B*stack_capacity*acceptance_rate+(MIN(DAMAS_Daily!C291*market_share_B*acceptance_rate*stack_activation,power_mw*hours_per_day,capacity_mwh))*DAMAS_Daily!E291*activation_mult_B)&gt;=(power_mw*hours_per_day*damas_afrr_down*capacity_mult_B*stack_capacity*acceptance_rate+(MIN(DAMAS_Daily!D291*market_share_B*acceptance_rate*stack_activation,power_mw*hours_per_day,capacity_mwh))*DAMAS_Daily!F291*activation_mult_B),"aFRR+","aFRR-")</f>
        <v/>
      </c>
      <c r="D291" s="43">
        <f>IF(C291="aFRR+",damas_afrr_up*capacity_mult_B,damas_afrr_down*capacity_mult_B)</f>
        <v/>
      </c>
      <c r="E291" s="44">
        <f>acceptance_rate</f>
        <v/>
      </c>
      <c r="F291" s="18">
        <f>IF(C291="aFRR+",power_mw*hours_per_day*damas_afrr_up*capacity_mult_B*stack_capacity*acceptance_rate,power_mw*hours_per_day*damas_afrr_down*capacity_mult_B*stack_capacity*acceptance_rate)</f>
        <v/>
      </c>
      <c r="G291" s="42">
        <f>IF(C291="aFRR+",DAMAS_Daily!I291,DAMAS_Daily!J291)</f>
        <v/>
      </c>
      <c r="H291" s="43">
        <f>IF(C291="aFRR+",DAMAS_Daily!E291,DAMAS_Daily!F291)</f>
        <v/>
      </c>
      <c r="I291" s="43">
        <f>IF(C291="aFRR+",DAMAS_Daily!G291,DAMAS_Daily!H291)</f>
        <v/>
      </c>
      <c r="J291" s="45">
        <f>IF(C291="aFRR+",DAMAS_Daily!C291,DAMAS_Daily!D291)</f>
        <v/>
      </c>
      <c r="K291" s="45">
        <f>IF(C291="aFRR+",MIN(DAMAS_Daily!C291*market_share_B*acceptance_rate*stack_activation,power_mw*hours_per_day,capacity_mwh),MIN(DAMAS_Daily!D291*market_share_B*acceptance_rate*stack_activation,power_mw*hours_per_day,capacity_mwh))</f>
        <v/>
      </c>
      <c r="L291" s="42">
        <f>IF(K291&gt;=capacity_mwh-0.01,"yes","no")</f>
        <v/>
      </c>
      <c r="M291" s="18">
        <f>IF(C291="aFRR+",(MIN(DAMAS_Daily!C291*market_share_B*acceptance_rate*stack_activation,power_mw*hours_per_day,capacity_mwh))*DAMAS_Daily!E291*activation_mult_B,(MIN(DAMAS_Daily!D291*market_share_B*acceptance_rate*stack_activation,power_mw*hours_per_day,capacity_mwh))*DAMAS_Daily!F291*activation_mult_B)</f>
        <v/>
      </c>
      <c r="N291" s="19">
        <f>F291+M291</f>
        <v/>
      </c>
    </row>
    <row r="292">
      <c r="A292" s="41">
        <f>DAMAS_Daily!A292</f>
        <v/>
      </c>
      <c r="B292" s="42">
        <f>DAMAS_Daily!B292</f>
        <v/>
      </c>
      <c r="C292" s="42">
        <f>IF((power_mw*hours_per_day*damas_afrr_up*capacity_mult_B*stack_capacity*acceptance_rate+(MIN(DAMAS_Daily!C292*market_share_B*acceptance_rate*stack_activation,power_mw*hours_per_day,capacity_mwh))*DAMAS_Daily!E292*activation_mult_B)&gt;=(power_mw*hours_per_day*damas_afrr_down*capacity_mult_B*stack_capacity*acceptance_rate+(MIN(DAMAS_Daily!D292*market_share_B*acceptance_rate*stack_activation,power_mw*hours_per_day,capacity_mwh))*DAMAS_Daily!F292*activation_mult_B),"aFRR+","aFRR-")</f>
        <v/>
      </c>
      <c r="D292" s="43">
        <f>IF(C292="aFRR+",damas_afrr_up*capacity_mult_B,damas_afrr_down*capacity_mult_B)</f>
        <v/>
      </c>
      <c r="E292" s="44">
        <f>acceptance_rate</f>
        <v/>
      </c>
      <c r="F292" s="18">
        <f>IF(C292="aFRR+",power_mw*hours_per_day*damas_afrr_up*capacity_mult_B*stack_capacity*acceptance_rate,power_mw*hours_per_day*damas_afrr_down*capacity_mult_B*stack_capacity*acceptance_rate)</f>
        <v/>
      </c>
      <c r="G292" s="42">
        <f>IF(C292="aFRR+",DAMAS_Daily!I292,DAMAS_Daily!J292)</f>
        <v/>
      </c>
      <c r="H292" s="43">
        <f>IF(C292="aFRR+",DAMAS_Daily!E292,DAMAS_Daily!F292)</f>
        <v/>
      </c>
      <c r="I292" s="43">
        <f>IF(C292="aFRR+",DAMAS_Daily!G292,DAMAS_Daily!H292)</f>
        <v/>
      </c>
      <c r="J292" s="45">
        <f>IF(C292="aFRR+",DAMAS_Daily!C292,DAMAS_Daily!D292)</f>
        <v/>
      </c>
      <c r="K292" s="45">
        <f>IF(C292="aFRR+",MIN(DAMAS_Daily!C292*market_share_B*acceptance_rate*stack_activation,power_mw*hours_per_day,capacity_mwh),MIN(DAMAS_Daily!D292*market_share_B*acceptance_rate*stack_activation,power_mw*hours_per_day,capacity_mwh))</f>
        <v/>
      </c>
      <c r="L292" s="42">
        <f>IF(K292&gt;=capacity_mwh-0.01,"yes","no")</f>
        <v/>
      </c>
      <c r="M292" s="18">
        <f>IF(C292="aFRR+",(MIN(DAMAS_Daily!C292*market_share_B*acceptance_rate*stack_activation,power_mw*hours_per_day,capacity_mwh))*DAMAS_Daily!E292*activation_mult_B,(MIN(DAMAS_Daily!D292*market_share_B*acceptance_rate*stack_activation,power_mw*hours_per_day,capacity_mwh))*DAMAS_Daily!F292*activation_mult_B)</f>
        <v/>
      </c>
      <c r="N292" s="19">
        <f>F292+M292</f>
        <v/>
      </c>
    </row>
    <row r="293">
      <c r="A293" s="41">
        <f>DAMAS_Daily!A293</f>
        <v/>
      </c>
      <c r="B293" s="42">
        <f>DAMAS_Daily!B293</f>
        <v/>
      </c>
      <c r="C293" s="42">
        <f>IF((power_mw*hours_per_day*damas_afrr_up*capacity_mult_B*stack_capacity*acceptance_rate+(MIN(DAMAS_Daily!C293*market_share_B*acceptance_rate*stack_activation,power_mw*hours_per_day,capacity_mwh))*DAMAS_Daily!E293*activation_mult_B)&gt;=(power_mw*hours_per_day*damas_afrr_down*capacity_mult_B*stack_capacity*acceptance_rate+(MIN(DAMAS_Daily!D293*market_share_B*acceptance_rate*stack_activation,power_mw*hours_per_day,capacity_mwh))*DAMAS_Daily!F293*activation_mult_B),"aFRR+","aFRR-")</f>
        <v/>
      </c>
      <c r="D293" s="43">
        <f>IF(C293="aFRR+",damas_afrr_up*capacity_mult_B,damas_afrr_down*capacity_mult_B)</f>
        <v/>
      </c>
      <c r="E293" s="44">
        <f>acceptance_rate</f>
        <v/>
      </c>
      <c r="F293" s="18">
        <f>IF(C293="aFRR+",power_mw*hours_per_day*damas_afrr_up*capacity_mult_B*stack_capacity*acceptance_rate,power_mw*hours_per_day*damas_afrr_down*capacity_mult_B*stack_capacity*acceptance_rate)</f>
        <v/>
      </c>
      <c r="G293" s="42">
        <f>IF(C293="aFRR+",DAMAS_Daily!I293,DAMAS_Daily!J293)</f>
        <v/>
      </c>
      <c r="H293" s="43">
        <f>IF(C293="aFRR+",DAMAS_Daily!E293,DAMAS_Daily!F293)</f>
        <v/>
      </c>
      <c r="I293" s="43">
        <f>IF(C293="aFRR+",DAMAS_Daily!G293,DAMAS_Daily!H293)</f>
        <v/>
      </c>
      <c r="J293" s="45">
        <f>IF(C293="aFRR+",DAMAS_Daily!C293,DAMAS_Daily!D293)</f>
        <v/>
      </c>
      <c r="K293" s="45">
        <f>IF(C293="aFRR+",MIN(DAMAS_Daily!C293*market_share_B*acceptance_rate*stack_activation,power_mw*hours_per_day,capacity_mwh),MIN(DAMAS_Daily!D293*market_share_B*acceptance_rate*stack_activation,power_mw*hours_per_day,capacity_mwh))</f>
        <v/>
      </c>
      <c r="L293" s="42">
        <f>IF(K293&gt;=capacity_mwh-0.01,"yes","no")</f>
        <v/>
      </c>
      <c r="M293" s="18">
        <f>IF(C293="aFRR+",(MIN(DAMAS_Daily!C293*market_share_B*acceptance_rate*stack_activation,power_mw*hours_per_day,capacity_mwh))*DAMAS_Daily!E293*activation_mult_B,(MIN(DAMAS_Daily!D293*market_share_B*acceptance_rate*stack_activation,power_mw*hours_per_day,capacity_mwh))*DAMAS_Daily!F293*activation_mult_B)</f>
        <v/>
      </c>
      <c r="N293" s="19">
        <f>F293+M293</f>
        <v/>
      </c>
    </row>
    <row r="294">
      <c r="A294" s="41">
        <f>DAMAS_Daily!A294</f>
        <v/>
      </c>
      <c r="B294" s="42">
        <f>DAMAS_Daily!B294</f>
        <v/>
      </c>
      <c r="C294" s="42">
        <f>IF((power_mw*hours_per_day*damas_afrr_up*capacity_mult_B*stack_capacity*acceptance_rate+(MIN(DAMAS_Daily!C294*market_share_B*acceptance_rate*stack_activation,power_mw*hours_per_day,capacity_mwh))*DAMAS_Daily!E294*activation_mult_B)&gt;=(power_mw*hours_per_day*damas_afrr_down*capacity_mult_B*stack_capacity*acceptance_rate+(MIN(DAMAS_Daily!D294*market_share_B*acceptance_rate*stack_activation,power_mw*hours_per_day,capacity_mwh))*DAMAS_Daily!F294*activation_mult_B),"aFRR+","aFRR-")</f>
        <v/>
      </c>
      <c r="D294" s="43">
        <f>IF(C294="aFRR+",damas_afrr_up*capacity_mult_B,damas_afrr_down*capacity_mult_B)</f>
        <v/>
      </c>
      <c r="E294" s="44">
        <f>acceptance_rate</f>
        <v/>
      </c>
      <c r="F294" s="18">
        <f>IF(C294="aFRR+",power_mw*hours_per_day*damas_afrr_up*capacity_mult_B*stack_capacity*acceptance_rate,power_mw*hours_per_day*damas_afrr_down*capacity_mult_B*stack_capacity*acceptance_rate)</f>
        <v/>
      </c>
      <c r="G294" s="42">
        <f>IF(C294="aFRR+",DAMAS_Daily!I294,DAMAS_Daily!J294)</f>
        <v/>
      </c>
      <c r="H294" s="43">
        <f>IF(C294="aFRR+",DAMAS_Daily!E294,DAMAS_Daily!F294)</f>
        <v/>
      </c>
      <c r="I294" s="43">
        <f>IF(C294="aFRR+",DAMAS_Daily!G294,DAMAS_Daily!H294)</f>
        <v/>
      </c>
      <c r="J294" s="45">
        <f>IF(C294="aFRR+",DAMAS_Daily!C294,DAMAS_Daily!D294)</f>
        <v/>
      </c>
      <c r="K294" s="45">
        <f>IF(C294="aFRR+",MIN(DAMAS_Daily!C294*market_share_B*acceptance_rate*stack_activation,power_mw*hours_per_day,capacity_mwh),MIN(DAMAS_Daily!D294*market_share_B*acceptance_rate*stack_activation,power_mw*hours_per_day,capacity_mwh))</f>
        <v/>
      </c>
      <c r="L294" s="42">
        <f>IF(K294&gt;=capacity_mwh-0.01,"yes","no")</f>
        <v/>
      </c>
      <c r="M294" s="18">
        <f>IF(C294="aFRR+",(MIN(DAMAS_Daily!C294*market_share_B*acceptance_rate*stack_activation,power_mw*hours_per_day,capacity_mwh))*DAMAS_Daily!E294*activation_mult_B,(MIN(DAMAS_Daily!D294*market_share_B*acceptance_rate*stack_activation,power_mw*hours_per_day,capacity_mwh))*DAMAS_Daily!F294*activation_mult_B)</f>
        <v/>
      </c>
      <c r="N294" s="19">
        <f>F294+M294</f>
        <v/>
      </c>
    </row>
    <row r="295">
      <c r="A295" s="41">
        <f>DAMAS_Daily!A295</f>
        <v/>
      </c>
      <c r="B295" s="42">
        <f>DAMAS_Daily!B295</f>
        <v/>
      </c>
      <c r="C295" s="42">
        <f>IF((power_mw*hours_per_day*damas_afrr_up*capacity_mult_B*stack_capacity*acceptance_rate+(MIN(DAMAS_Daily!C295*market_share_B*acceptance_rate*stack_activation,power_mw*hours_per_day,capacity_mwh))*DAMAS_Daily!E295*activation_mult_B)&gt;=(power_mw*hours_per_day*damas_afrr_down*capacity_mult_B*stack_capacity*acceptance_rate+(MIN(DAMAS_Daily!D295*market_share_B*acceptance_rate*stack_activation,power_mw*hours_per_day,capacity_mwh))*DAMAS_Daily!F295*activation_mult_B),"aFRR+","aFRR-")</f>
        <v/>
      </c>
      <c r="D295" s="43">
        <f>IF(C295="aFRR+",damas_afrr_up*capacity_mult_B,damas_afrr_down*capacity_mult_B)</f>
        <v/>
      </c>
      <c r="E295" s="44">
        <f>acceptance_rate</f>
        <v/>
      </c>
      <c r="F295" s="18">
        <f>IF(C295="aFRR+",power_mw*hours_per_day*damas_afrr_up*capacity_mult_B*stack_capacity*acceptance_rate,power_mw*hours_per_day*damas_afrr_down*capacity_mult_B*stack_capacity*acceptance_rate)</f>
        <v/>
      </c>
      <c r="G295" s="42">
        <f>IF(C295="aFRR+",DAMAS_Daily!I295,DAMAS_Daily!J295)</f>
        <v/>
      </c>
      <c r="H295" s="43">
        <f>IF(C295="aFRR+",DAMAS_Daily!E295,DAMAS_Daily!F295)</f>
        <v/>
      </c>
      <c r="I295" s="43">
        <f>IF(C295="aFRR+",DAMAS_Daily!G295,DAMAS_Daily!H295)</f>
        <v/>
      </c>
      <c r="J295" s="45">
        <f>IF(C295="aFRR+",DAMAS_Daily!C295,DAMAS_Daily!D295)</f>
        <v/>
      </c>
      <c r="K295" s="45">
        <f>IF(C295="aFRR+",MIN(DAMAS_Daily!C295*market_share_B*acceptance_rate*stack_activation,power_mw*hours_per_day,capacity_mwh),MIN(DAMAS_Daily!D295*market_share_B*acceptance_rate*stack_activation,power_mw*hours_per_day,capacity_mwh))</f>
        <v/>
      </c>
      <c r="L295" s="42">
        <f>IF(K295&gt;=capacity_mwh-0.01,"yes","no")</f>
        <v/>
      </c>
      <c r="M295" s="18">
        <f>IF(C295="aFRR+",(MIN(DAMAS_Daily!C295*market_share_B*acceptance_rate*stack_activation,power_mw*hours_per_day,capacity_mwh))*DAMAS_Daily!E295*activation_mult_B,(MIN(DAMAS_Daily!D295*market_share_B*acceptance_rate*stack_activation,power_mw*hours_per_day,capacity_mwh))*DAMAS_Daily!F295*activation_mult_B)</f>
        <v/>
      </c>
      <c r="N295" s="19">
        <f>F295+M295</f>
        <v/>
      </c>
    </row>
    <row r="296">
      <c r="A296" s="41">
        <f>DAMAS_Daily!A296</f>
        <v/>
      </c>
      <c r="B296" s="42">
        <f>DAMAS_Daily!B296</f>
        <v/>
      </c>
      <c r="C296" s="42">
        <f>IF((power_mw*hours_per_day*damas_afrr_up*capacity_mult_B*stack_capacity*acceptance_rate+(MIN(DAMAS_Daily!C296*market_share_B*acceptance_rate*stack_activation,power_mw*hours_per_day,capacity_mwh))*DAMAS_Daily!E296*activation_mult_B)&gt;=(power_mw*hours_per_day*damas_afrr_down*capacity_mult_B*stack_capacity*acceptance_rate+(MIN(DAMAS_Daily!D296*market_share_B*acceptance_rate*stack_activation,power_mw*hours_per_day,capacity_mwh))*DAMAS_Daily!F296*activation_mult_B),"aFRR+","aFRR-")</f>
        <v/>
      </c>
      <c r="D296" s="43">
        <f>IF(C296="aFRR+",damas_afrr_up*capacity_mult_B,damas_afrr_down*capacity_mult_B)</f>
        <v/>
      </c>
      <c r="E296" s="44">
        <f>acceptance_rate</f>
        <v/>
      </c>
      <c r="F296" s="18">
        <f>IF(C296="aFRR+",power_mw*hours_per_day*damas_afrr_up*capacity_mult_B*stack_capacity*acceptance_rate,power_mw*hours_per_day*damas_afrr_down*capacity_mult_B*stack_capacity*acceptance_rate)</f>
        <v/>
      </c>
      <c r="G296" s="42">
        <f>IF(C296="aFRR+",DAMAS_Daily!I296,DAMAS_Daily!J296)</f>
        <v/>
      </c>
      <c r="H296" s="43">
        <f>IF(C296="aFRR+",DAMAS_Daily!E296,DAMAS_Daily!F296)</f>
        <v/>
      </c>
      <c r="I296" s="43">
        <f>IF(C296="aFRR+",DAMAS_Daily!G296,DAMAS_Daily!H296)</f>
        <v/>
      </c>
      <c r="J296" s="45">
        <f>IF(C296="aFRR+",DAMAS_Daily!C296,DAMAS_Daily!D296)</f>
        <v/>
      </c>
      <c r="K296" s="45">
        <f>IF(C296="aFRR+",MIN(DAMAS_Daily!C296*market_share_B*acceptance_rate*stack_activation,power_mw*hours_per_day,capacity_mwh),MIN(DAMAS_Daily!D296*market_share_B*acceptance_rate*stack_activation,power_mw*hours_per_day,capacity_mwh))</f>
        <v/>
      </c>
      <c r="L296" s="42">
        <f>IF(K296&gt;=capacity_mwh-0.01,"yes","no")</f>
        <v/>
      </c>
      <c r="M296" s="18">
        <f>IF(C296="aFRR+",(MIN(DAMAS_Daily!C296*market_share_B*acceptance_rate*stack_activation,power_mw*hours_per_day,capacity_mwh))*DAMAS_Daily!E296*activation_mult_B,(MIN(DAMAS_Daily!D296*market_share_B*acceptance_rate*stack_activation,power_mw*hours_per_day,capacity_mwh))*DAMAS_Daily!F296*activation_mult_B)</f>
        <v/>
      </c>
      <c r="N296" s="19">
        <f>F296+M296</f>
        <v/>
      </c>
    </row>
    <row r="297">
      <c r="A297" s="41">
        <f>DAMAS_Daily!A297</f>
        <v/>
      </c>
      <c r="B297" s="42">
        <f>DAMAS_Daily!B297</f>
        <v/>
      </c>
      <c r="C297" s="42">
        <f>IF((power_mw*hours_per_day*damas_afrr_up*capacity_mult_B*stack_capacity*acceptance_rate+(MIN(DAMAS_Daily!C297*market_share_B*acceptance_rate*stack_activation,power_mw*hours_per_day,capacity_mwh))*DAMAS_Daily!E297*activation_mult_B)&gt;=(power_mw*hours_per_day*damas_afrr_down*capacity_mult_B*stack_capacity*acceptance_rate+(MIN(DAMAS_Daily!D297*market_share_B*acceptance_rate*stack_activation,power_mw*hours_per_day,capacity_mwh))*DAMAS_Daily!F297*activation_mult_B),"aFRR+","aFRR-")</f>
        <v/>
      </c>
      <c r="D297" s="43">
        <f>IF(C297="aFRR+",damas_afrr_up*capacity_mult_B,damas_afrr_down*capacity_mult_B)</f>
        <v/>
      </c>
      <c r="E297" s="44">
        <f>acceptance_rate</f>
        <v/>
      </c>
      <c r="F297" s="18">
        <f>IF(C297="aFRR+",power_mw*hours_per_day*damas_afrr_up*capacity_mult_B*stack_capacity*acceptance_rate,power_mw*hours_per_day*damas_afrr_down*capacity_mult_B*stack_capacity*acceptance_rate)</f>
        <v/>
      </c>
      <c r="G297" s="42">
        <f>IF(C297="aFRR+",DAMAS_Daily!I297,DAMAS_Daily!J297)</f>
        <v/>
      </c>
      <c r="H297" s="43">
        <f>IF(C297="aFRR+",DAMAS_Daily!E297,DAMAS_Daily!F297)</f>
        <v/>
      </c>
      <c r="I297" s="43">
        <f>IF(C297="aFRR+",DAMAS_Daily!G297,DAMAS_Daily!H297)</f>
        <v/>
      </c>
      <c r="J297" s="45">
        <f>IF(C297="aFRR+",DAMAS_Daily!C297,DAMAS_Daily!D297)</f>
        <v/>
      </c>
      <c r="K297" s="45">
        <f>IF(C297="aFRR+",MIN(DAMAS_Daily!C297*market_share_B*acceptance_rate*stack_activation,power_mw*hours_per_day,capacity_mwh),MIN(DAMAS_Daily!D297*market_share_B*acceptance_rate*stack_activation,power_mw*hours_per_day,capacity_mwh))</f>
        <v/>
      </c>
      <c r="L297" s="42">
        <f>IF(K297&gt;=capacity_mwh-0.01,"yes","no")</f>
        <v/>
      </c>
      <c r="M297" s="18">
        <f>IF(C297="aFRR+",(MIN(DAMAS_Daily!C297*market_share_B*acceptance_rate*stack_activation,power_mw*hours_per_day,capacity_mwh))*DAMAS_Daily!E297*activation_mult_B,(MIN(DAMAS_Daily!D297*market_share_B*acceptance_rate*stack_activation,power_mw*hours_per_day,capacity_mwh))*DAMAS_Daily!F297*activation_mult_B)</f>
        <v/>
      </c>
      <c r="N297" s="19">
        <f>F297+M297</f>
        <v/>
      </c>
    </row>
    <row r="298">
      <c r="A298" s="41">
        <f>DAMAS_Daily!A298</f>
        <v/>
      </c>
      <c r="B298" s="42">
        <f>DAMAS_Daily!B298</f>
        <v/>
      </c>
      <c r="C298" s="42">
        <f>IF((power_mw*hours_per_day*damas_afrr_up*capacity_mult_B*stack_capacity*acceptance_rate+(MIN(DAMAS_Daily!C298*market_share_B*acceptance_rate*stack_activation,power_mw*hours_per_day,capacity_mwh))*DAMAS_Daily!E298*activation_mult_B)&gt;=(power_mw*hours_per_day*damas_afrr_down*capacity_mult_B*stack_capacity*acceptance_rate+(MIN(DAMAS_Daily!D298*market_share_B*acceptance_rate*stack_activation,power_mw*hours_per_day,capacity_mwh))*DAMAS_Daily!F298*activation_mult_B),"aFRR+","aFRR-")</f>
        <v/>
      </c>
      <c r="D298" s="43">
        <f>IF(C298="aFRR+",damas_afrr_up*capacity_mult_B,damas_afrr_down*capacity_mult_B)</f>
        <v/>
      </c>
      <c r="E298" s="44">
        <f>acceptance_rate</f>
        <v/>
      </c>
      <c r="F298" s="18">
        <f>IF(C298="aFRR+",power_mw*hours_per_day*damas_afrr_up*capacity_mult_B*stack_capacity*acceptance_rate,power_mw*hours_per_day*damas_afrr_down*capacity_mult_B*stack_capacity*acceptance_rate)</f>
        <v/>
      </c>
      <c r="G298" s="42">
        <f>IF(C298="aFRR+",DAMAS_Daily!I298,DAMAS_Daily!J298)</f>
        <v/>
      </c>
      <c r="H298" s="43">
        <f>IF(C298="aFRR+",DAMAS_Daily!E298,DAMAS_Daily!F298)</f>
        <v/>
      </c>
      <c r="I298" s="43">
        <f>IF(C298="aFRR+",DAMAS_Daily!G298,DAMAS_Daily!H298)</f>
        <v/>
      </c>
      <c r="J298" s="45">
        <f>IF(C298="aFRR+",DAMAS_Daily!C298,DAMAS_Daily!D298)</f>
        <v/>
      </c>
      <c r="K298" s="45">
        <f>IF(C298="aFRR+",MIN(DAMAS_Daily!C298*market_share_B*acceptance_rate*stack_activation,power_mw*hours_per_day,capacity_mwh),MIN(DAMAS_Daily!D298*market_share_B*acceptance_rate*stack_activation,power_mw*hours_per_day,capacity_mwh))</f>
        <v/>
      </c>
      <c r="L298" s="42">
        <f>IF(K298&gt;=capacity_mwh-0.01,"yes","no")</f>
        <v/>
      </c>
      <c r="M298" s="18">
        <f>IF(C298="aFRR+",(MIN(DAMAS_Daily!C298*market_share_B*acceptance_rate*stack_activation,power_mw*hours_per_day,capacity_mwh))*DAMAS_Daily!E298*activation_mult_B,(MIN(DAMAS_Daily!D298*market_share_B*acceptance_rate*stack_activation,power_mw*hours_per_day,capacity_mwh))*DAMAS_Daily!F298*activation_mult_B)</f>
        <v/>
      </c>
      <c r="N298" s="19">
        <f>F298+M298</f>
        <v/>
      </c>
    </row>
    <row r="299">
      <c r="A299" s="41">
        <f>DAMAS_Daily!A299</f>
        <v/>
      </c>
      <c r="B299" s="42">
        <f>DAMAS_Daily!B299</f>
        <v/>
      </c>
      <c r="C299" s="42">
        <f>IF((power_mw*hours_per_day*damas_afrr_up*capacity_mult_B*stack_capacity*acceptance_rate+(MIN(DAMAS_Daily!C299*market_share_B*acceptance_rate*stack_activation,power_mw*hours_per_day,capacity_mwh))*DAMAS_Daily!E299*activation_mult_B)&gt;=(power_mw*hours_per_day*damas_afrr_down*capacity_mult_B*stack_capacity*acceptance_rate+(MIN(DAMAS_Daily!D299*market_share_B*acceptance_rate*stack_activation,power_mw*hours_per_day,capacity_mwh))*DAMAS_Daily!F299*activation_mult_B),"aFRR+","aFRR-")</f>
        <v/>
      </c>
      <c r="D299" s="43">
        <f>IF(C299="aFRR+",damas_afrr_up*capacity_mult_B,damas_afrr_down*capacity_mult_B)</f>
        <v/>
      </c>
      <c r="E299" s="44">
        <f>acceptance_rate</f>
        <v/>
      </c>
      <c r="F299" s="18">
        <f>IF(C299="aFRR+",power_mw*hours_per_day*damas_afrr_up*capacity_mult_B*stack_capacity*acceptance_rate,power_mw*hours_per_day*damas_afrr_down*capacity_mult_B*stack_capacity*acceptance_rate)</f>
        <v/>
      </c>
      <c r="G299" s="42">
        <f>IF(C299="aFRR+",DAMAS_Daily!I299,DAMAS_Daily!J299)</f>
        <v/>
      </c>
      <c r="H299" s="43">
        <f>IF(C299="aFRR+",DAMAS_Daily!E299,DAMAS_Daily!F299)</f>
        <v/>
      </c>
      <c r="I299" s="43">
        <f>IF(C299="aFRR+",DAMAS_Daily!G299,DAMAS_Daily!H299)</f>
        <v/>
      </c>
      <c r="J299" s="45">
        <f>IF(C299="aFRR+",DAMAS_Daily!C299,DAMAS_Daily!D299)</f>
        <v/>
      </c>
      <c r="K299" s="45">
        <f>IF(C299="aFRR+",MIN(DAMAS_Daily!C299*market_share_B*acceptance_rate*stack_activation,power_mw*hours_per_day,capacity_mwh),MIN(DAMAS_Daily!D299*market_share_B*acceptance_rate*stack_activation,power_mw*hours_per_day,capacity_mwh))</f>
        <v/>
      </c>
      <c r="L299" s="42">
        <f>IF(K299&gt;=capacity_mwh-0.01,"yes","no")</f>
        <v/>
      </c>
      <c r="M299" s="18">
        <f>IF(C299="aFRR+",(MIN(DAMAS_Daily!C299*market_share_B*acceptance_rate*stack_activation,power_mw*hours_per_day,capacity_mwh))*DAMAS_Daily!E299*activation_mult_B,(MIN(DAMAS_Daily!D299*market_share_B*acceptance_rate*stack_activation,power_mw*hours_per_day,capacity_mwh))*DAMAS_Daily!F299*activation_mult_B)</f>
        <v/>
      </c>
      <c r="N299" s="19">
        <f>F299+M299</f>
        <v/>
      </c>
    </row>
    <row r="300">
      <c r="A300" s="41">
        <f>DAMAS_Daily!A300</f>
        <v/>
      </c>
      <c r="B300" s="42">
        <f>DAMAS_Daily!B300</f>
        <v/>
      </c>
      <c r="C300" s="42">
        <f>IF((power_mw*hours_per_day*damas_afrr_up*capacity_mult_B*stack_capacity*acceptance_rate+(MIN(DAMAS_Daily!C300*market_share_B*acceptance_rate*stack_activation,power_mw*hours_per_day,capacity_mwh))*DAMAS_Daily!E300*activation_mult_B)&gt;=(power_mw*hours_per_day*damas_afrr_down*capacity_mult_B*stack_capacity*acceptance_rate+(MIN(DAMAS_Daily!D300*market_share_B*acceptance_rate*stack_activation,power_mw*hours_per_day,capacity_mwh))*DAMAS_Daily!F300*activation_mult_B),"aFRR+","aFRR-")</f>
        <v/>
      </c>
      <c r="D300" s="43">
        <f>IF(C300="aFRR+",damas_afrr_up*capacity_mult_B,damas_afrr_down*capacity_mult_B)</f>
        <v/>
      </c>
      <c r="E300" s="44">
        <f>acceptance_rate</f>
        <v/>
      </c>
      <c r="F300" s="18">
        <f>IF(C300="aFRR+",power_mw*hours_per_day*damas_afrr_up*capacity_mult_B*stack_capacity*acceptance_rate,power_mw*hours_per_day*damas_afrr_down*capacity_mult_B*stack_capacity*acceptance_rate)</f>
        <v/>
      </c>
      <c r="G300" s="42">
        <f>IF(C300="aFRR+",DAMAS_Daily!I300,DAMAS_Daily!J300)</f>
        <v/>
      </c>
      <c r="H300" s="43">
        <f>IF(C300="aFRR+",DAMAS_Daily!E300,DAMAS_Daily!F300)</f>
        <v/>
      </c>
      <c r="I300" s="43">
        <f>IF(C300="aFRR+",DAMAS_Daily!G300,DAMAS_Daily!H300)</f>
        <v/>
      </c>
      <c r="J300" s="45">
        <f>IF(C300="aFRR+",DAMAS_Daily!C300,DAMAS_Daily!D300)</f>
        <v/>
      </c>
      <c r="K300" s="45">
        <f>IF(C300="aFRR+",MIN(DAMAS_Daily!C300*market_share_B*acceptance_rate*stack_activation,power_mw*hours_per_day,capacity_mwh),MIN(DAMAS_Daily!D300*market_share_B*acceptance_rate*stack_activation,power_mw*hours_per_day,capacity_mwh))</f>
        <v/>
      </c>
      <c r="L300" s="42">
        <f>IF(K300&gt;=capacity_mwh-0.01,"yes","no")</f>
        <v/>
      </c>
      <c r="M300" s="18">
        <f>IF(C300="aFRR+",(MIN(DAMAS_Daily!C300*market_share_B*acceptance_rate*stack_activation,power_mw*hours_per_day,capacity_mwh))*DAMAS_Daily!E300*activation_mult_B,(MIN(DAMAS_Daily!D300*market_share_B*acceptance_rate*stack_activation,power_mw*hours_per_day,capacity_mwh))*DAMAS_Daily!F300*activation_mult_B)</f>
        <v/>
      </c>
      <c r="N300" s="19">
        <f>F300+M300</f>
        <v/>
      </c>
    </row>
    <row r="301">
      <c r="A301" s="41">
        <f>DAMAS_Daily!A301</f>
        <v/>
      </c>
      <c r="B301" s="42">
        <f>DAMAS_Daily!B301</f>
        <v/>
      </c>
      <c r="C301" s="42">
        <f>IF((power_mw*hours_per_day*damas_afrr_up*capacity_mult_B*stack_capacity*acceptance_rate+(MIN(DAMAS_Daily!C301*market_share_B*acceptance_rate*stack_activation,power_mw*hours_per_day,capacity_mwh))*DAMAS_Daily!E301*activation_mult_B)&gt;=(power_mw*hours_per_day*damas_afrr_down*capacity_mult_B*stack_capacity*acceptance_rate+(MIN(DAMAS_Daily!D301*market_share_B*acceptance_rate*stack_activation,power_mw*hours_per_day,capacity_mwh))*DAMAS_Daily!F301*activation_mult_B),"aFRR+","aFRR-")</f>
        <v/>
      </c>
      <c r="D301" s="43">
        <f>IF(C301="aFRR+",damas_afrr_up*capacity_mult_B,damas_afrr_down*capacity_mult_B)</f>
        <v/>
      </c>
      <c r="E301" s="44">
        <f>acceptance_rate</f>
        <v/>
      </c>
      <c r="F301" s="18">
        <f>IF(C301="aFRR+",power_mw*hours_per_day*damas_afrr_up*capacity_mult_B*stack_capacity*acceptance_rate,power_mw*hours_per_day*damas_afrr_down*capacity_mult_B*stack_capacity*acceptance_rate)</f>
        <v/>
      </c>
      <c r="G301" s="42">
        <f>IF(C301="aFRR+",DAMAS_Daily!I301,DAMAS_Daily!J301)</f>
        <v/>
      </c>
      <c r="H301" s="43">
        <f>IF(C301="aFRR+",DAMAS_Daily!E301,DAMAS_Daily!F301)</f>
        <v/>
      </c>
      <c r="I301" s="43">
        <f>IF(C301="aFRR+",DAMAS_Daily!G301,DAMAS_Daily!H301)</f>
        <v/>
      </c>
      <c r="J301" s="45">
        <f>IF(C301="aFRR+",DAMAS_Daily!C301,DAMAS_Daily!D301)</f>
        <v/>
      </c>
      <c r="K301" s="45">
        <f>IF(C301="aFRR+",MIN(DAMAS_Daily!C301*market_share_B*acceptance_rate*stack_activation,power_mw*hours_per_day,capacity_mwh),MIN(DAMAS_Daily!D301*market_share_B*acceptance_rate*stack_activation,power_mw*hours_per_day,capacity_mwh))</f>
        <v/>
      </c>
      <c r="L301" s="42">
        <f>IF(K301&gt;=capacity_mwh-0.01,"yes","no")</f>
        <v/>
      </c>
      <c r="M301" s="18">
        <f>IF(C301="aFRR+",(MIN(DAMAS_Daily!C301*market_share_B*acceptance_rate*stack_activation,power_mw*hours_per_day,capacity_mwh))*DAMAS_Daily!E301*activation_mult_B,(MIN(DAMAS_Daily!D301*market_share_B*acceptance_rate*stack_activation,power_mw*hours_per_day,capacity_mwh))*DAMAS_Daily!F301*activation_mult_B)</f>
        <v/>
      </c>
      <c r="N301" s="19">
        <f>F301+M301</f>
        <v/>
      </c>
    </row>
    <row r="302">
      <c r="A302" s="41">
        <f>DAMAS_Daily!A302</f>
        <v/>
      </c>
      <c r="B302" s="42">
        <f>DAMAS_Daily!B302</f>
        <v/>
      </c>
      <c r="C302" s="42">
        <f>IF((power_mw*hours_per_day*damas_afrr_up*capacity_mult_B*stack_capacity*acceptance_rate+(MIN(DAMAS_Daily!C302*market_share_B*acceptance_rate*stack_activation,power_mw*hours_per_day,capacity_mwh))*DAMAS_Daily!E302*activation_mult_B)&gt;=(power_mw*hours_per_day*damas_afrr_down*capacity_mult_B*stack_capacity*acceptance_rate+(MIN(DAMAS_Daily!D302*market_share_B*acceptance_rate*stack_activation,power_mw*hours_per_day,capacity_mwh))*DAMAS_Daily!F302*activation_mult_B),"aFRR+","aFRR-")</f>
        <v/>
      </c>
      <c r="D302" s="43">
        <f>IF(C302="aFRR+",damas_afrr_up*capacity_mult_B,damas_afrr_down*capacity_mult_B)</f>
        <v/>
      </c>
      <c r="E302" s="44">
        <f>acceptance_rate</f>
        <v/>
      </c>
      <c r="F302" s="18">
        <f>IF(C302="aFRR+",power_mw*hours_per_day*damas_afrr_up*capacity_mult_B*stack_capacity*acceptance_rate,power_mw*hours_per_day*damas_afrr_down*capacity_mult_B*stack_capacity*acceptance_rate)</f>
        <v/>
      </c>
      <c r="G302" s="42">
        <f>IF(C302="aFRR+",DAMAS_Daily!I302,DAMAS_Daily!J302)</f>
        <v/>
      </c>
      <c r="H302" s="43">
        <f>IF(C302="aFRR+",DAMAS_Daily!E302,DAMAS_Daily!F302)</f>
        <v/>
      </c>
      <c r="I302" s="43">
        <f>IF(C302="aFRR+",DAMAS_Daily!G302,DAMAS_Daily!H302)</f>
        <v/>
      </c>
      <c r="J302" s="45">
        <f>IF(C302="aFRR+",DAMAS_Daily!C302,DAMAS_Daily!D302)</f>
        <v/>
      </c>
      <c r="K302" s="45">
        <f>IF(C302="aFRR+",MIN(DAMAS_Daily!C302*market_share_B*acceptance_rate*stack_activation,power_mw*hours_per_day,capacity_mwh),MIN(DAMAS_Daily!D302*market_share_B*acceptance_rate*stack_activation,power_mw*hours_per_day,capacity_mwh))</f>
        <v/>
      </c>
      <c r="L302" s="42">
        <f>IF(K302&gt;=capacity_mwh-0.01,"yes","no")</f>
        <v/>
      </c>
      <c r="M302" s="18">
        <f>IF(C302="aFRR+",(MIN(DAMAS_Daily!C302*market_share_B*acceptance_rate*stack_activation,power_mw*hours_per_day,capacity_mwh))*DAMAS_Daily!E302*activation_mult_B,(MIN(DAMAS_Daily!D302*market_share_B*acceptance_rate*stack_activation,power_mw*hours_per_day,capacity_mwh))*DAMAS_Daily!F302*activation_mult_B)</f>
        <v/>
      </c>
      <c r="N302" s="19">
        <f>F302+M302</f>
        <v/>
      </c>
    </row>
    <row r="303">
      <c r="A303" s="41">
        <f>DAMAS_Daily!A303</f>
        <v/>
      </c>
      <c r="B303" s="42">
        <f>DAMAS_Daily!B303</f>
        <v/>
      </c>
      <c r="C303" s="42">
        <f>IF((power_mw*hours_per_day*damas_afrr_up*capacity_mult_B*stack_capacity*acceptance_rate+(MIN(DAMAS_Daily!C303*market_share_B*acceptance_rate*stack_activation,power_mw*hours_per_day,capacity_mwh))*DAMAS_Daily!E303*activation_mult_B)&gt;=(power_mw*hours_per_day*damas_afrr_down*capacity_mult_B*stack_capacity*acceptance_rate+(MIN(DAMAS_Daily!D303*market_share_B*acceptance_rate*stack_activation,power_mw*hours_per_day,capacity_mwh))*DAMAS_Daily!F303*activation_mult_B),"aFRR+","aFRR-")</f>
        <v/>
      </c>
      <c r="D303" s="43">
        <f>IF(C303="aFRR+",damas_afrr_up*capacity_mult_B,damas_afrr_down*capacity_mult_B)</f>
        <v/>
      </c>
      <c r="E303" s="44">
        <f>acceptance_rate</f>
        <v/>
      </c>
      <c r="F303" s="18">
        <f>IF(C303="aFRR+",power_mw*hours_per_day*damas_afrr_up*capacity_mult_B*stack_capacity*acceptance_rate,power_mw*hours_per_day*damas_afrr_down*capacity_mult_B*stack_capacity*acceptance_rate)</f>
        <v/>
      </c>
      <c r="G303" s="42">
        <f>IF(C303="aFRR+",DAMAS_Daily!I303,DAMAS_Daily!J303)</f>
        <v/>
      </c>
      <c r="H303" s="43">
        <f>IF(C303="aFRR+",DAMAS_Daily!E303,DAMAS_Daily!F303)</f>
        <v/>
      </c>
      <c r="I303" s="43">
        <f>IF(C303="aFRR+",DAMAS_Daily!G303,DAMAS_Daily!H303)</f>
        <v/>
      </c>
      <c r="J303" s="45">
        <f>IF(C303="aFRR+",DAMAS_Daily!C303,DAMAS_Daily!D303)</f>
        <v/>
      </c>
      <c r="K303" s="45">
        <f>IF(C303="aFRR+",MIN(DAMAS_Daily!C303*market_share_B*acceptance_rate*stack_activation,power_mw*hours_per_day,capacity_mwh),MIN(DAMAS_Daily!D303*market_share_B*acceptance_rate*stack_activation,power_mw*hours_per_day,capacity_mwh))</f>
        <v/>
      </c>
      <c r="L303" s="42">
        <f>IF(K303&gt;=capacity_mwh-0.01,"yes","no")</f>
        <v/>
      </c>
      <c r="M303" s="18">
        <f>IF(C303="aFRR+",(MIN(DAMAS_Daily!C303*market_share_B*acceptance_rate*stack_activation,power_mw*hours_per_day,capacity_mwh))*DAMAS_Daily!E303*activation_mult_B,(MIN(DAMAS_Daily!D303*market_share_B*acceptance_rate*stack_activation,power_mw*hours_per_day,capacity_mwh))*DAMAS_Daily!F303*activation_mult_B)</f>
        <v/>
      </c>
      <c r="N303" s="19">
        <f>F303+M303</f>
        <v/>
      </c>
    </row>
    <row r="304">
      <c r="A304" s="41">
        <f>DAMAS_Daily!A304</f>
        <v/>
      </c>
      <c r="B304" s="42">
        <f>DAMAS_Daily!B304</f>
        <v/>
      </c>
      <c r="C304" s="42">
        <f>IF((power_mw*hours_per_day*damas_afrr_up*capacity_mult_B*stack_capacity*acceptance_rate+(MIN(DAMAS_Daily!C304*market_share_B*acceptance_rate*stack_activation,power_mw*hours_per_day,capacity_mwh))*DAMAS_Daily!E304*activation_mult_B)&gt;=(power_mw*hours_per_day*damas_afrr_down*capacity_mult_B*stack_capacity*acceptance_rate+(MIN(DAMAS_Daily!D304*market_share_B*acceptance_rate*stack_activation,power_mw*hours_per_day,capacity_mwh))*DAMAS_Daily!F304*activation_mult_B),"aFRR+","aFRR-")</f>
        <v/>
      </c>
      <c r="D304" s="43">
        <f>IF(C304="aFRR+",damas_afrr_up*capacity_mult_B,damas_afrr_down*capacity_mult_B)</f>
        <v/>
      </c>
      <c r="E304" s="44">
        <f>acceptance_rate</f>
        <v/>
      </c>
      <c r="F304" s="18">
        <f>IF(C304="aFRR+",power_mw*hours_per_day*damas_afrr_up*capacity_mult_B*stack_capacity*acceptance_rate,power_mw*hours_per_day*damas_afrr_down*capacity_mult_B*stack_capacity*acceptance_rate)</f>
        <v/>
      </c>
      <c r="G304" s="42">
        <f>IF(C304="aFRR+",DAMAS_Daily!I304,DAMAS_Daily!J304)</f>
        <v/>
      </c>
      <c r="H304" s="43">
        <f>IF(C304="aFRR+",DAMAS_Daily!E304,DAMAS_Daily!F304)</f>
        <v/>
      </c>
      <c r="I304" s="43">
        <f>IF(C304="aFRR+",DAMAS_Daily!G304,DAMAS_Daily!H304)</f>
        <v/>
      </c>
      <c r="J304" s="45">
        <f>IF(C304="aFRR+",DAMAS_Daily!C304,DAMAS_Daily!D304)</f>
        <v/>
      </c>
      <c r="K304" s="45">
        <f>IF(C304="aFRR+",MIN(DAMAS_Daily!C304*market_share_B*acceptance_rate*stack_activation,power_mw*hours_per_day,capacity_mwh),MIN(DAMAS_Daily!D304*market_share_B*acceptance_rate*stack_activation,power_mw*hours_per_day,capacity_mwh))</f>
        <v/>
      </c>
      <c r="L304" s="42">
        <f>IF(K304&gt;=capacity_mwh-0.01,"yes","no")</f>
        <v/>
      </c>
      <c r="M304" s="18">
        <f>IF(C304="aFRR+",(MIN(DAMAS_Daily!C304*market_share_B*acceptance_rate*stack_activation,power_mw*hours_per_day,capacity_mwh))*DAMAS_Daily!E304*activation_mult_B,(MIN(DAMAS_Daily!D304*market_share_B*acceptance_rate*stack_activation,power_mw*hours_per_day,capacity_mwh))*DAMAS_Daily!F304*activation_mult_B)</f>
        <v/>
      </c>
      <c r="N304" s="19">
        <f>F304+M304</f>
        <v/>
      </c>
    </row>
    <row r="305">
      <c r="A305" s="41">
        <f>DAMAS_Daily!A305</f>
        <v/>
      </c>
      <c r="B305" s="42">
        <f>DAMAS_Daily!B305</f>
        <v/>
      </c>
      <c r="C305" s="42">
        <f>IF((power_mw*hours_per_day*damas_afrr_up*capacity_mult_B*stack_capacity*acceptance_rate+(MIN(DAMAS_Daily!C305*market_share_B*acceptance_rate*stack_activation,power_mw*hours_per_day,capacity_mwh))*DAMAS_Daily!E305*activation_mult_B)&gt;=(power_mw*hours_per_day*damas_afrr_down*capacity_mult_B*stack_capacity*acceptance_rate+(MIN(DAMAS_Daily!D305*market_share_B*acceptance_rate*stack_activation,power_mw*hours_per_day,capacity_mwh))*DAMAS_Daily!F305*activation_mult_B),"aFRR+","aFRR-")</f>
        <v/>
      </c>
      <c r="D305" s="43">
        <f>IF(C305="aFRR+",damas_afrr_up*capacity_mult_B,damas_afrr_down*capacity_mult_B)</f>
        <v/>
      </c>
      <c r="E305" s="44">
        <f>acceptance_rate</f>
        <v/>
      </c>
      <c r="F305" s="18">
        <f>IF(C305="aFRR+",power_mw*hours_per_day*damas_afrr_up*capacity_mult_B*stack_capacity*acceptance_rate,power_mw*hours_per_day*damas_afrr_down*capacity_mult_B*stack_capacity*acceptance_rate)</f>
        <v/>
      </c>
      <c r="G305" s="42">
        <f>IF(C305="aFRR+",DAMAS_Daily!I305,DAMAS_Daily!J305)</f>
        <v/>
      </c>
      <c r="H305" s="43">
        <f>IF(C305="aFRR+",DAMAS_Daily!E305,DAMAS_Daily!F305)</f>
        <v/>
      </c>
      <c r="I305" s="43">
        <f>IF(C305="aFRR+",DAMAS_Daily!G305,DAMAS_Daily!H305)</f>
        <v/>
      </c>
      <c r="J305" s="45">
        <f>IF(C305="aFRR+",DAMAS_Daily!C305,DAMAS_Daily!D305)</f>
        <v/>
      </c>
      <c r="K305" s="45">
        <f>IF(C305="aFRR+",MIN(DAMAS_Daily!C305*market_share_B*acceptance_rate*stack_activation,power_mw*hours_per_day,capacity_mwh),MIN(DAMAS_Daily!D305*market_share_B*acceptance_rate*stack_activation,power_mw*hours_per_day,capacity_mwh))</f>
        <v/>
      </c>
      <c r="L305" s="42">
        <f>IF(K305&gt;=capacity_mwh-0.01,"yes","no")</f>
        <v/>
      </c>
      <c r="M305" s="18">
        <f>IF(C305="aFRR+",(MIN(DAMAS_Daily!C305*market_share_B*acceptance_rate*stack_activation,power_mw*hours_per_day,capacity_mwh))*DAMAS_Daily!E305*activation_mult_B,(MIN(DAMAS_Daily!D305*market_share_B*acceptance_rate*stack_activation,power_mw*hours_per_day,capacity_mwh))*DAMAS_Daily!F305*activation_mult_B)</f>
        <v/>
      </c>
      <c r="N305" s="19">
        <f>F305+M305</f>
        <v/>
      </c>
    </row>
    <row r="306">
      <c r="A306" s="41">
        <f>DAMAS_Daily!A306</f>
        <v/>
      </c>
      <c r="B306" s="42">
        <f>DAMAS_Daily!B306</f>
        <v/>
      </c>
      <c r="C306" s="42">
        <f>IF((power_mw*hours_per_day*damas_afrr_up*capacity_mult_B*stack_capacity*acceptance_rate+(MIN(DAMAS_Daily!C306*market_share_B*acceptance_rate*stack_activation,power_mw*hours_per_day,capacity_mwh))*DAMAS_Daily!E306*activation_mult_B)&gt;=(power_mw*hours_per_day*damas_afrr_down*capacity_mult_B*stack_capacity*acceptance_rate+(MIN(DAMAS_Daily!D306*market_share_B*acceptance_rate*stack_activation,power_mw*hours_per_day,capacity_mwh))*DAMAS_Daily!F306*activation_mult_B),"aFRR+","aFRR-")</f>
        <v/>
      </c>
      <c r="D306" s="43">
        <f>IF(C306="aFRR+",damas_afrr_up*capacity_mult_B,damas_afrr_down*capacity_mult_B)</f>
        <v/>
      </c>
      <c r="E306" s="44">
        <f>acceptance_rate</f>
        <v/>
      </c>
      <c r="F306" s="18">
        <f>IF(C306="aFRR+",power_mw*hours_per_day*damas_afrr_up*capacity_mult_B*stack_capacity*acceptance_rate,power_mw*hours_per_day*damas_afrr_down*capacity_mult_B*stack_capacity*acceptance_rate)</f>
        <v/>
      </c>
      <c r="G306" s="42">
        <f>IF(C306="aFRR+",DAMAS_Daily!I306,DAMAS_Daily!J306)</f>
        <v/>
      </c>
      <c r="H306" s="43">
        <f>IF(C306="aFRR+",DAMAS_Daily!E306,DAMAS_Daily!F306)</f>
        <v/>
      </c>
      <c r="I306" s="43">
        <f>IF(C306="aFRR+",DAMAS_Daily!G306,DAMAS_Daily!H306)</f>
        <v/>
      </c>
      <c r="J306" s="45">
        <f>IF(C306="aFRR+",DAMAS_Daily!C306,DAMAS_Daily!D306)</f>
        <v/>
      </c>
      <c r="K306" s="45">
        <f>IF(C306="aFRR+",MIN(DAMAS_Daily!C306*market_share_B*acceptance_rate*stack_activation,power_mw*hours_per_day,capacity_mwh),MIN(DAMAS_Daily!D306*market_share_B*acceptance_rate*stack_activation,power_mw*hours_per_day,capacity_mwh))</f>
        <v/>
      </c>
      <c r="L306" s="42">
        <f>IF(K306&gt;=capacity_mwh-0.01,"yes","no")</f>
        <v/>
      </c>
      <c r="M306" s="18">
        <f>IF(C306="aFRR+",(MIN(DAMAS_Daily!C306*market_share_B*acceptance_rate*stack_activation,power_mw*hours_per_day,capacity_mwh))*DAMAS_Daily!E306*activation_mult_B,(MIN(DAMAS_Daily!D306*market_share_B*acceptance_rate*stack_activation,power_mw*hours_per_day,capacity_mwh))*DAMAS_Daily!F306*activation_mult_B)</f>
        <v/>
      </c>
      <c r="N306" s="19">
        <f>F306+M306</f>
        <v/>
      </c>
    </row>
    <row r="307">
      <c r="A307" s="41">
        <f>DAMAS_Daily!A307</f>
        <v/>
      </c>
      <c r="B307" s="42">
        <f>DAMAS_Daily!B307</f>
        <v/>
      </c>
      <c r="C307" s="42">
        <f>IF((power_mw*hours_per_day*damas_afrr_up*capacity_mult_B*stack_capacity*acceptance_rate+(MIN(DAMAS_Daily!C307*market_share_B*acceptance_rate*stack_activation,power_mw*hours_per_day,capacity_mwh))*DAMAS_Daily!E307*activation_mult_B)&gt;=(power_mw*hours_per_day*damas_afrr_down*capacity_mult_B*stack_capacity*acceptance_rate+(MIN(DAMAS_Daily!D307*market_share_B*acceptance_rate*stack_activation,power_mw*hours_per_day,capacity_mwh))*DAMAS_Daily!F307*activation_mult_B),"aFRR+","aFRR-")</f>
        <v/>
      </c>
      <c r="D307" s="43">
        <f>IF(C307="aFRR+",damas_afrr_up*capacity_mult_B,damas_afrr_down*capacity_mult_B)</f>
        <v/>
      </c>
      <c r="E307" s="44">
        <f>acceptance_rate</f>
        <v/>
      </c>
      <c r="F307" s="18">
        <f>IF(C307="aFRR+",power_mw*hours_per_day*damas_afrr_up*capacity_mult_B*stack_capacity*acceptance_rate,power_mw*hours_per_day*damas_afrr_down*capacity_mult_B*stack_capacity*acceptance_rate)</f>
        <v/>
      </c>
      <c r="G307" s="42">
        <f>IF(C307="aFRR+",DAMAS_Daily!I307,DAMAS_Daily!J307)</f>
        <v/>
      </c>
      <c r="H307" s="43">
        <f>IF(C307="aFRR+",DAMAS_Daily!E307,DAMAS_Daily!F307)</f>
        <v/>
      </c>
      <c r="I307" s="43">
        <f>IF(C307="aFRR+",DAMAS_Daily!G307,DAMAS_Daily!H307)</f>
        <v/>
      </c>
      <c r="J307" s="45">
        <f>IF(C307="aFRR+",DAMAS_Daily!C307,DAMAS_Daily!D307)</f>
        <v/>
      </c>
      <c r="K307" s="45">
        <f>IF(C307="aFRR+",MIN(DAMAS_Daily!C307*market_share_B*acceptance_rate*stack_activation,power_mw*hours_per_day,capacity_mwh),MIN(DAMAS_Daily!D307*market_share_B*acceptance_rate*stack_activation,power_mw*hours_per_day,capacity_mwh))</f>
        <v/>
      </c>
      <c r="L307" s="42">
        <f>IF(K307&gt;=capacity_mwh-0.01,"yes","no")</f>
        <v/>
      </c>
      <c r="M307" s="18">
        <f>IF(C307="aFRR+",(MIN(DAMAS_Daily!C307*market_share_B*acceptance_rate*stack_activation,power_mw*hours_per_day,capacity_mwh))*DAMAS_Daily!E307*activation_mult_B,(MIN(DAMAS_Daily!D307*market_share_B*acceptance_rate*stack_activation,power_mw*hours_per_day,capacity_mwh))*DAMAS_Daily!F307*activation_mult_B)</f>
        <v/>
      </c>
      <c r="N307" s="19">
        <f>F307+M307</f>
        <v/>
      </c>
    </row>
    <row r="308">
      <c r="A308" s="41">
        <f>DAMAS_Daily!A308</f>
        <v/>
      </c>
      <c r="B308" s="42">
        <f>DAMAS_Daily!B308</f>
        <v/>
      </c>
      <c r="C308" s="42">
        <f>IF((power_mw*hours_per_day*damas_afrr_up*capacity_mult_B*stack_capacity*acceptance_rate+(MIN(DAMAS_Daily!C308*market_share_B*acceptance_rate*stack_activation,power_mw*hours_per_day,capacity_mwh))*DAMAS_Daily!E308*activation_mult_B)&gt;=(power_mw*hours_per_day*damas_afrr_down*capacity_mult_B*stack_capacity*acceptance_rate+(MIN(DAMAS_Daily!D308*market_share_B*acceptance_rate*stack_activation,power_mw*hours_per_day,capacity_mwh))*DAMAS_Daily!F308*activation_mult_B),"aFRR+","aFRR-")</f>
        <v/>
      </c>
      <c r="D308" s="43">
        <f>IF(C308="aFRR+",damas_afrr_up*capacity_mult_B,damas_afrr_down*capacity_mult_B)</f>
        <v/>
      </c>
      <c r="E308" s="44">
        <f>acceptance_rate</f>
        <v/>
      </c>
      <c r="F308" s="18">
        <f>IF(C308="aFRR+",power_mw*hours_per_day*damas_afrr_up*capacity_mult_B*stack_capacity*acceptance_rate,power_mw*hours_per_day*damas_afrr_down*capacity_mult_B*stack_capacity*acceptance_rate)</f>
        <v/>
      </c>
      <c r="G308" s="42">
        <f>IF(C308="aFRR+",DAMAS_Daily!I308,DAMAS_Daily!J308)</f>
        <v/>
      </c>
      <c r="H308" s="43">
        <f>IF(C308="aFRR+",DAMAS_Daily!E308,DAMAS_Daily!F308)</f>
        <v/>
      </c>
      <c r="I308" s="43">
        <f>IF(C308="aFRR+",DAMAS_Daily!G308,DAMAS_Daily!H308)</f>
        <v/>
      </c>
      <c r="J308" s="45">
        <f>IF(C308="aFRR+",DAMAS_Daily!C308,DAMAS_Daily!D308)</f>
        <v/>
      </c>
      <c r="K308" s="45">
        <f>IF(C308="aFRR+",MIN(DAMAS_Daily!C308*market_share_B*acceptance_rate*stack_activation,power_mw*hours_per_day,capacity_mwh),MIN(DAMAS_Daily!D308*market_share_B*acceptance_rate*stack_activation,power_mw*hours_per_day,capacity_mwh))</f>
        <v/>
      </c>
      <c r="L308" s="42">
        <f>IF(K308&gt;=capacity_mwh-0.01,"yes","no")</f>
        <v/>
      </c>
      <c r="M308" s="18">
        <f>IF(C308="aFRR+",(MIN(DAMAS_Daily!C308*market_share_B*acceptance_rate*stack_activation,power_mw*hours_per_day,capacity_mwh))*DAMAS_Daily!E308*activation_mult_B,(MIN(DAMAS_Daily!D308*market_share_B*acceptance_rate*stack_activation,power_mw*hours_per_day,capacity_mwh))*DAMAS_Daily!F308*activation_mult_B)</f>
        <v/>
      </c>
      <c r="N308" s="19">
        <f>F308+M308</f>
        <v/>
      </c>
    </row>
    <row r="309">
      <c r="A309" s="41">
        <f>DAMAS_Daily!A309</f>
        <v/>
      </c>
      <c r="B309" s="42">
        <f>DAMAS_Daily!B309</f>
        <v/>
      </c>
      <c r="C309" s="42">
        <f>IF((power_mw*hours_per_day*damas_afrr_up*capacity_mult_B*stack_capacity*acceptance_rate+(MIN(DAMAS_Daily!C309*market_share_B*acceptance_rate*stack_activation,power_mw*hours_per_day,capacity_mwh))*DAMAS_Daily!E309*activation_mult_B)&gt;=(power_mw*hours_per_day*damas_afrr_down*capacity_mult_B*stack_capacity*acceptance_rate+(MIN(DAMAS_Daily!D309*market_share_B*acceptance_rate*stack_activation,power_mw*hours_per_day,capacity_mwh))*DAMAS_Daily!F309*activation_mult_B),"aFRR+","aFRR-")</f>
        <v/>
      </c>
      <c r="D309" s="43">
        <f>IF(C309="aFRR+",damas_afrr_up*capacity_mult_B,damas_afrr_down*capacity_mult_B)</f>
        <v/>
      </c>
      <c r="E309" s="44">
        <f>acceptance_rate</f>
        <v/>
      </c>
      <c r="F309" s="18">
        <f>IF(C309="aFRR+",power_mw*hours_per_day*damas_afrr_up*capacity_mult_B*stack_capacity*acceptance_rate,power_mw*hours_per_day*damas_afrr_down*capacity_mult_B*stack_capacity*acceptance_rate)</f>
        <v/>
      </c>
      <c r="G309" s="42">
        <f>IF(C309="aFRR+",DAMAS_Daily!I309,DAMAS_Daily!J309)</f>
        <v/>
      </c>
      <c r="H309" s="43">
        <f>IF(C309="aFRR+",DAMAS_Daily!E309,DAMAS_Daily!F309)</f>
        <v/>
      </c>
      <c r="I309" s="43">
        <f>IF(C309="aFRR+",DAMAS_Daily!G309,DAMAS_Daily!H309)</f>
        <v/>
      </c>
      <c r="J309" s="45">
        <f>IF(C309="aFRR+",DAMAS_Daily!C309,DAMAS_Daily!D309)</f>
        <v/>
      </c>
      <c r="K309" s="45">
        <f>IF(C309="aFRR+",MIN(DAMAS_Daily!C309*market_share_B*acceptance_rate*stack_activation,power_mw*hours_per_day,capacity_mwh),MIN(DAMAS_Daily!D309*market_share_B*acceptance_rate*stack_activation,power_mw*hours_per_day,capacity_mwh))</f>
        <v/>
      </c>
      <c r="L309" s="42">
        <f>IF(K309&gt;=capacity_mwh-0.01,"yes","no")</f>
        <v/>
      </c>
      <c r="M309" s="18">
        <f>IF(C309="aFRR+",(MIN(DAMAS_Daily!C309*market_share_B*acceptance_rate*stack_activation,power_mw*hours_per_day,capacity_mwh))*DAMAS_Daily!E309*activation_mult_B,(MIN(DAMAS_Daily!D309*market_share_B*acceptance_rate*stack_activation,power_mw*hours_per_day,capacity_mwh))*DAMAS_Daily!F309*activation_mult_B)</f>
        <v/>
      </c>
      <c r="N309" s="19">
        <f>F309+M309</f>
        <v/>
      </c>
    </row>
    <row r="310">
      <c r="A310" s="41">
        <f>DAMAS_Daily!A310</f>
        <v/>
      </c>
      <c r="B310" s="42">
        <f>DAMAS_Daily!B310</f>
        <v/>
      </c>
      <c r="C310" s="42">
        <f>IF((power_mw*hours_per_day*damas_afrr_up*capacity_mult_B*stack_capacity*acceptance_rate+(MIN(DAMAS_Daily!C310*market_share_B*acceptance_rate*stack_activation,power_mw*hours_per_day,capacity_mwh))*DAMAS_Daily!E310*activation_mult_B)&gt;=(power_mw*hours_per_day*damas_afrr_down*capacity_mult_B*stack_capacity*acceptance_rate+(MIN(DAMAS_Daily!D310*market_share_B*acceptance_rate*stack_activation,power_mw*hours_per_day,capacity_mwh))*DAMAS_Daily!F310*activation_mult_B),"aFRR+","aFRR-")</f>
        <v/>
      </c>
      <c r="D310" s="43">
        <f>IF(C310="aFRR+",damas_afrr_up*capacity_mult_B,damas_afrr_down*capacity_mult_B)</f>
        <v/>
      </c>
      <c r="E310" s="44">
        <f>acceptance_rate</f>
        <v/>
      </c>
      <c r="F310" s="18">
        <f>IF(C310="aFRR+",power_mw*hours_per_day*damas_afrr_up*capacity_mult_B*stack_capacity*acceptance_rate,power_mw*hours_per_day*damas_afrr_down*capacity_mult_B*stack_capacity*acceptance_rate)</f>
        <v/>
      </c>
      <c r="G310" s="42">
        <f>IF(C310="aFRR+",DAMAS_Daily!I310,DAMAS_Daily!J310)</f>
        <v/>
      </c>
      <c r="H310" s="43">
        <f>IF(C310="aFRR+",DAMAS_Daily!E310,DAMAS_Daily!F310)</f>
        <v/>
      </c>
      <c r="I310" s="43">
        <f>IF(C310="aFRR+",DAMAS_Daily!G310,DAMAS_Daily!H310)</f>
        <v/>
      </c>
      <c r="J310" s="45">
        <f>IF(C310="aFRR+",DAMAS_Daily!C310,DAMAS_Daily!D310)</f>
        <v/>
      </c>
      <c r="K310" s="45">
        <f>IF(C310="aFRR+",MIN(DAMAS_Daily!C310*market_share_B*acceptance_rate*stack_activation,power_mw*hours_per_day,capacity_mwh),MIN(DAMAS_Daily!D310*market_share_B*acceptance_rate*stack_activation,power_mw*hours_per_day,capacity_mwh))</f>
        <v/>
      </c>
      <c r="L310" s="42">
        <f>IF(K310&gt;=capacity_mwh-0.01,"yes","no")</f>
        <v/>
      </c>
      <c r="M310" s="18">
        <f>IF(C310="aFRR+",(MIN(DAMAS_Daily!C310*market_share_B*acceptance_rate*stack_activation,power_mw*hours_per_day,capacity_mwh))*DAMAS_Daily!E310*activation_mult_B,(MIN(DAMAS_Daily!D310*market_share_B*acceptance_rate*stack_activation,power_mw*hours_per_day,capacity_mwh))*DAMAS_Daily!F310*activation_mult_B)</f>
        <v/>
      </c>
      <c r="N310" s="19">
        <f>F310+M310</f>
        <v/>
      </c>
    </row>
    <row r="311">
      <c r="A311" s="41">
        <f>DAMAS_Daily!A311</f>
        <v/>
      </c>
      <c r="B311" s="42">
        <f>DAMAS_Daily!B311</f>
        <v/>
      </c>
      <c r="C311" s="42">
        <f>IF((power_mw*hours_per_day*damas_afrr_up*capacity_mult_B*stack_capacity*acceptance_rate+(MIN(DAMAS_Daily!C311*market_share_B*acceptance_rate*stack_activation,power_mw*hours_per_day,capacity_mwh))*DAMAS_Daily!E311*activation_mult_B)&gt;=(power_mw*hours_per_day*damas_afrr_down*capacity_mult_B*stack_capacity*acceptance_rate+(MIN(DAMAS_Daily!D311*market_share_B*acceptance_rate*stack_activation,power_mw*hours_per_day,capacity_mwh))*DAMAS_Daily!F311*activation_mult_B),"aFRR+","aFRR-")</f>
        <v/>
      </c>
      <c r="D311" s="43">
        <f>IF(C311="aFRR+",damas_afrr_up*capacity_mult_B,damas_afrr_down*capacity_mult_B)</f>
        <v/>
      </c>
      <c r="E311" s="44">
        <f>acceptance_rate</f>
        <v/>
      </c>
      <c r="F311" s="18">
        <f>IF(C311="aFRR+",power_mw*hours_per_day*damas_afrr_up*capacity_mult_B*stack_capacity*acceptance_rate,power_mw*hours_per_day*damas_afrr_down*capacity_mult_B*stack_capacity*acceptance_rate)</f>
        <v/>
      </c>
      <c r="G311" s="42">
        <f>IF(C311="aFRR+",DAMAS_Daily!I311,DAMAS_Daily!J311)</f>
        <v/>
      </c>
      <c r="H311" s="43">
        <f>IF(C311="aFRR+",DAMAS_Daily!E311,DAMAS_Daily!F311)</f>
        <v/>
      </c>
      <c r="I311" s="43">
        <f>IF(C311="aFRR+",DAMAS_Daily!G311,DAMAS_Daily!H311)</f>
        <v/>
      </c>
      <c r="J311" s="45">
        <f>IF(C311="aFRR+",DAMAS_Daily!C311,DAMAS_Daily!D311)</f>
        <v/>
      </c>
      <c r="K311" s="45">
        <f>IF(C311="aFRR+",MIN(DAMAS_Daily!C311*market_share_B*acceptance_rate*stack_activation,power_mw*hours_per_day,capacity_mwh),MIN(DAMAS_Daily!D311*market_share_B*acceptance_rate*stack_activation,power_mw*hours_per_day,capacity_mwh))</f>
        <v/>
      </c>
      <c r="L311" s="42">
        <f>IF(K311&gt;=capacity_mwh-0.01,"yes","no")</f>
        <v/>
      </c>
      <c r="M311" s="18">
        <f>IF(C311="aFRR+",(MIN(DAMAS_Daily!C311*market_share_B*acceptance_rate*stack_activation,power_mw*hours_per_day,capacity_mwh))*DAMAS_Daily!E311*activation_mult_B,(MIN(DAMAS_Daily!D311*market_share_B*acceptance_rate*stack_activation,power_mw*hours_per_day,capacity_mwh))*DAMAS_Daily!F311*activation_mult_B)</f>
        <v/>
      </c>
      <c r="N311" s="19">
        <f>F311+M311</f>
        <v/>
      </c>
    </row>
    <row r="312">
      <c r="A312" s="41">
        <f>DAMAS_Daily!A312</f>
        <v/>
      </c>
      <c r="B312" s="42">
        <f>DAMAS_Daily!B312</f>
        <v/>
      </c>
      <c r="C312" s="42">
        <f>IF((power_mw*hours_per_day*damas_afrr_up*capacity_mult_B*stack_capacity*acceptance_rate+(MIN(DAMAS_Daily!C312*market_share_B*acceptance_rate*stack_activation,power_mw*hours_per_day,capacity_mwh))*DAMAS_Daily!E312*activation_mult_B)&gt;=(power_mw*hours_per_day*damas_afrr_down*capacity_mult_B*stack_capacity*acceptance_rate+(MIN(DAMAS_Daily!D312*market_share_B*acceptance_rate*stack_activation,power_mw*hours_per_day,capacity_mwh))*DAMAS_Daily!F312*activation_mult_B),"aFRR+","aFRR-")</f>
        <v/>
      </c>
      <c r="D312" s="43">
        <f>IF(C312="aFRR+",damas_afrr_up*capacity_mult_B,damas_afrr_down*capacity_mult_B)</f>
        <v/>
      </c>
      <c r="E312" s="44">
        <f>acceptance_rate</f>
        <v/>
      </c>
      <c r="F312" s="18">
        <f>IF(C312="aFRR+",power_mw*hours_per_day*damas_afrr_up*capacity_mult_B*stack_capacity*acceptance_rate,power_mw*hours_per_day*damas_afrr_down*capacity_mult_B*stack_capacity*acceptance_rate)</f>
        <v/>
      </c>
      <c r="G312" s="42">
        <f>IF(C312="aFRR+",DAMAS_Daily!I312,DAMAS_Daily!J312)</f>
        <v/>
      </c>
      <c r="H312" s="43">
        <f>IF(C312="aFRR+",DAMAS_Daily!E312,DAMAS_Daily!F312)</f>
        <v/>
      </c>
      <c r="I312" s="43">
        <f>IF(C312="aFRR+",DAMAS_Daily!G312,DAMAS_Daily!H312)</f>
        <v/>
      </c>
      <c r="J312" s="45">
        <f>IF(C312="aFRR+",DAMAS_Daily!C312,DAMAS_Daily!D312)</f>
        <v/>
      </c>
      <c r="K312" s="45">
        <f>IF(C312="aFRR+",MIN(DAMAS_Daily!C312*market_share_B*acceptance_rate*stack_activation,power_mw*hours_per_day,capacity_mwh),MIN(DAMAS_Daily!D312*market_share_B*acceptance_rate*stack_activation,power_mw*hours_per_day,capacity_mwh))</f>
        <v/>
      </c>
      <c r="L312" s="42">
        <f>IF(K312&gt;=capacity_mwh-0.01,"yes","no")</f>
        <v/>
      </c>
      <c r="M312" s="18">
        <f>IF(C312="aFRR+",(MIN(DAMAS_Daily!C312*market_share_B*acceptance_rate*stack_activation,power_mw*hours_per_day,capacity_mwh))*DAMAS_Daily!E312*activation_mult_B,(MIN(DAMAS_Daily!D312*market_share_B*acceptance_rate*stack_activation,power_mw*hours_per_day,capacity_mwh))*DAMAS_Daily!F312*activation_mult_B)</f>
        <v/>
      </c>
      <c r="N312" s="19">
        <f>F312+M312</f>
        <v/>
      </c>
    </row>
    <row r="313">
      <c r="A313" s="41">
        <f>DAMAS_Daily!A313</f>
        <v/>
      </c>
      <c r="B313" s="42">
        <f>DAMAS_Daily!B313</f>
        <v/>
      </c>
      <c r="C313" s="42">
        <f>IF((power_mw*hours_per_day*damas_afrr_up*capacity_mult_B*stack_capacity*acceptance_rate+(MIN(DAMAS_Daily!C313*market_share_B*acceptance_rate*stack_activation,power_mw*hours_per_day,capacity_mwh))*DAMAS_Daily!E313*activation_mult_B)&gt;=(power_mw*hours_per_day*damas_afrr_down*capacity_mult_B*stack_capacity*acceptance_rate+(MIN(DAMAS_Daily!D313*market_share_B*acceptance_rate*stack_activation,power_mw*hours_per_day,capacity_mwh))*DAMAS_Daily!F313*activation_mult_B),"aFRR+","aFRR-")</f>
        <v/>
      </c>
      <c r="D313" s="43">
        <f>IF(C313="aFRR+",damas_afrr_up*capacity_mult_B,damas_afrr_down*capacity_mult_B)</f>
        <v/>
      </c>
      <c r="E313" s="44">
        <f>acceptance_rate</f>
        <v/>
      </c>
      <c r="F313" s="18">
        <f>IF(C313="aFRR+",power_mw*hours_per_day*damas_afrr_up*capacity_mult_B*stack_capacity*acceptance_rate,power_mw*hours_per_day*damas_afrr_down*capacity_mult_B*stack_capacity*acceptance_rate)</f>
        <v/>
      </c>
      <c r="G313" s="42">
        <f>IF(C313="aFRR+",DAMAS_Daily!I313,DAMAS_Daily!J313)</f>
        <v/>
      </c>
      <c r="H313" s="43">
        <f>IF(C313="aFRR+",DAMAS_Daily!E313,DAMAS_Daily!F313)</f>
        <v/>
      </c>
      <c r="I313" s="43">
        <f>IF(C313="aFRR+",DAMAS_Daily!G313,DAMAS_Daily!H313)</f>
        <v/>
      </c>
      <c r="J313" s="45">
        <f>IF(C313="aFRR+",DAMAS_Daily!C313,DAMAS_Daily!D313)</f>
        <v/>
      </c>
      <c r="K313" s="45">
        <f>IF(C313="aFRR+",MIN(DAMAS_Daily!C313*market_share_B*acceptance_rate*stack_activation,power_mw*hours_per_day,capacity_mwh),MIN(DAMAS_Daily!D313*market_share_B*acceptance_rate*stack_activation,power_mw*hours_per_day,capacity_mwh))</f>
        <v/>
      </c>
      <c r="L313" s="42">
        <f>IF(K313&gt;=capacity_mwh-0.01,"yes","no")</f>
        <v/>
      </c>
      <c r="M313" s="18">
        <f>IF(C313="aFRR+",(MIN(DAMAS_Daily!C313*market_share_B*acceptance_rate*stack_activation,power_mw*hours_per_day,capacity_mwh))*DAMAS_Daily!E313*activation_mult_B,(MIN(DAMAS_Daily!D313*market_share_B*acceptance_rate*stack_activation,power_mw*hours_per_day,capacity_mwh))*DAMAS_Daily!F313*activation_mult_B)</f>
        <v/>
      </c>
      <c r="N313" s="19">
        <f>F313+M313</f>
        <v/>
      </c>
    </row>
    <row r="314">
      <c r="A314" s="41">
        <f>DAMAS_Daily!A314</f>
        <v/>
      </c>
      <c r="B314" s="42">
        <f>DAMAS_Daily!B314</f>
        <v/>
      </c>
      <c r="C314" s="42">
        <f>IF((power_mw*hours_per_day*damas_afrr_up*capacity_mult_B*stack_capacity*acceptance_rate+(MIN(DAMAS_Daily!C314*market_share_B*acceptance_rate*stack_activation,power_mw*hours_per_day,capacity_mwh))*DAMAS_Daily!E314*activation_mult_B)&gt;=(power_mw*hours_per_day*damas_afrr_down*capacity_mult_B*stack_capacity*acceptance_rate+(MIN(DAMAS_Daily!D314*market_share_B*acceptance_rate*stack_activation,power_mw*hours_per_day,capacity_mwh))*DAMAS_Daily!F314*activation_mult_B),"aFRR+","aFRR-")</f>
        <v/>
      </c>
      <c r="D314" s="43">
        <f>IF(C314="aFRR+",damas_afrr_up*capacity_mult_B,damas_afrr_down*capacity_mult_B)</f>
        <v/>
      </c>
      <c r="E314" s="44">
        <f>acceptance_rate</f>
        <v/>
      </c>
      <c r="F314" s="18">
        <f>IF(C314="aFRR+",power_mw*hours_per_day*damas_afrr_up*capacity_mult_B*stack_capacity*acceptance_rate,power_mw*hours_per_day*damas_afrr_down*capacity_mult_B*stack_capacity*acceptance_rate)</f>
        <v/>
      </c>
      <c r="G314" s="42">
        <f>IF(C314="aFRR+",DAMAS_Daily!I314,DAMAS_Daily!J314)</f>
        <v/>
      </c>
      <c r="H314" s="43">
        <f>IF(C314="aFRR+",DAMAS_Daily!E314,DAMAS_Daily!F314)</f>
        <v/>
      </c>
      <c r="I314" s="43">
        <f>IF(C314="aFRR+",DAMAS_Daily!G314,DAMAS_Daily!H314)</f>
        <v/>
      </c>
      <c r="J314" s="45">
        <f>IF(C314="aFRR+",DAMAS_Daily!C314,DAMAS_Daily!D314)</f>
        <v/>
      </c>
      <c r="K314" s="45">
        <f>IF(C314="aFRR+",MIN(DAMAS_Daily!C314*market_share_B*acceptance_rate*stack_activation,power_mw*hours_per_day,capacity_mwh),MIN(DAMAS_Daily!D314*market_share_B*acceptance_rate*stack_activation,power_mw*hours_per_day,capacity_mwh))</f>
        <v/>
      </c>
      <c r="L314" s="42">
        <f>IF(K314&gt;=capacity_mwh-0.01,"yes","no")</f>
        <v/>
      </c>
      <c r="M314" s="18">
        <f>IF(C314="aFRR+",(MIN(DAMAS_Daily!C314*market_share_B*acceptance_rate*stack_activation,power_mw*hours_per_day,capacity_mwh))*DAMAS_Daily!E314*activation_mult_B,(MIN(DAMAS_Daily!D314*market_share_B*acceptance_rate*stack_activation,power_mw*hours_per_day,capacity_mwh))*DAMAS_Daily!F314*activation_mult_B)</f>
        <v/>
      </c>
      <c r="N314" s="19">
        <f>F314+M314</f>
        <v/>
      </c>
    </row>
    <row r="315">
      <c r="A315" s="41">
        <f>DAMAS_Daily!A315</f>
        <v/>
      </c>
      <c r="B315" s="42">
        <f>DAMAS_Daily!B315</f>
        <v/>
      </c>
      <c r="C315" s="42">
        <f>IF((power_mw*hours_per_day*damas_afrr_up*capacity_mult_B*stack_capacity*acceptance_rate+(MIN(DAMAS_Daily!C315*market_share_B*acceptance_rate*stack_activation,power_mw*hours_per_day,capacity_mwh))*DAMAS_Daily!E315*activation_mult_B)&gt;=(power_mw*hours_per_day*damas_afrr_down*capacity_mult_B*stack_capacity*acceptance_rate+(MIN(DAMAS_Daily!D315*market_share_B*acceptance_rate*stack_activation,power_mw*hours_per_day,capacity_mwh))*DAMAS_Daily!F315*activation_mult_B),"aFRR+","aFRR-")</f>
        <v/>
      </c>
      <c r="D315" s="43">
        <f>IF(C315="aFRR+",damas_afrr_up*capacity_mult_B,damas_afrr_down*capacity_mult_B)</f>
        <v/>
      </c>
      <c r="E315" s="44">
        <f>acceptance_rate</f>
        <v/>
      </c>
      <c r="F315" s="18">
        <f>IF(C315="aFRR+",power_mw*hours_per_day*damas_afrr_up*capacity_mult_B*stack_capacity*acceptance_rate,power_mw*hours_per_day*damas_afrr_down*capacity_mult_B*stack_capacity*acceptance_rate)</f>
        <v/>
      </c>
      <c r="G315" s="42">
        <f>IF(C315="aFRR+",DAMAS_Daily!I315,DAMAS_Daily!J315)</f>
        <v/>
      </c>
      <c r="H315" s="43">
        <f>IF(C315="aFRR+",DAMAS_Daily!E315,DAMAS_Daily!F315)</f>
        <v/>
      </c>
      <c r="I315" s="43">
        <f>IF(C315="aFRR+",DAMAS_Daily!G315,DAMAS_Daily!H315)</f>
        <v/>
      </c>
      <c r="J315" s="45">
        <f>IF(C315="aFRR+",DAMAS_Daily!C315,DAMAS_Daily!D315)</f>
        <v/>
      </c>
      <c r="K315" s="45">
        <f>IF(C315="aFRR+",MIN(DAMAS_Daily!C315*market_share_B*acceptance_rate*stack_activation,power_mw*hours_per_day,capacity_mwh),MIN(DAMAS_Daily!D315*market_share_B*acceptance_rate*stack_activation,power_mw*hours_per_day,capacity_mwh))</f>
        <v/>
      </c>
      <c r="L315" s="42">
        <f>IF(K315&gt;=capacity_mwh-0.01,"yes","no")</f>
        <v/>
      </c>
      <c r="M315" s="18">
        <f>IF(C315="aFRR+",(MIN(DAMAS_Daily!C315*market_share_B*acceptance_rate*stack_activation,power_mw*hours_per_day,capacity_mwh))*DAMAS_Daily!E315*activation_mult_B,(MIN(DAMAS_Daily!D315*market_share_B*acceptance_rate*stack_activation,power_mw*hours_per_day,capacity_mwh))*DAMAS_Daily!F315*activation_mult_B)</f>
        <v/>
      </c>
      <c r="N315" s="19">
        <f>F315+M315</f>
        <v/>
      </c>
    </row>
    <row r="316">
      <c r="A316" s="41">
        <f>DAMAS_Daily!A316</f>
        <v/>
      </c>
      <c r="B316" s="42">
        <f>DAMAS_Daily!B316</f>
        <v/>
      </c>
      <c r="C316" s="42">
        <f>IF((power_mw*hours_per_day*damas_afrr_up*capacity_mult_B*stack_capacity*acceptance_rate+(MIN(DAMAS_Daily!C316*market_share_B*acceptance_rate*stack_activation,power_mw*hours_per_day,capacity_mwh))*DAMAS_Daily!E316*activation_mult_B)&gt;=(power_mw*hours_per_day*damas_afrr_down*capacity_mult_B*stack_capacity*acceptance_rate+(MIN(DAMAS_Daily!D316*market_share_B*acceptance_rate*stack_activation,power_mw*hours_per_day,capacity_mwh))*DAMAS_Daily!F316*activation_mult_B),"aFRR+","aFRR-")</f>
        <v/>
      </c>
      <c r="D316" s="43">
        <f>IF(C316="aFRR+",damas_afrr_up*capacity_mult_B,damas_afrr_down*capacity_mult_B)</f>
        <v/>
      </c>
      <c r="E316" s="44">
        <f>acceptance_rate</f>
        <v/>
      </c>
      <c r="F316" s="18">
        <f>IF(C316="aFRR+",power_mw*hours_per_day*damas_afrr_up*capacity_mult_B*stack_capacity*acceptance_rate,power_mw*hours_per_day*damas_afrr_down*capacity_mult_B*stack_capacity*acceptance_rate)</f>
        <v/>
      </c>
      <c r="G316" s="42">
        <f>IF(C316="aFRR+",DAMAS_Daily!I316,DAMAS_Daily!J316)</f>
        <v/>
      </c>
      <c r="H316" s="43">
        <f>IF(C316="aFRR+",DAMAS_Daily!E316,DAMAS_Daily!F316)</f>
        <v/>
      </c>
      <c r="I316" s="43">
        <f>IF(C316="aFRR+",DAMAS_Daily!G316,DAMAS_Daily!H316)</f>
        <v/>
      </c>
      <c r="J316" s="45">
        <f>IF(C316="aFRR+",DAMAS_Daily!C316,DAMAS_Daily!D316)</f>
        <v/>
      </c>
      <c r="K316" s="45">
        <f>IF(C316="aFRR+",MIN(DAMAS_Daily!C316*market_share_B*acceptance_rate*stack_activation,power_mw*hours_per_day,capacity_mwh),MIN(DAMAS_Daily!D316*market_share_B*acceptance_rate*stack_activation,power_mw*hours_per_day,capacity_mwh))</f>
        <v/>
      </c>
      <c r="L316" s="42">
        <f>IF(K316&gt;=capacity_mwh-0.01,"yes","no")</f>
        <v/>
      </c>
      <c r="M316" s="18">
        <f>IF(C316="aFRR+",(MIN(DAMAS_Daily!C316*market_share_B*acceptance_rate*stack_activation,power_mw*hours_per_day,capacity_mwh))*DAMAS_Daily!E316*activation_mult_B,(MIN(DAMAS_Daily!D316*market_share_B*acceptance_rate*stack_activation,power_mw*hours_per_day,capacity_mwh))*DAMAS_Daily!F316*activation_mult_B)</f>
        <v/>
      </c>
      <c r="N316" s="19">
        <f>F316+M316</f>
        <v/>
      </c>
    </row>
    <row r="317">
      <c r="A317" s="41">
        <f>DAMAS_Daily!A317</f>
        <v/>
      </c>
      <c r="B317" s="42">
        <f>DAMAS_Daily!B317</f>
        <v/>
      </c>
      <c r="C317" s="42">
        <f>IF((power_mw*hours_per_day*damas_afrr_up*capacity_mult_B*stack_capacity*acceptance_rate+(MIN(DAMAS_Daily!C317*market_share_B*acceptance_rate*stack_activation,power_mw*hours_per_day,capacity_mwh))*DAMAS_Daily!E317*activation_mult_B)&gt;=(power_mw*hours_per_day*damas_afrr_down*capacity_mult_B*stack_capacity*acceptance_rate+(MIN(DAMAS_Daily!D317*market_share_B*acceptance_rate*stack_activation,power_mw*hours_per_day,capacity_mwh))*DAMAS_Daily!F317*activation_mult_B),"aFRR+","aFRR-")</f>
        <v/>
      </c>
      <c r="D317" s="43">
        <f>IF(C317="aFRR+",damas_afrr_up*capacity_mult_B,damas_afrr_down*capacity_mult_B)</f>
        <v/>
      </c>
      <c r="E317" s="44">
        <f>acceptance_rate</f>
        <v/>
      </c>
      <c r="F317" s="18">
        <f>IF(C317="aFRR+",power_mw*hours_per_day*damas_afrr_up*capacity_mult_B*stack_capacity*acceptance_rate,power_mw*hours_per_day*damas_afrr_down*capacity_mult_B*stack_capacity*acceptance_rate)</f>
        <v/>
      </c>
      <c r="G317" s="42">
        <f>IF(C317="aFRR+",DAMAS_Daily!I317,DAMAS_Daily!J317)</f>
        <v/>
      </c>
      <c r="H317" s="43">
        <f>IF(C317="aFRR+",DAMAS_Daily!E317,DAMAS_Daily!F317)</f>
        <v/>
      </c>
      <c r="I317" s="43">
        <f>IF(C317="aFRR+",DAMAS_Daily!G317,DAMAS_Daily!H317)</f>
        <v/>
      </c>
      <c r="J317" s="45">
        <f>IF(C317="aFRR+",DAMAS_Daily!C317,DAMAS_Daily!D317)</f>
        <v/>
      </c>
      <c r="K317" s="45">
        <f>IF(C317="aFRR+",MIN(DAMAS_Daily!C317*market_share_B*acceptance_rate*stack_activation,power_mw*hours_per_day,capacity_mwh),MIN(DAMAS_Daily!D317*market_share_B*acceptance_rate*stack_activation,power_mw*hours_per_day,capacity_mwh))</f>
        <v/>
      </c>
      <c r="L317" s="42">
        <f>IF(K317&gt;=capacity_mwh-0.01,"yes","no")</f>
        <v/>
      </c>
      <c r="M317" s="18">
        <f>IF(C317="aFRR+",(MIN(DAMAS_Daily!C317*market_share_B*acceptance_rate*stack_activation,power_mw*hours_per_day,capacity_mwh))*DAMAS_Daily!E317*activation_mult_B,(MIN(DAMAS_Daily!D317*market_share_B*acceptance_rate*stack_activation,power_mw*hours_per_day,capacity_mwh))*DAMAS_Daily!F317*activation_mult_B)</f>
        <v/>
      </c>
      <c r="N317" s="19">
        <f>F317+M317</f>
        <v/>
      </c>
    </row>
    <row r="318">
      <c r="A318" s="41">
        <f>DAMAS_Daily!A318</f>
        <v/>
      </c>
      <c r="B318" s="42">
        <f>DAMAS_Daily!B318</f>
        <v/>
      </c>
      <c r="C318" s="42">
        <f>IF((power_mw*hours_per_day*damas_afrr_up*capacity_mult_B*stack_capacity*acceptance_rate+(MIN(DAMAS_Daily!C318*market_share_B*acceptance_rate*stack_activation,power_mw*hours_per_day,capacity_mwh))*DAMAS_Daily!E318*activation_mult_B)&gt;=(power_mw*hours_per_day*damas_afrr_down*capacity_mult_B*stack_capacity*acceptance_rate+(MIN(DAMAS_Daily!D318*market_share_B*acceptance_rate*stack_activation,power_mw*hours_per_day,capacity_mwh))*DAMAS_Daily!F318*activation_mult_B),"aFRR+","aFRR-")</f>
        <v/>
      </c>
      <c r="D318" s="43">
        <f>IF(C318="aFRR+",damas_afrr_up*capacity_mult_B,damas_afrr_down*capacity_mult_B)</f>
        <v/>
      </c>
      <c r="E318" s="44">
        <f>acceptance_rate</f>
        <v/>
      </c>
      <c r="F318" s="18">
        <f>IF(C318="aFRR+",power_mw*hours_per_day*damas_afrr_up*capacity_mult_B*stack_capacity*acceptance_rate,power_mw*hours_per_day*damas_afrr_down*capacity_mult_B*stack_capacity*acceptance_rate)</f>
        <v/>
      </c>
      <c r="G318" s="42">
        <f>IF(C318="aFRR+",DAMAS_Daily!I318,DAMAS_Daily!J318)</f>
        <v/>
      </c>
      <c r="H318" s="43">
        <f>IF(C318="aFRR+",DAMAS_Daily!E318,DAMAS_Daily!F318)</f>
        <v/>
      </c>
      <c r="I318" s="43">
        <f>IF(C318="aFRR+",DAMAS_Daily!G318,DAMAS_Daily!H318)</f>
        <v/>
      </c>
      <c r="J318" s="45">
        <f>IF(C318="aFRR+",DAMAS_Daily!C318,DAMAS_Daily!D318)</f>
        <v/>
      </c>
      <c r="K318" s="45">
        <f>IF(C318="aFRR+",MIN(DAMAS_Daily!C318*market_share_B*acceptance_rate*stack_activation,power_mw*hours_per_day,capacity_mwh),MIN(DAMAS_Daily!D318*market_share_B*acceptance_rate*stack_activation,power_mw*hours_per_day,capacity_mwh))</f>
        <v/>
      </c>
      <c r="L318" s="42">
        <f>IF(K318&gt;=capacity_mwh-0.01,"yes","no")</f>
        <v/>
      </c>
      <c r="M318" s="18">
        <f>IF(C318="aFRR+",(MIN(DAMAS_Daily!C318*market_share_B*acceptance_rate*stack_activation,power_mw*hours_per_day,capacity_mwh))*DAMAS_Daily!E318*activation_mult_B,(MIN(DAMAS_Daily!D318*market_share_B*acceptance_rate*stack_activation,power_mw*hours_per_day,capacity_mwh))*DAMAS_Daily!F318*activation_mult_B)</f>
        <v/>
      </c>
      <c r="N318" s="19">
        <f>F318+M318</f>
        <v/>
      </c>
    </row>
    <row r="319">
      <c r="A319" s="41">
        <f>DAMAS_Daily!A319</f>
        <v/>
      </c>
      <c r="B319" s="42">
        <f>DAMAS_Daily!B319</f>
        <v/>
      </c>
      <c r="C319" s="42">
        <f>IF((power_mw*hours_per_day*damas_afrr_up*capacity_mult_B*stack_capacity*acceptance_rate+(MIN(DAMAS_Daily!C319*market_share_B*acceptance_rate*stack_activation,power_mw*hours_per_day,capacity_mwh))*DAMAS_Daily!E319*activation_mult_B)&gt;=(power_mw*hours_per_day*damas_afrr_down*capacity_mult_B*stack_capacity*acceptance_rate+(MIN(DAMAS_Daily!D319*market_share_B*acceptance_rate*stack_activation,power_mw*hours_per_day,capacity_mwh))*DAMAS_Daily!F319*activation_mult_B),"aFRR+","aFRR-")</f>
        <v/>
      </c>
      <c r="D319" s="43">
        <f>IF(C319="aFRR+",damas_afrr_up*capacity_mult_B,damas_afrr_down*capacity_mult_B)</f>
        <v/>
      </c>
      <c r="E319" s="44">
        <f>acceptance_rate</f>
        <v/>
      </c>
      <c r="F319" s="18">
        <f>IF(C319="aFRR+",power_mw*hours_per_day*damas_afrr_up*capacity_mult_B*stack_capacity*acceptance_rate,power_mw*hours_per_day*damas_afrr_down*capacity_mult_B*stack_capacity*acceptance_rate)</f>
        <v/>
      </c>
      <c r="G319" s="42">
        <f>IF(C319="aFRR+",DAMAS_Daily!I319,DAMAS_Daily!J319)</f>
        <v/>
      </c>
      <c r="H319" s="43">
        <f>IF(C319="aFRR+",DAMAS_Daily!E319,DAMAS_Daily!F319)</f>
        <v/>
      </c>
      <c r="I319" s="43">
        <f>IF(C319="aFRR+",DAMAS_Daily!G319,DAMAS_Daily!H319)</f>
        <v/>
      </c>
      <c r="J319" s="45">
        <f>IF(C319="aFRR+",DAMAS_Daily!C319,DAMAS_Daily!D319)</f>
        <v/>
      </c>
      <c r="K319" s="45">
        <f>IF(C319="aFRR+",MIN(DAMAS_Daily!C319*market_share_B*acceptance_rate*stack_activation,power_mw*hours_per_day,capacity_mwh),MIN(DAMAS_Daily!D319*market_share_B*acceptance_rate*stack_activation,power_mw*hours_per_day,capacity_mwh))</f>
        <v/>
      </c>
      <c r="L319" s="42">
        <f>IF(K319&gt;=capacity_mwh-0.01,"yes","no")</f>
        <v/>
      </c>
      <c r="M319" s="18">
        <f>IF(C319="aFRR+",(MIN(DAMAS_Daily!C319*market_share_B*acceptance_rate*stack_activation,power_mw*hours_per_day,capacity_mwh))*DAMAS_Daily!E319*activation_mult_B,(MIN(DAMAS_Daily!D319*market_share_B*acceptance_rate*stack_activation,power_mw*hours_per_day,capacity_mwh))*DAMAS_Daily!F319*activation_mult_B)</f>
        <v/>
      </c>
      <c r="N319" s="19">
        <f>F319+M319</f>
        <v/>
      </c>
    </row>
    <row r="320">
      <c r="A320" s="41">
        <f>DAMAS_Daily!A320</f>
        <v/>
      </c>
      <c r="B320" s="42">
        <f>DAMAS_Daily!B320</f>
        <v/>
      </c>
      <c r="C320" s="42">
        <f>IF((power_mw*hours_per_day*damas_afrr_up*capacity_mult_B*stack_capacity*acceptance_rate+(MIN(DAMAS_Daily!C320*market_share_B*acceptance_rate*stack_activation,power_mw*hours_per_day,capacity_mwh))*DAMAS_Daily!E320*activation_mult_B)&gt;=(power_mw*hours_per_day*damas_afrr_down*capacity_mult_B*stack_capacity*acceptance_rate+(MIN(DAMAS_Daily!D320*market_share_B*acceptance_rate*stack_activation,power_mw*hours_per_day,capacity_mwh))*DAMAS_Daily!F320*activation_mult_B),"aFRR+","aFRR-")</f>
        <v/>
      </c>
      <c r="D320" s="43">
        <f>IF(C320="aFRR+",damas_afrr_up*capacity_mult_B,damas_afrr_down*capacity_mult_B)</f>
        <v/>
      </c>
      <c r="E320" s="44">
        <f>acceptance_rate</f>
        <v/>
      </c>
      <c r="F320" s="18">
        <f>IF(C320="aFRR+",power_mw*hours_per_day*damas_afrr_up*capacity_mult_B*stack_capacity*acceptance_rate,power_mw*hours_per_day*damas_afrr_down*capacity_mult_B*stack_capacity*acceptance_rate)</f>
        <v/>
      </c>
      <c r="G320" s="42">
        <f>IF(C320="aFRR+",DAMAS_Daily!I320,DAMAS_Daily!J320)</f>
        <v/>
      </c>
      <c r="H320" s="43">
        <f>IF(C320="aFRR+",DAMAS_Daily!E320,DAMAS_Daily!F320)</f>
        <v/>
      </c>
      <c r="I320" s="43">
        <f>IF(C320="aFRR+",DAMAS_Daily!G320,DAMAS_Daily!H320)</f>
        <v/>
      </c>
      <c r="J320" s="45">
        <f>IF(C320="aFRR+",DAMAS_Daily!C320,DAMAS_Daily!D320)</f>
        <v/>
      </c>
      <c r="K320" s="45">
        <f>IF(C320="aFRR+",MIN(DAMAS_Daily!C320*market_share_B*acceptance_rate*stack_activation,power_mw*hours_per_day,capacity_mwh),MIN(DAMAS_Daily!D320*market_share_B*acceptance_rate*stack_activation,power_mw*hours_per_day,capacity_mwh))</f>
        <v/>
      </c>
      <c r="L320" s="42">
        <f>IF(K320&gt;=capacity_mwh-0.01,"yes","no")</f>
        <v/>
      </c>
      <c r="M320" s="18">
        <f>IF(C320="aFRR+",(MIN(DAMAS_Daily!C320*market_share_B*acceptance_rate*stack_activation,power_mw*hours_per_day,capacity_mwh))*DAMAS_Daily!E320*activation_mult_B,(MIN(DAMAS_Daily!D320*market_share_B*acceptance_rate*stack_activation,power_mw*hours_per_day,capacity_mwh))*DAMAS_Daily!F320*activation_mult_B)</f>
        <v/>
      </c>
      <c r="N320" s="19">
        <f>F320+M320</f>
        <v/>
      </c>
    </row>
    <row r="321">
      <c r="A321" s="41">
        <f>DAMAS_Daily!A321</f>
        <v/>
      </c>
      <c r="B321" s="42">
        <f>DAMAS_Daily!B321</f>
        <v/>
      </c>
      <c r="C321" s="42">
        <f>IF((power_mw*hours_per_day*damas_afrr_up*capacity_mult_B*stack_capacity*acceptance_rate+(MIN(DAMAS_Daily!C321*market_share_B*acceptance_rate*stack_activation,power_mw*hours_per_day,capacity_mwh))*DAMAS_Daily!E321*activation_mult_B)&gt;=(power_mw*hours_per_day*damas_afrr_down*capacity_mult_B*stack_capacity*acceptance_rate+(MIN(DAMAS_Daily!D321*market_share_B*acceptance_rate*stack_activation,power_mw*hours_per_day,capacity_mwh))*DAMAS_Daily!F321*activation_mult_B),"aFRR+","aFRR-")</f>
        <v/>
      </c>
      <c r="D321" s="43">
        <f>IF(C321="aFRR+",damas_afrr_up*capacity_mult_B,damas_afrr_down*capacity_mult_B)</f>
        <v/>
      </c>
      <c r="E321" s="44">
        <f>acceptance_rate</f>
        <v/>
      </c>
      <c r="F321" s="18">
        <f>IF(C321="aFRR+",power_mw*hours_per_day*damas_afrr_up*capacity_mult_B*stack_capacity*acceptance_rate,power_mw*hours_per_day*damas_afrr_down*capacity_mult_B*stack_capacity*acceptance_rate)</f>
        <v/>
      </c>
      <c r="G321" s="42">
        <f>IF(C321="aFRR+",DAMAS_Daily!I321,DAMAS_Daily!J321)</f>
        <v/>
      </c>
      <c r="H321" s="43">
        <f>IF(C321="aFRR+",DAMAS_Daily!E321,DAMAS_Daily!F321)</f>
        <v/>
      </c>
      <c r="I321" s="43">
        <f>IF(C321="aFRR+",DAMAS_Daily!G321,DAMAS_Daily!H321)</f>
        <v/>
      </c>
      <c r="J321" s="45">
        <f>IF(C321="aFRR+",DAMAS_Daily!C321,DAMAS_Daily!D321)</f>
        <v/>
      </c>
      <c r="K321" s="45">
        <f>IF(C321="aFRR+",MIN(DAMAS_Daily!C321*market_share_B*acceptance_rate*stack_activation,power_mw*hours_per_day,capacity_mwh),MIN(DAMAS_Daily!D321*market_share_B*acceptance_rate*stack_activation,power_mw*hours_per_day,capacity_mwh))</f>
        <v/>
      </c>
      <c r="L321" s="42">
        <f>IF(K321&gt;=capacity_mwh-0.01,"yes","no")</f>
        <v/>
      </c>
      <c r="M321" s="18">
        <f>IF(C321="aFRR+",(MIN(DAMAS_Daily!C321*market_share_B*acceptance_rate*stack_activation,power_mw*hours_per_day,capacity_mwh))*DAMAS_Daily!E321*activation_mult_B,(MIN(DAMAS_Daily!D321*market_share_B*acceptance_rate*stack_activation,power_mw*hours_per_day,capacity_mwh))*DAMAS_Daily!F321*activation_mult_B)</f>
        <v/>
      </c>
      <c r="N321" s="19">
        <f>F321+M321</f>
        <v/>
      </c>
    </row>
    <row r="322">
      <c r="A322" s="41">
        <f>DAMAS_Daily!A322</f>
        <v/>
      </c>
      <c r="B322" s="42">
        <f>DAMAS_Daily!B322</f>
        <v/>
      </c>
      <c r="C322" s="42">
        <f>IF((power_mw*hours_per_day*damas_afrr_up*capacity_mult_B*stack_capacity*acceptance_rate+(MIN(DAMAS_Daily!C322*market_share_B*acceptance_rate*stack_activation,power_mw*hours_per_day,capacity_mwh))*DAMAS_Daily!E322*activation_mult_B)&gt;=(power_mw*hours_per_day*damas_afrr_down*capacity_mult_B*stack_capacity*acceptance_rate+(MIN(DAMAS_Daily!D322*market_share_B*acceptance_rate*stack_activation,power_mw*hours_per_day,capacity_mwh))*DAMAS_Daily!F322*activation_mult_B),"aFRR+","aFRR-")</f>
        <v/>
      </c>
      <c r="D322" s="43">
        <f>IF(C322="aFRR+",damas_afrr_up*capacity_mult_B,damas_afrr_down*capacity_mult_B)</f>
        <v/>
      </c>
      <c r="E322" s="44">
        <f>acceptance_rate</f>
        <v/>
      </c>
      <c r="F322" s="18">
        <f>IF(C322="aFRR+",power_mw*hours_per_day*damas_afrr_up*capacity_mult_B*stack_capacity*acceptance_rate,power_mw*hours_per_day*damas_afrr_down*capacity_mult_B*stack_capacity*acceptance_rate)</f>
        <v/>
      </c>
      <c r="G322" s="42">
        <f>IF(C322="aFRR+",DAMAS_Daily!I322,DAMAS_Daily!J322)</f>
        <v/>
      </c>
      <c r="H322" s="43">
        <f>IF(C322="aFRR+",DAMAS_Daily!E322,DAMAS_Daily!F322)</f>
        <v/>
      </c>
      <c r="I322" s="43">
        <f>IF(C322="aFRR+",DAMAS_Daily!G322,DAMAS_Daily!H322)</f>
        <v/>
      </c>
      <c r="J322" s="45">
        <f>IF(C322="aFRR+",DAMAS_Daily!C322,DAMAS_Daily!D322)</f>
        <v/>
      </c>
      <c r="K322" s="45">
        <f>IF(C322="aFRR+",MIN(DAMAS_Daily!C322*market_share_B*acceptance_rate*stack_activation,power_mw*hours_per_day,capacity_mwh),MIN(DAMAS_Daily!D322*market_share_B*acceptance_rate*stack_activation,power_mw*hours_per_day,capacity_mwh))</f>
        <v/>
      </c>
      <c r="L322" s="42">
        <f>IF(K322&gt;=capacity_mwh-0.01,"yes","no")</f>
        <v/>
      </c>
      <c r="M322" s="18">
        <f>IF(C322="aFRR+",(MIN(DAMAS_Daily!C322*market_share_B*acceptance_rate*stack_activation,power_mw*hours_per_day,capacity_mwh))*DAMAS_Daily!E322*activation_mult_B,(MIN(DAMAS_Daily!D322*market_share_B*acceptance_rate*stack_activation,power_mw*hours_per_day,capacity_mwh))*DAMAS_Daily!F322*activation_mult_B)</f>
        <v/>
      </c>
      <c r="N322" s="19">
        <f>F322+M322</f>
        <v/>
      </c>
    </row>
    <row r="323">
      <c r="A323" s="41">
        <f>DAMAS_Daily!A323</f>
        <v/>
      </c>
      <c r="B323" s="42">
        <f>DAMAS_Daily!B323</f>
        <v/>
      </c>
      <c r="C323" s="42">
        <f>IF((power_mw*hours_per_day*damas_afrr_up*capacity_mult_B*stack_capacity*acceptance_rate+(MIN(DAMAS_Daily!C323*market_share_B*acceptance_rate*stack_activation,power_mw*hours_per_day,capacity_mwh))*DAMAS_Daily!E323*activation_mult_B)&gt;=(power_mw*hours_per_day*damas_afrr_down*capacity_mult_B*stack_capacity*acceptance_rate+(MIN(DAMAS_Daily!D323*market_share_B*acceptance_rate*stack_activation,power_mw*hours_per_day,capacity_mwh))*DAMAS_Daily!F323*activation_mult_B),"aFRR+","aFRR-")</f>
        <v/>
      </c>
      <c r="D323" s="43">
        <f>IF(C323="aFRR+",damas_afrr_up*capacity_mult_B,damas_afrr_down*capacity_mult_B)</f>
        <v/>
      </c>
      <c r="E323" s="44">
        <f>acceptance_rate</f>
        <v/>
      </c>
      <c r="F323" s="18">
        <f>IF(C323="aFRR+",power_mw*hours_per_day*damas_afrr_up*capacity_mult_B*stack_capacity*acceptance_rate,power_mw*hours_per_day*damas_afrr_down*capacity_mult_B*stack_capacity*acceptance_rate)</f>
        <v/>
      </c>
      <c r="G323" s="42">
        <f>IF(C323="aFRR+",DAMAS_Daily!I323,DAMAS_Daily!J323)</f>
        <v/>
      </c>
      <c r="H323" s="43">
        <f>IF(C323="aFRR+",DAMAS_Daily!E323,DAMAS_Daily!F323)</f>
        <v/>
      </c>
      <c r="I323" s="43">
        <f>IF(C323="aFRR+",DAMAS_Daily!G323,DAMAS_Daily!H323)</f>
        <v/>
      </c>
      <c r="J323" s="45">
        <f>IF(C323="aFRR+",DAMAS_Daily!C323,DAMAS_Daily!D323)</f>
        <v/>
      </c>
      <c r="K323" s="45">
        <f>IF(C323="aFRR+",MIN(DAMAS_Daily!C323*market_share_B*acceptance_rate*stack_activation,power_mw*hours_per_day,capacity_mwh),MIN(DAMAS_Daily!D323*market_share_B*acceptance_rate*stack_activation,power_mw*hours_per_day,capacity_mwh))</f>
        <v/>
      </c>
      <c r="L323" s="42">
        <f>IF(K323&gt;=capacity_mwh-0.01,"yes","no")</f>
        <v/>
      </c>
      <c r="M323" s="18">
        <f>IF(C323="aFRR+",(MIN(DAMAS_Daily!C323*market_share_B*acceptance_rate*stack_activation,power_mw*hours_per_day,capacity_mwh))*DAMAS_Daily!E323*activation_mult_B,(MIN(DAMAS_Daily!D323*market_share_B*acceptance_rate*stack_activation,power_mw*hours_per_day,capacity_mwh))*DAMAS_Daily!F323*activation_mult_B)</f>
        <v/>
      </c>
      <c r="N323" s="19">
        <f>F323+M323</f>
        <v/>
      </c>
    </row>
    <row r="324">
      <c r="A324" s="41">
        <f>DAMAS_Daily!A324</f>
        <v/>
      </c>
      <c r="B324" s="42">
        <f>DAMAS_Daily!B324</f>
        <v/>
      </c>
      <c r="C324" s="42">
        <f>IF((power_mw*hours_per_day*damas_afrr_up*capacity_mult_B*stack_capacity*acceptance_rate+(MIN(DAMAS_Daily!C324*market_share_B*acceptance_rate*stack_activation,power_mw*hours_per_day,capacity_mwh))*DAMAS_Daily!E324*activation_mult_B)&gt;=(power_mw*hours_per_day*damas_afrr_down*capacity_mult_B*stack_capacity*acceptance_rate+(MIN(DAMAS_Daily!D324*market_share_B*acceptance_rate*stack_activation,power_mw*hours_per_day,capacity_mwh))*DAMAS_Daily!F324*activation_mult_B),"aFRR+","aFRR-")</f>
        <v/>
      </c>
      <c r="D324" s="43">
        <f>IF(C324="aFRR+",damas_afrr_up*capacity_mult_B,damas_afrr_down*capacity_mult_B)</f>
        <v/>
      </c>
      <c r="E324" s="44">
        <f>acceptance_rate</f>
        <v/>
      </c>
      <c r="F324" s="18">
        <f>IF(C324="aFRR+",power_mw*hours_per_day*damas_afrr_up*capacity_mult_B*stack_capacity*acceptance_rate,power_mw*hours_per_day*damas_afrr_down*capacity_mult_B*stack_capacity*acceptance_rate)</f>
        <v/>
      </c>
      <c r="G324" s="42">
        <f>IF(C324="aFRR+",DAMAS_Daily!I324,DAMAS_Daily!J324)</f>
        <v/>
      </c>
      <c r="H324" s="43">
        <f>IF(C324="aFRR+",DAMAS_Daily!E324,DAMAS_Daily!F324)</f>
        <v/>
      </c>
      <c r="I324" s="43">
        <f>IF(C324="aFRR+",DAMAS_Daily!G324,DAMAS_Daily!H324)</f>
        <v/>
      </c>
      <c r="J324" s="45">
        <f>IF(C324="aFRR+",DAMAS_Daily!C324,DAMAS_Daily!D324)</f>
        <v/>
      </c>
      <c r="K324" s="45">
        <f>IF(C324="aFRR+",MIN(DAMAS_Daily!C324*market_share_B*acceptance_rate*stack_activation,power_mw*hours_per_day,capacity_mwh),MIN(DAMAS_Daily!D324*market_share_B*acceptance_rate*stack_activation,power_mw*hours_per_day,capacity_mwh))</f>
        <v/>
      </c>
      <c r="L324" s="42">
        <f>IF(K324&gt;=capacity_mwh-0.01,"yes","no")</f>
        <v/>
      </c>
      <c r="M324" s="18">
        <f>IF(C324="aFRR+",(MIN(DAMAS_Daily!C324*market_share_B*acceptance_rate*stack_activation,power_mw*hours_per_day,capacity_mwh))*DAMAS_Daily!E324*activation_mult_B,(MIN(DAMAS_Daily!D324*market_share_B*acceptance_rate*stack_activation,power_mw*hours_per_day,capacity_mwh))*DAMAS_Daily!F324*activation_mult_B)</f>
        <v/>
      </c>
      <c r="N324" s="19">
        <f>F324+M324</f>
        <v/>
      </c>
    </row>
    <row r="325">
      <c r="A325" s="41">
        <f>DAMAS_Daily!A325</f>
        <v/>
      </c>
      <c r="B325" s="42">
        <f>DAMAS_Daily!B325</f>
        <v/>
      </c>
      <c r="C325" s="42">
        <f>IF((power_mw*hours_per_day*damas_afrr_up*capacity_mult_B*stack_capacity*acceptance_rate+(MIN(DAMAS_Daily!C325*market_share_B*acceptance_rate*stack_activation,power_mw*hours_per_day,capacity_mwh))*DAMAS_Daily!E325*activation_mult_B)&gt;=(power_mw*hours_per_day*damas_afrr_down*capacity_mult_B*stack_capacity*acceptance_rate+(MIN(DAMAS_Daily!D325*market_share_B*acceptance_rate*stack_activation,power_mw*hours_per_day,capacity_mwh))*DAMAS_Daily!F325*activation_mult_B),"aFRR+","aFRR-")</f>
        <v/>
      </c>
      <c r="D325" s="43">
        <f>IF(C325="aFRR+",damas_afrr_up*capacity_mult_B,damas_afrr_down*capacity_mult_B)</f>
        <v/>
      </c>
      <c r="E325" s="44">
        <f>acceptance_rate</f>
        <v/>
      </c>
      <c r="F325" s="18">
        <f>IF(C325="aFRR+",power_mw*hours_per_day*damas_afrr_up*capacity_mult_B*stack_capacity*acceptance_rate,power_mw*hours_per_day*damas_afrr_down*capacity_mult_B*stack_capacity*acceptance_rate)</f>
        <v/>
      </c>
      <c r="G325" s="42">
        <f>IF(C325="aFRR+",DAMAS_Daily!I325,DAMAS_Daily!J325)</f>
        <v/>
      </c>
      <c r="H325" s="43">
        <f>IF(C325="aFRR+",DAMAS_Daily!E325,DAMAS_Daily!F325)</f>
        <v/>
      </c>
      <c r="I325" s="43">
        <f>IF(C325="aFRR+",DAMAS_Daily!G325,DAMAS_Daily!H325)</f>
        <v/>
      </c>
      <c r="J325" s="45">
        <f>IF(C325="aFRR+",DAMAS_Daily!C325,DAMAS_Daily!D325)</f>
        <v/>
      </c>
      <c r="K325" s="45">
        <f>IF(C325="aFRR+",MIN(DAMAS_Daily!C325*market_share_B*acceptance_rate*stack_activation,power_mw*hours_per_day,capacity_mwh),MIN(DAMAS_Daily!D325*market_share_B*acceptance_rate*stack_activation,power_mw*hours_per_day,capacity_mwh))</f>
        <v/>
      </c>
      <c r="L325" s="42">
        <f>IF(K325&gt;=capacity_mwh-0.01,"yes","no")</f>
        <v/>
      </c>
      <c r="M325" s="18">
        <f>IF(C325="aFRR+",(MIN(DAMAS_Daily!C325*market_share_B*acceptance_rate*stack_activation,power_mw*hours_per_day,capacity_mwh))*DAMAS_Daily!E325*activation_mult_B,(MIN(DAMAS_Daily!D325*market_share_B*acceptance_rate*stack_activation,power_mw*hours_per_day,capacity_mwh))*DAMAS_Daily!F325*activation_mult_B)</f>
        <v/>
      </c>
      <c r="N325" s="19">
        <f>F325+M325</f>
        <v/>
      </c>
    </row>
    <row r="326">
      <c r="A326" s="41">
        <f>DAMAS_Daily!A326</f>
        <v/>
      </c>
      <c r="B326" s="42">
        <f>DAMAS_Daily!B326</f>
        <v/>
      </c>
      <c r="C326" s="42">
        <f>IF((power_mw*hours_per_day*damas_afrr_up*capacity_mult_B*stack_capacity*acceptance_rate+(MIN(DAMAS_Daily!C326*market_share_B*acceptance_rate*stack_activation,power_mw*hours_per_day,capacity_mwh))*DAMAS_Daily!E326*activation_mult_B)&gt;=(power_mw*hours_per_day*damas_afrr_down*capacity_mult_B*stack_capacity*acceptance_rate+(MIN(DAMAS_Daily!D326*market_share_B*acceptance_rate*stack_activation,power_mw*hours_per_day,capacity_mwh))*DAMAS_Daily!F326*activation_mult_B),"aFRR+","aFRR-")</f>
        <v/>
      </c>
      <c r="D326" s="43">
        <f>IF(C326="aFRR+",damas_afrr_up*capacity_mult_B,damas_afrr_down*capacity_mult_B)</f>
        <v/>
      </c>
      <c r="E326" s="44">
        <f>acceptance_rate</f>
        <v/>
      </c>
      <c r="F326" s="18">
        <f>IF(C326="aFRR+",power_mw*hours_per_day*damas_afrr_up*capacity_mult_B*stack_capacity*acceptance_rate,power_mw*hours_per_day*damas_afrr_down*capacity_mult_B*stack_capacity*acceptance_rate)</f>
        <v/>
      </c>
      <c r="G326" s="42">
        <f>IF(C326="aFRR+",DAMAS_Daily!I326,DAMAS_Daily!J326)</f>
        <v/>
      </c>
      <c r="H326" s="43">
        <f>IF(C326="aFRR+",DAMAS_Daily!E326,DAMAS_Daily!F326)</f>
        <v/>
      </c>
      <c r="I326" s="43">
        <f>IF(C326="aFRR+",DAMAS_Daily!G326,DAMAS_Daily!H326)</f>
        <v/>
      </c>
      <c r="J326" s="45">
        <f>IF(C326="aFRR+",DAMAS_Daily!C326,DAMAS_Daily!D326)</f>
        <v/>
      </c>
      <c r="K326" s="45">
        <f>IF(C326="aFRR+",MIN(DAMAS_Daily!C326*market_share_B*acceptance_rate*stack_activation,power_mw*hours_per_day,capacity_mwh),MIN(DAMAS_Daily!D326*market_share_B*acceptance_rate*stack_activation,power_mw*hours_per_day,capacity_mwh))</f>
        <v/>
      </c>
      <c r="L326" s="42">
        <f>IF(K326&gt;=capacity_mwh-0.01,"yes","no")</f>
        <v/>
      </c>
      <c r="M326" s="18">
        <f>IF(C326="aFRR+",(MIN(DAMAS_Daily!C326*market_share_B*acceptance_rate*stack_activation,power_mw*hours_per_day,capacity_mwh))*DAMAS_Daily!E326*activation_mult_B,(MIN(DAMAS_Daily!D326*market_share_B*acceptance_rate*stack_activation,power_mw*hours_per_day,capacity_mwh))*DAMAS_Daily!F326*activation_mult_B)</f>
        <v/>
      </c>
      <c r="N326" s="19">
        <f>F326+M326</f>
        <v/>
      </c>
    </row>
    <row r="327">
      <c r="A327" s="41">
        <f>DAMAS_Daily!A327</f>
        <v/>
      </c>
      <c r="B327" s="42">
        <f>DAMAS_Daily!B327</f>
        <v/>
      </c>
      <c r="C327" s="42">
        <f>IF((power_mw*hours_per_day*damas_afrr_up*capacity_mult_B*stack_capacity*acceptance_rate+(MIN(DAMAS_Daily!C327*market_share_B*acceptance_rate*stack_activation,power_mw*hours_per_day,capacity_mwh))*DAMAS_Daily!E327*activation_mult_B)&gt;=(power_mw*hours_per_day*damas_afrr_down*capacity_mult_B*stack_capacity*acceptance_rate+(MIN(DAMAS_Daily!D327*market_share_B*acceptance_rate*stack_activation,power_mw*hours_per_day,capacity_mwh))*DAMAS_Daily!F327*activation_mult_B),"aFRR+","aFRR-")</f>
        <v/>
      </c>
      <c r="D327" s="43">
        <f>IF(C327="aFRR+",damas_afrr_up*capacity_mult_B,damas_afrr_down*capacity_mult_B)</f>
        <v/>
      </c>
      <c r="E327" s="44">
        <f>acceptance_rate</f>
        <v/>
      </c>
      <c r="F327" s="18">
        <f>IF(C327="aFRR+",power_mw*hours_per_day*damas_afrr_up*capacity_mult_B*stack_capacity*acceptance_rate,power_mw*hours_per_day*damas_afrr_down*capacity_mult_B*stack_capacity*acceptance_rate)</f>
        <v/>
      </c>
      <c r="G327" s="42">
        <f>IF(C327="aFRR+",DAMAS_Daily!I327,DAMAS_Daily!J327)</f>
        <v/>
      </c>
      <c r="H327" s="43">
        <f>IF(C327="aFRR+",DAMAS_Daily!E327,DAMAS_Daily!F327)</f>
        <v/>
      </c>
      <c r="I327" s="43">
        <f>IF(C327="aFRR+",DAMAS_Daily!G327,DAMAS_Daily!H327)</f>
        <v/>
      </c>
      <c r="J327" s="45">
        <f>IF(C327="aFRR+",DAMAS_Daily!C327,DAMAS_Daily!D327)</f>
        <v/>
      </c>
      <c r="K327" s="45">
        <f>IF(C327="aFRR+",MIN(DAMAS_Daily!C327*market_share_B*acceptance_rate*stack_activation,power_mw*hours_per_day,capacity_mwh),MIN(DAMAS_Daily!D327*market_share_B*acceptance_rate*stack_activation,power_mw*hours_per_day,capacity_mwh))</f>
        <v/>
      </c>
      <c r="L327" s="42">
        <f>IF(K327&gt;=capacity_mwh-0.01,"yes","no")</f>
        <v/>
      </c>
      <c r="M327" s="18">
        <f>IF(C327="aFRR+",(MIN(DAMAS_Daily!C327*market_share_B*acceptance_rate*stack_activation,power_mw*hours_per_day,capacity_mwh))*DAMAS_Daily!E327*activation_mult_B,(MIN(DAMAS_Daily!D327*market_share_B*acceptance_rate*stack_activation,power_mw*hours_per_day,capacity_mwh))*DAMAS_Daily!F327*activation_mult_B)</f>
        <v/>
      </c>
      <c r="N327" s="19">
        <f>F327+M327</f>
        <v/>
      </c>
    </row>
    <row r="328">
      <c r="A328" s="41">
        <f>DAMAS_Daily!A328</f>
        <v/>
      </c>
      <c r="B328" s="42">
        <f>DAMAS_Daily!B328</f>
        <v/>
      </c>
      <c r="C328" s="42">
        <f>IF((power_mw*hours_per_day*damas_afrr_up*capacity_mult_B*stack_capacity*acceptance_rate+(MIN(DAMAS_Daily!C328*market_share_B*acceptance_rate*stack_activation,power_mw*hours_per_day,capacity_mwh))*DAMAS_Daily!E328*activation_mult_B)&gt;=(power_mw*hours_per_day*damas_afrr_down*capacity_mult_B*stack_capacity*acceptance_rate+(MIN(DAMAS_Daily!D328*market_share_B*acceptance_rate*stack_activation,power_mw*hours_per_day,capacity_mwh))*DAMAS_Daily!F328*activation_mult_B),"aFRR+","aFRR-")</f>
        <v/>
      </c>
      <c r="D328" s="43">
        <f>IF(C328="aFRR+",damas_afrr_up*capacity_mult_B,damas_afrr_down*capacity_mult_B)</f>
        <v/>
      </c>
      <c r="E328" s="44">
        <f>acceptance_rate</f>
        <v/>
      </c>
      <c r="F328" s="18">
        <f>IF(C328="aFRR+",power_mw*hours_per_day*damas_afrr_up*capacity_mult_B*stack_capacity*acceptance_rate,power_mw*hours_per_day*damas_afrr_down*capacity_mult_B*stack_capacity*acceptance_rate)</f>
        <v/>
      </c>
      <c r="G328" s="42">
        <f>IF(C328="aFRR+",DAMAS_Daily!I328,DAMAS_Daily!J328)</f>
        <v/>
      </c>
      <c r="H328" s="43">
        <f>IF(C328="aFRR+",DAMAS_Daily!E328,DAMAS_Daily!F328)</f>
        <v/>
      </c>
      <c r="I328" s="43">
        <f>IF(C328="aFRR+",DAMAS_Daily!G328,DAMAS_Daily!H328)</f>
        <v/>
      </c>
      <c r="J328" s="45">
        <f>IF(C328="aFRR+",DAMAS_Daily!C328,DAMAS_Daily!D328)</f>
        <v/>
      </c>
      <c r="K328" s="45">
        <f>IF(C328="aFRR+",MIN(DAMAS_Daily!C328*market_share_B*acceptance_rate*stack_activation,power_mw*hours_per_day,capacity_mwh),MIN(DAMAS_Daily!D328*market_share_B*acceptance_rate*stack_activation,power_mw*hours_per_day,capacity_mwh))</f>
        <v/>
      </c>
      <c r="L328" s="42">
        <f>IF(K328&gt;=capacity_mwh-0.01,"yes","no")</f>
        <v/>
      </c>
      <c r="M328" s="18">
        <f>IF(C328="aFRR+",(MIN(DAMAS_Daily!C328*market_share_B*acceptance_rate*stack_activation,power_mw*hours_per_day,capacity_mwh))*DAMAS_Daily!E328*activation_mult_B,(MIN(DAMAS_Daily!D328*market_share_B*acceptance_rate*stack_activation,power_mw*hours_per_day,capacity_mwh))*DAMAS_Daily!F328*activation_mult_B)</f>
        <v/>
      </c>
      <c r="N328" s="19">
        <f>F328+M328</f>
        <v/>
      </c>
    </row>
    <row r="329">
      <c r="A329" s="41">
        <f>DAMAS_Daily!A329</f>
        <v/>
      </c>
      <c r="B329" s="42">
        <f>DAMAS_Daily!B329</f>
        <v/>
      </c>
      <c r="C329" s="42">
        <f>IF((power_mw*hours_per_day*damas_afrr_up*capacity_mult_B*stack_capacity*acceptance_rate+(MIN(DAMAS_Daily!C329*market_share_B*acceptance_rate*stack_activation,power_mw*hours_per_day,capacity_mwh))*DAMAS_Daily!E329*activation_mult_B)&gt;=(power_mw*hours_per_day*damas_afrr_down*capacity_mult_B*stack_capacity*acceptance_rate+(MIN(DAMAS_Daily!D329*market_share_B*acceptance_rate*stack_activation,power_mw*hours_per_day,capacity_mwh))*DAMAS_Daily!F329*activation_mult_B),"aFRR+","aFRR-")</f>
        <v/>
      </c>
      <c r="D329" s="43">
        <f>IF(C329="aFRR+",damas_afrr_up*capacity_mult_B,damas_afrr_down*capacity_mult_B)</f>
        <v/>
      </c>
      <c r="E329" s="44">
        <f>acceptance_rate</f>
        <v/>
      </c>
      <c r="F329" s="18">
        <f>IF(C329="aFRR+",power_mw*hours_per_day*damas_afrr_up*capacity_mult_B*stack_capacity*acceptance_rate,power_mw*hours_per_day*damas_afrr_down*capacity_mult_B*stack_capacity*acceptance_rate)</f>
        <v/>
      </c>
      <c r="G329" s="42">
        <f>IF(C329="aFRR+",DAMAS_Daily!I329,DAMAS_Daily!J329)</f>
        <v/>
      </c>
      <c r="H329" s="43">
        <f>IF(C329="aFRR+",DAMAS_Daily!E329,DAMAS_Daily!F329)</f>
        <v/>
      </c>
      <c r="I329" s="43">
        <f>IF(C329="aFRR+",DAMAS_Daily!G329,DAMAS_Daily!H329)</f>
        <v/>
      </c>
      <c r="J329" s="45">
        <f>IF(C329="aFRR+",DAMAS_Daily!C329,DAMAS_Daily!D329)</f>
        <v/>
      </c>
      <c r="K329" s="45">
        <f>IF(C329="aFRR+",MIN(DAMAS_Daily!C329*market_share_B*acceptance_rate*stack_activation,power_mw*hours_per_day,capacity_mwh),MIN(DAMAS_Daily!D329*market_share_B*acceptance_rate*stack_activation,power_mw*hours_per_day,capacity_mwh))</f>
        <v/>
      </c>
      <c r="L329" s="42">
        <f>IF(K329&gt;=capacity_mwh-0.01,"yes","no")</f>
        <v/>
      </c>
      <c r="M329" s="18">
        <f>IF(C329="aFRR+",(MIN(DAMAS_Daily!C329*market_share_B*acceptance_rate*stack_activation,power_mw*hours_per_day,capacity_mwh))*DAMAS_Daily!E329*activation_mult_B,(MIN(DAMAS_Daily!D329*market_share_B*acceptance_rate*stack_activation,power_mw*hours_per_day,capacity_mwh))*DAMAS_Daily!F329*activation_mult_B)</f>
        <v/>
      </c>
      <c r="N329" s="19">
        <f>F329+M329</f>
        <v/>
      </c>
    </row>
    <row r="330">
      <c r="A330" s="41">
        <f>DAMAS_Daily!A330</f>
        <v/>
      </c>
      <c r="B330" s="42">
        <f>DAMAS_Daily!B330</f>
        <v/>
      </c>
      <c r="C330" s="42">
        <f>IF((power_mw*hours_per_day*damas_afrr_up*capacity_mult_B*stack_capacity*acceptance_rate+(MIN(DAMAS_Daily!C330*market_share_B*acceptance_rate*stack_activation,power_mw*hours_per_day,capacity_mwh))*DAMAS_Daily!E330*activation_mult_B)&gt;=(power_mw*hours_per_day*damas_afrr_down*capacity_mult_B*stack_capacity*acceptance_rate+(MIN(DAMAS_Daily!D330*market_share_B*acceptance_rate*stack_activation,power_mw*hours_per_day,capacity_mwh))*DAMAS_Daily!F330*activation_mult_B),"aFRR+","aFRR-")</f>
        <v/>
      </c>
      <c r="D330" s="43">
        <f>IF(C330="aFRR+",damas_afrr_up*capacity_mult_B,damas_afrr_down*capacity_mult_B)</f>
        <v/>
      </c>
      <c r="E330" s="44">
        <f>acceptance_rate</f>
        <v/>
      </c>
      <c r="F330" s="18">
        <f>IF(C330="aFRR+",power_mw*hours_per_day*damas_afrr_up*capacity_mult_B*stack_capacity*acceptance_rate,power_mw*hours_per_day*damas_afrr_down*capacity_mult_B*stack_capacity*acceptance_rate)</f>
        <v/>
      </c>
      <c r="G330" s="42">
        <f>IF(C330="aFRR+",DAMAS_Daily!I330,DAMAS_Daily!J330)</f>
        <v/>
      </c>
      <c r="H330" s="43">
        <f>IF(C330="aFRR+",DAMAS_Daily!E330,DAMAS_Daily!F330)</f>
        <v/>
      </c>
      <c r="I330" s="43">
        <f>IF(C330="aFRR+",DAMAS_Daily!G330,DAMAS_Daily!H330)</f>
        <v/>
      </c>
      <c r="J330" s="45">
        <f>IF(C330="aFRR+",DAMAS_Daily!C330,DAMAS_Daily!D330)</f>
        <v/>
      </c>
      <c r="K330" s="45">
        <f>IF(C330="aFRR+",MIN(DAMAS_Daily!C330*market_share_B*acceptance_rate*stack_activation,power_mw*hours_per_day,capacity_mwh),MIN(DAMAS_Daily!D330*market_share_B*acceptance_rate*stack_activation,power_mw*hours_per_day,capacity_mwh))</f>
        <v/>
      </c>
      <c r="L330" s="42">
        <f>IF(K330&gt;=capacity_mwh-0.01,"yes","no")</f>
        <v/>
      </c>
      <c r="M330" s="18">
        <f>IF(C330="aFRR+",(MIN(DAMAS_Daily!C330*market_share_B*acceptance_rate*stack_activation,power_mw*hours_per_day,capacity_mwh))*DAMAS_Daily!E330*activation_mult_B,(MIN(DAMAS_Daily!D330*market_share_B*acceptance_rate*stack_activation,power_mw*hours_per_day,capacity_mwh))*DAMAS_Daily!F330*activation_mult_B)</f>
        <v/>
      </c>
      <c r="N330" s="19">
        <f>F330+M330</f>
        <v/>
      </c>
    </row>
    <row r="331">
      <c r="A331" s="41">
        <f>DAMAS_Daily!A331</f>
        <v/>
      </c>
      <c r="B331" s="42">
        <f>DAMAS_Daily!B331</f>
        <v/>
      </c>
      <c r="C331" s="42">
        <f>IF((power_mw*hours_per_day*damas_afrr_up*capacity_mult_B*stack_capacity*acceptance_rate+(MIN(DAMAS_Daily!C331*market_share_B*acceptance_rate*stack_activation,power_mw*hours_per_day,capacity_mwh))*DAMAS_Daily!E331*activation_mult_B)&gt;=(power_mw*hours_per_day*damas_afrr_down*capacity_mult_B*stack_capacity*acceptance_rate+(MIN(DAMAS_Daily!D331*market_share_B*acceptance_rate*stack_activation,power_mw*hours_per_day,capacity_mwh))*DAMAS_Daily!F331*activation_mult_B),"aFRR+","aFRR-")</f>
        <v/>
      </c>
      <c r="D331" s="43">
        <f>IF(C331="aFRR+",damas_afrr_up*capacity_mult_B,damas_afrr_down*capacity_mult_B)</f>
        <v/>
      </c>
      <c r="E331" s="44">
        <f>acceptance_rate</f>
        <v/>
      </c>
      <c r="F331" s="18">
        <f>IF(C331="aFRR+",power_mw*hours_per_day*damas_afrr_up*capacity_mult_B*stack_capacity*acceptance_rate,power_mw*hours_per_day*damas_afrr_down*capacity_mult_B*stack_capacity*acceptance_rate)</f>
        <v/>
      </c>
      <c r="G331" s="42">
        <f>IF(C331="aFRR+",DAMAS_Daily!I331,DAMAS_Daily!J331)</f>
        <v/>
      </c>
      <c r="H331" s="43">
        <f>IF(C331="aFRR+",DAMAS_Daily!E331,DAMAS_Daily!F331)</f>
        <v/>
      </c>
      <c r="I331" s="43">
        <f>IF(C331="aFRR+",DAMAS_Daily!G331,DAMAS_Daily!H331)</f>
        <v/>
      </c>
      <c r="J331" s="45">
        <f>IF(C331="aFRR+",DAMAS_Daily!C331,DAMAS_Daily!D331)</f>
        <v/>
      </c>
      <c r="K331" s="45">
        <f>IF(C331="aFRR+",MIN(DAMAS_Daily!C331*market_share_B*acceptance_rate*stack_activation,power_mw*hours_per_day,capacity_mwh),MIN(DAMAS_Daily!D331*market_share_B*acceptance_rate*stack_activation,power_mw*hours_per_day,capacity_mwh))</f>
        <v/>
      </c>
      <c r="L331" s="42">
        <f>IF(K331&gt;=capacity_mwh-0.01,"yes","no")</f>
        <v/>
      </c>
      <c r="M331" s="18">
        <f>IF(C331="aFRR+",(MIN(DAMAS_Daily!C331*market_share_B*acceptance_rate*stack_activation,power_mw*hours_per_day,capacity_mwh))*DAMAS_Daily!E331*activation_mult_B,(MIN(DAMAS_Daily!D331*market_share_B*acceptance_rate*stack_activation,power_mw*hours_per_day,capacity_mwh))*DAMAS_Daily!F331*activation_mult_B)</f>
        <v/>
      </c>
      <c r="N331" s="19">
        <f>F331+M331</f>
        <v/>
      </c>
    </row>
    <row r="332">
      <c r="A332" s="41">
        <f>DAMAS_Daily!A332</f>
        <v/>
      </c>
      <c r="B332" s="42">
        <f>DAMAS_Daily!B332</f>
        <v/>
      </c>
      <c r="C332" s="42">
        <f>IF((power_mw*hours_per_day*damas_afrr_up*capacity_mult_B*stack_capacity*acceptance_rate+(MIN(DAMAS_Daily!C332*market_share_B*acceptance_rate*stack_activation,power_mw*hours_per_day,capacity_mwh))*DAMAS_Daily!E332*activation_mult_B)&gt;=(power_mw*hours_per_day*damas_afrr_down*capacity_mult_B*stack_capacity*acceptance_rate+(MIN(DAMAS_Daily!D332*market_share_B*acceptance_rate*stack_activation,power_mw*hours_per_day,capacity_mwh))*DAMAS_Daily!F332*activation_mult_B),"aFRR+","aFRR-")</f>
        <v/>
      </c>
      <c r="D332" s="43">
        <f>IF(C332="aFRR+",damas_afrr_up*capacity_mult_B,damas_afrr_down*capacity_mult_B)</f>
        <v/>
      </c>
      <c r="E332" s="44">
        <f>acceptance_rate</f>
        <v/>
      </c>
      <c r="F332" s="18">
        <f>IF(C332="aFRR+",power_mw*hours_per_day*damas_afrr_up*capacity_mult_B*stack_capacity*acceptance_rate,power_mw*hours_per_day*damas_afrr_down*capacity_mult_B*stack_capacity*acceptance_rate)</f>
        <v/>
      </c>
      <c r="G332" s="42">
        <f>IF(C332="aFRR+",DAMAS_Daily!I332,DAMAS_Daily!J332)</f>
        <v/>
      </c>
      <c r="H332" s="43">
        <f>IF(C332="aFRR+",DAMAS_Daily!E332,DAMAS_Daily!F332)</f>
        <v/>
      </c>
      <c r="I332" s="43">
        <f>IF(C332="aFRR+",DAMAS_Daily!G332,DAMAS_Daily!H332)</f>
        <v/>
      </c>
      <c r="J332" s="45">
        <f>IF(C332="aFRR+",DAMAS_Daily!C332,DAMAS_Daily!D332)</f>
        <v/>
      </c>
      <c r="K332" s="45">
        <f>IF(C332="aFRR+",MIN(DAMAS_Daily!C332*market_share_B*acceptance_rate*stack_activation,power_mw*hours_per_day,capacity_mwh),MIN(DAMAS_Daily!D332*market_share_B*acceptance_rate*stack_activation,power_mw*hours_per_day,capacity_mwh))</f>
        <v/>
      </c>
      <c r="L332" s="42">
        <f>IF(K332&gt;=capacity_mwh-0.01,"yes","no")</f>
        <v/>
      </c>
      <c r="M332" s="18">
        <f>IF(C332="aFRR+",(MIN(DAMAS_Daily!C332*market_share_B*acceptance_rate*stack_activation,power_mw*hours_per_day,capacity_mwh))*DAMAS_Daily!E332*activation_mult_B,(MIN(DAMAS_Daily!D332*market_share_B*acceptance_rate*stack_activation,power_mw*hours_per_day,capacity_mwh))*DAMAS_Daily!F332*activation_mult_B)</f>
        <v/>
      </c>
      <c r="N332" s="19">
        <f>F332+M332</f>
        <v/>
      </c>
    </row>
    <row r="333">
      <c r="A333" s="41">
        <f>DAMAS_Daily!A333</f>
        <v/>
      </c>
      <c r="B333" s="42">
        <f>DAMAS_Daily!B333</f>
        <v/>
      </c>
      <c r="C333" s="42">
        <f>IF((power_mw*hours_per_day*damas_afrr_up*capacity_mult_B*stack_capacity*acceptance_rate+(MIN(DAMAS_Daily!C333*market_share_B*acceptance_rate*stack_activation,power_mw*hours_per_day,capacity_mwh))*DAMAS_Daily!E333*activation_mult_B)&gt;=(power_mw*hours_per_day*damas_afrr_down*capacity_mult_B*stack_capacity*acceptance_rate+(MIN(DAMAS_Daily!D333*market_share_B*acceptance_rate*stack_activation,power_mw*hours_per_day,capacity_mwh))*DAMAS_Daily!F333*activation_mult_B),"aFRR+","aFRR-")</f>
        <v/>
      </c>
      <c r="D333" s="43">
        <f>IF(C333="aFRR+",damas_afrr_up*capacity_mult_B,damas_afrr_down*capacity_mult_B)</f>
        <v/>
      </c>
      <c r="E333" s="44">
        <f>acceptance_rate</f>
        <v/>
      </c>
      <c r="F333" s="18">
        <f>IF(C333="aFRR+",power_mw*hours_per_day*damas_afrr_up*capacity_mult_B*stack_capacity*acceptance_rate,power_mw*hours_per_day*damas_afrr_down*capacity_mult_B*stack_capacity*acceptance_rate)</f>
        <v/>
      </c>
      <c r="G333" s="42">
        <f>IF(C333="aFRR+",DAMAS_Daily!I333,DAMAS_Daily!J333)</f>
        <v/>
      </c>
      <c r="H333" s="43">
        <f>IF(C333="aFRR+",DAMAS_Daily!E333,DAMAS_Daily!F333)</f>
        <v/>
      </c>
      <c r="I333" s="43">
        <f>IF(C333="aFRR+",DAMAS_Daily!G333,DAMAS_Daily!H333)</f>
        <v/>
      </c>
      <c r="J333" s="45">
        <f>IF(C333="aFRR+",DAMAS_Daily!C333,DAMAS_Daily!D333)</f>
        <v/>
      </c>
      <c r="K333" s="45">
        <f>IF(C333="aFRR+",MIN(DAMAS_Daily!C333*market_share_B*acceptance_rate*stack_activation,power_mw*hours_per_day,capacity_mwh),MIN(DAMAS_Daily!D333*market_share_B*acceptance_rate*stack_activation,power_mw*hours_per_day,capacity_mwh))</f>
        <v/>
      </c>
      <c r="L333" s="42">
        <f>IF(K333&gt;=capacity_mwh-0.01,"yes","no")</f>
        <v/>
      </c>
      <c r="M333" s="18">
        <f>IF(C333="aFRR+",(MIN(DAMAS_Daily!C333*market_share_B*acceptance_rate*stack_activation,power_mw*hours_per_day,capacity_mwh))*DAMAS_Daily!E333*activation_mult_B,(MIN(DAMAS_Daily!D333*market_share_B*acceptance_rate*stack_activation,power_mw*hours_per_day,capacity_mwh))*DAMAS_Daily!F333*activation_mult_B)</f>
        <v/>
      </c>
      <c r="N333" s="19">
        <f>F333+M333</f>
        <v/>
      </c>
    </row>
    <row r="334">
      <c r="A334" s="41">
        <f>DAMAS_Daily!A334</f>
        <v/>
      </c>
      <c r="B334" s="42">
        <f>DAMAS_Daily!B334</f>
        <v/>
      </c>
      <c r="C334" s="42">
        <f>IF((power_mw*hours_per_day*damas_afrr_up*capacity_mult_B*stack_capacity*acceptance_rate+(MIN(DAMAS_Daily!C334*market_share_B*acceptance_rate*stack_activation,power_mw*hours_per_day,capacity_mwh))*DAMAS_Daily!E334*activation_mult_B)&gt;=(power_mw*hours_per_day*damas_afrr_down*capacity_mult_B*stack_capacity*acceptance_rate+(MIN(DAMAS_Daily!D334*market_share_B*acceptance_rate*stack_activation,power_mw*hours_per_day,capacity_mwh))*DAMAS_Daily!F334*activation_mult_B),"aFRR+","aFRR-")</f>
        <v/>
      </c>
      <c r="D334" s="43">
        <f>IF(C334="aFRR+",damas_afrr_up*capacity_mult_B,damas_afrr_down*capacity_mult_B)</f>
        <v/>
      </c>
      <c r="E334" s="44">
        <f>acceptance_rate</f>
        <v/>
      </c>
      <c r="F334" s="18">
        <f>IF(C334="aFRR+",power_mw*hours_per_day*damas_afrr_up*capacity_mult_B*stack_capacity*acceptance_rate,power_mw*hours_per_day*damas_afrr_down*capacity_mult_B*stack_capacity*acceptance_rate)</f>
        <v/>
      </c>
      <c r="G334" s="42">
        <f>IF(C334="aFRR+",DAMAS_Daily!I334,DAMAS_Daily!J334)</f>
        <v/>
      </c>
      <c r="H334" s="43">
        <f>IF(C334="aFRR+",DAMAS_Daily!E334,DAMAS_Daily!F334)</f>
        <v/>
      </c>
      <c r="I334" s="43">
        <f>IF(C334="aFRR+",DAMAS_Daily!G334,DAMAS_Daily!H334)</f>
        <v/>
      </c>
      <c r="J334" s="45">
        <f>IF(C334="aFRR+",DAMAS_Daily!C334,DAMAS_Daily!D334)</f>
        <v/>
      </c>
      <c r="K334" s="45">
        <f>IF(C334="aFRR+",MIN(DAMAS_Daily!C334*market_share_B*acceptance_rate*stack_activation,power_mw*hours_per_day,capacity_mwh),MIN(DAMAS_Daily!D334*market_share_B*acceptance_rate*stack_activation,power_mw*hours_per_day,capacity_mwh))</f>
        <v/>
      </c>
      <c r="L334" s="42">
        <f>IF(K334&gt;=capacity_mwh-0.01,"yes","no")</f>
        <v/>
      </c>
      <c r="M334" s="18">
        <f>IF(C334="aFRR+",(MIN(DAMAS_Daily!C334*market_share_B*acceptance_rate*stack_activation,power_mw*hours_per_day,capacity_mwh))*DAMAS_Daily!E334*activation_mult_B,(MIN(DAMAS_Daily!D334*market_share_B*acceptance_rate*stack_activation,power_mw*hours_per_day,capacity_mwh))*DAMAS_Daily!F334*activation_mult_B)</f>
        <v/>
      </c>
      <c r="N334" s="19">
        <f>F334+M334</f>
        <v/>
      </c>
    </row>
    <row r="335">
      <c r="A335" s="41">
        <f>DAMAS_Daily!A335</f>
        <v/>
      </c>
      <c r="B335" s="42">
        <f>DAMAS_Daily!B335</f>
        <v/>
      </c>
      <c r="C335" s="42">
        <f>IF((power_mw*hours_per_day*damas_afrr_up*capacity_mult_B*stack_capacity*acceptance_rate+(MIN(DAMAS_Daily!C335*market_share_B*acceptance_rate*stack_activation,power_mw*hours_per_day,capacity_mwh))*DAMAS_Daily!E335*activation_mult_B)&gt;=(power_mw*hours_per_day*damas_afrr_down*capacity_mult_B*stack_capacity*acceptance_rate+(MIN(DAMAS_Daily!D335*market_share_B*acceptance_rate*stack_activation,power_mw*hours_per_day,capacity_mwh))*DAMAS_Daily!F335*activation_mult_B),"aFRR+","aFRR-")</f>
        <v/>
      </c>
      <c r="D335" s="43">
        <f>IF(C335="aFRR+",damas_afrr_up*capacity_mult_B,damas_afrr_down*capacity_mult_B)</f>
        <v/>
      </c>
      <c r="E335" s="44">
        <f>acceptance_rate</f>
        <v/>
      </c>
      <c r="F335" s="18">
        <f>IF(C335="aFRR+",power_mw*hours_per_day*damas_afrr_up*capacity_mult_B*stack_capacity*acceptance_rate,power_mw*hours_per_day*damas_afrr_down*capacity_mult_B*stack_capacity*acceptance_rate)</f>
        <v/>
      </c>
      <c r="G335" s="42">
        <f>IF(C335="aFRR+",DAMAS_Daily!I335,DAMAS_Daily!J335)</f>
        <v/>
      </c>
      <c r="H335" s="43">
        <f>IF(C335="aFRR+",DAMAS_Daily!E335,DAMAS_Daily!F335)</f>
        <v/>
      </c>
      <c r="I335" s="43">
        <f>IF(C335="aFRR+",DAMAS_Daily!G335,DAMAS_Daily!H335)</f>
        <v/>
      </c>
      <c r="J335" s="45">
        <f>IF(C335="aFRR+",DAMAS_Daily!C335,DAMAS_Daily!D335)</f>
        <v/>
      </c>
      <c r="K335" s="45">
        <f>IF(C335="aFRR+",MIN(DAMAS_Daily!C335*market_share_B*acceptance_rate*stack_activation,power_mw*hours_per_day,capacity_mwh),MIN(DAMAS_Daily!D335*market_share_B*acceptance_rate*stack_activation,power_mw*hours_per_day,capacity_mwh))</f>
        <v/>
      </c>
      <c r="L335" s="42">
        <f>IF(K335&gt;=capacity_mwh-0.01,"yes","no")</f>
        <v/>
      </c>
      <c r="M335" s="18">
        <f>IF(C335="aFRR+",(MIN(DAMAS_Daily!C335*market_share_B*acceptance_rate*stack_activation,power_mw*hours_per_day,capacity_mwh))*DAMAS_Daily!E335*activation_mult_B,(MIN(DAMAS_Daily!D335*market_share_B*acceptance_rate*stack_activation,power_mw*hours_per_day,capacity_mwh))*DAMAS_Daily!F335*activation_mult_B)</f>
        <v/>
      </c>
      <c r="N335" s="19">
        <f>F335+M335</f>
        <v/>
      </c>
    </row>
    <row r="336">
      <c r="A336" s="41">
        <f>DAMAS_Daily!A336</f>
        <v/>
      </c>
      <c r="B336" s="42">
        <f>DAMAS_Daily!B336</f>
        <v/>
      </c>
      <c r="C336" s="42">
        <f>IF((power_mw*hours_per_day*damas_afrr_up*capacity_mult_B*stack_capacity*acceptance_rate+(MIN(DAMAS_Daily!C336*market_share_B*acceptance_rate*stack_activation,power_mw*hours_per_day,capacity_mwh))*DAMAS_Daily!E336*activation_mult_B)&gt;=(power_mw*hours_per_day*damas_afrr_down*capacity_mult_B*stack_capacity*acceptance_rate+(MIN(DAMAS_Daily!D336*market_share_B*acceptance_rate*stack_activation,power_mw*hours_per_day,capacity_mwh))*DAMAS_Daily!F336*activation_mult_B),"aFRR+","aFRR-")</f>
        <v/>
      </c>
      <c r="D336" s="43">
        <f>IF(C336="aFRR+",damas_afrr_up*capacity_mult_B,damas_afrr_down*capacity_mult_B)</f>
        <v/>
      </c>
      <c r="E336" s="44">
        <f>acceptance_rate</f>
        <v/>
      </c>
      <c r="F336" s="18">
        <f>IF(C336="aFRR+",power_mw*hours_per_day*damas_afrr_up*capacity_mult_B*stack_capacity*acceptance_rate,power_mw*hours_per_day*damas_afrr_down*capacity_mult_B*stack_capacity*acceptance_rate)</f>
        <v/>
      </c>
      <c r="G336" s="42">
        <f>IF(C336="aFRR+",DAMAS_Daily!I336,DAMAS_Daily!J336)</f>
        <v/>
      </c>
      <c r="H336" s="43">
        <f>IF(C336="aFRR+",DAMAS_Daily!E336,DAMAS_Daily!F336)</f>
        <v/>
      </c>
      <c r="I336" s="43">
        <f>IF(C336="aFRR+",DAMAS_Daily!G336,DAMAS_Daily!H336)</f>
        <v/>
      </c>
      <c r="J336" s="45">
        <f>IF(C336="aFRR+",DAMAS_Daily!C336,DAMAS_Daily!D336)</f>
        <v/>
      </c>
      <c r="K336" s="45">
        <f>IF(C336="aFRR+",MIN(DAMAS_Daily!C336*market_share_B*acceptance_rate*stack_activation,power_mw*hours_per_day,capacity_mwh),MIN(DAMAS_Daily!D336*market_share_B*acceptance_rate*stack_activation,power_mw*hours_per_day,capacity_mwh))</f>
        <v/>
      </c>
      <c r="L336" s="42">
        <f>IF(K336&gt;=capacity_mwh-0.01,"yes","no")</f>
        <v/>
      </c>
      <c r="M336" s="18">
        <f>IF(C336="aFRR+",(MIN(DAMAS_Daily!C336*market_share_B*acceptance_rate*stack_activation,power_mw*hours_per_day,capacity_mwh))*DAMAS_Daily!E336*activation_mult_B,(MIN(DAMAS_Daily!D336*market_share_B*acceptance_rate*stack_activation,power_mw*hours_per_day,capacity_mwh))*DAMAS_Daily!F336*activation_mult_B)</f>
        <v/>
      </c>
      <c r="N336" s="19">
        <f>F336+M336</f>
        <v/>
      </c>
    </row>
    <row r="337">
      <c r="A337" s="41">
        <f>DAMAS_Daily!A337</f>
        <v/>
      </c>
      <c r="B337" s="42">
        <f>DAMAS_Daily!B337</f>
        <v/>
      </c>
      <c r="C337" s="42">
        <f>IF((power_mw*hours_per_day*damas_afrr_up*capacity_mult_B*stack_capacity*acceptance_rate+(MIN(DAMAS_Daily!C337*market_share_B*acceptance_rate*stack_activation,power_mw*hours_per_day,capacity_mwh))*DAMAS_Daily!E337*activation_mult_B)&gt;=(power_mw*hours_per_day*damas_afrr_down*capacity_mult_B*stack_capacity*acceptance_rate+(MIN(DAMAS_Daily!D337*market_share_B*acceptance_rate*stack_activation,power_mw*hours_per_day,capacity_mwh))*DAMAS_Daily!F337*activation_mult_B),"aFRR+","aFRR-")</f>
        <v/>
      </c>
      <c r="D337" s="43">
        <f>IF(C337="aFRR+",damas_afrr_up*capacity_mult_B,damas_afrr_down*capacity_mult_B)</f>
        <v/>
      </c>
      <c r="E337" s="44">
        <f>acceptance_rate</f>
        <v/>
      </c>
      <c r="F337" s="18">
        <f>IF(C337="aFRR+",power_mw*hours_per_day*damas_afrr_up*capacity_mult_B*stack_capacity*acceptance_rate,power_mw*hours_per_day*damas_afrr_down*capacity_mult_B*stack_capacity*acceptance_rate)</f>
        <v/>
      </c>
      <c r="G337" s="42">
        <f>IF(C337="aFRR+",DAMAS_Daily!I337,DAMAS_Daily!J337)</f>
        <v/>
      </c>
      <c r="H337" s="43">
        <f>IF(C337="aFRR+",DAMAS_Daily!E337,DAMAS_Daily!F337)</f>
        <v/>
      </c>
      <c r="I337" s="43">
        <f>IF(C337="aFRR+",DAMAS_Daily!G337,DAMAS_Daily!H337)</f>
        <v/>
      </c>
      <c r="J337" s="45">
        <f>IF(C337="aFRR+",DAMAS_Daily!C337,DAMAS_Daily!D337)</f>
        <v/>
      </c>
      <c r="K337" s="45">
        <f>IF(C337="aFRR+",MIN(DAMAS_Daily!C337*market_share_B*acceptance_rate*stack_activation,power_mw*hours_per_day,capacity_mwh),MIN(DAMAS_Daily!D337*market_share_B*acceptance_rate*stack_activation,power_mw*hours_per_day,capacity_mwh))</f>
        <v/>
      </c>
      <c r="L337" s="42">
        <f>IF(K337&gt;=capacity_mwh-0.01,"yes","no")</f>
        <v/>
      </c>
      <c r="M337" s="18">
        <f>IF(C337="aFRR+",(MIN(DAMAS_Daily!C337*market_share_B*acceptance_rate*stack_activation,power_mw*hours_per_day,capacity_mwh))*DAMAS_Daily!E337*activation_mult_B,(MIN(DAMAS_Daily!D337*market_share_B*acceptance_rate*stack_activation,power_mw*hours_per_day,capacity_mwh))*DAMAS_Daily!F337*activation_mult_B)</f>
        <v/>
      </c>
      <c r="N337" s="19">
        <f>F337+M337</f>
        <v/>
      </c>
    </row>
    <row r="338">
      <c r="A338" s="41">
        <f>DAMAS_Daily!A338</f>
        <v/>
      </c>
      <c r="B338" s="42">
        <f>DAMAS_Daily!B338</f>
        <v/>
      </c>
      <c r="C338" s="42">
        <f>IF((power_mw*hours_per_day*damas_afrr_up*capacity_mult_B*stack_capacity*acceptance_rate+(MIN(DAMAS_Daily!C338*market_share_B*acceptance_rate*stack_activation,power_mw*hours_per_day,capacity_mwh))*DAMAS_Daily!E338*activation_mult_B)&gt;=(power_mw*hours_per_day*damas_afrr_down*capacity_mult_B*stack_capacity*acceptance_rate+(MIN(DAMAS_Daily!D338*market_share_B*acceptance_rate*stack_activation,power_mw*hours_per_day,capacity_mwh))*DAMAS_Daily!F338*activation_mult_B),"aFRR+","aFRR-")</f>
        <v/>
      </c>
      <c r="D338" s="43">
        <f>IF(C338="aFRR+",damas_afrr_up*capacity_mult_B,damas_afrr_down*capacity_mult_B)</f>
        <v/>
      </c>
      <c r="E338" s="44">
        <f>acceptance_rate</f>
        <v/>
      </c>
      <c r="F338" s="18">
        <f>IF(C338="aFRR+",power_mw*hours_per_day*damas_afrr_up*capacity_mult_B*stack_capacity*acceptance_rate,power_mw*hours_per_day*damas_afrr_down*capacity_mult_B*stack_capacity*acceptance_rate)</f>
        <v/>
      </c>
      <c r="G338" s="42">
        <f>IF(C338="aFRR+",DAMAS_Daily!I338,DAMAS_Daily!J338)</f>
        <v/>
      </c>
      <c r="H338" s="43">
        <f>IF(C338="aFRR+",DAMAS_Daily!E338,DAMAS_Daily!F338)</f>
        <v/>
      </c>
      <c r="I338" s="43">
        <f>IF(C338="aFRR+",DAMAS_Daily!G338,DAMAS_Daily!H338)</f>
        <v/>
      </c>
      <c r="J338" s="45">
        <f>IF(C338="aFRR+",DAMAS_Daily!C338,DAMAS_Daily!D338)</f>
        <v/>
      </c>
      <c r="K338" s="45">
        <f>IF(C338="aFRR+",MIN(DAMAS_Daily!C338*market_share_B*acceptance_rate*stack_activation,power_mw*hours_per_day,capacity_mwh),MIN(DAMAS_Daily!D338*market_share_B*acceptance_rate*stack_activation,power_mw*hours_per_day,capacity_mwh))</f>
        <v/>
      </c>
      <c r="L338" s="42">
        <f>IF(K338&gt;=capacity_mwh-0.01,"yes","no")</f>
        <v/>
      </c>
      <c r="M338" s="18">
        <f>IF(C338="aFRR+",(MIN(DAMAS_Daily!C338*market_share_B*acceptance_rate*stack_activation,power_mw*hours_per_day,capacity_mwh))*DAMAS_Daily!E338*activation_mult_B,(MIN(DAMAS_Daily!D338*market_share_B*acceptance_rate*stack_activation,power_mw*hours_per_day,capacity_mwh))*DAMAS_Daily!F338*activation_mult_B)</f>
        <v/>
      </c>
      <c r="N338" s="19">
        <f>F338+M338</f>
        <v/>
      </c>
    </row>
    <row r="339">
      <c r="A339" s="41">
        <f>DAMAS_Daily!A339</f>
        <v/>
      </c>
      <c r="B339" s="42">
        <f>DAMAS_Daily!B339</f>
        <v/>
      </c>
      <c r="C339" s="42">
        <f>IF((power_mw*hours_per_day*damas_afrr_up*capacity_mult_B*stack_capacity*acceptance_rate+(MIN(DAMAS_Daily!C339*market_share_B*acceptance_rate*stack_activation,power_mw*hours_per_day,capacity_mwh))*DAMAS_Daily!E339*activation_mult_B)&gt;=(power_mw*hours_per_day*damas_afrr_down*capacity_mult_B*stack_capacity*acceptance_rate+(MIN(DAMAS_Daily!D339*market_share_B*acceptance_rate*stack_activation,power_mw*hours_per_day,capacity_mwh))*DAMAS_Daily!F339*activation_mult_B),"aFRR+","aFRR-")</f>
        <v/>
      </c>
      <c r="D339" s="43">
        <f>IF(C339="aFRR+",damas_afrr_up*capacity_mult_B,damas_afrr_down*capacity_mult_B)</f>
        <v/>
      </c>
      <c r="E339" s="44">
        <f>acceptance_rate</f>
        <v/>
      </c>
      <c r="F339" s="18">
        <f>IF(C339="aFRR+",power_mw*hours_per_day*damas_afrr_up*capacity_mult_B*stack_capacity*acceptance_rate,power_mw*hours_per_day*damas_afrr_down*capacity_mult_B*stack_capacity*acceptance_rate)</f>
        <v/>
      </c>
      <c r="G339" s="42">
        <f>IF(C339="aFRR+",DAMAS_Daily!I339,DAMAS_Daily!J339)</f>
        <v/>
      </c>
      <c r="H339" s="43">
        <f>IF(C339="aFRR+",DAMAS_Daily!E339,DAMAS_Daily!F339)</f>
        <v/>
      </c>
      <c r="I339" s="43">
        <f>IF(C339="aFRR+",DAMAS_Daily!G339,DAMAS_Daily!H339)</f>
        <v/>
      </c>
      <c r="J339" s="45">
        <f>IF(C339="aFRR+",DAMAS_Daily!C339,DAMAS_Daily!D339)</f>
        <v/>
      </c>
      <c r="K339" s="45">
        <f>IF(C339="aFRR+",MIN(DAMAS_Daily!C339*market_share_B*acceptance_rate*stack_activation,power_mw*hours_per_day,capacity_mwh),MIN(DAMAS_Daily!D339*market_share_B*acceptance_rate*stack_activation,power_mw*hours_per_day,capacity_mwh))</f>
        <v/>
      </c>
      <c r="L339" s="42">
        <f>IF(K339&gt;=capacity_mwh-0.01,"yes","no")</f>
        <v/>
      </c>
      <c r="M339" s="18">
        <f>IF(C339="aFRR+",(MIN(DAMAS_Daily!C339*market_share_B*acceptance_rate*stack_activation,power_mw*hours_per_day,capacity_mwh))*DAMAS_Daily!E339*activation_mult_B,(MIN(DAMAS_Daily!D339*market_share_B*acceptance_rate*stack_activation,power_mw*hours_per_day,capacity_mwh))*DAMAS_Daily!F339*activation_mult_B)</f>
        <v/>
      </c>
      <c r="N339" s="19">
        <f>F339+M339</f>
        <v/>
      </c>
    </row>
    <row r="340">
      <c r="A340" s="41">
        <f>DAMAS_Daily!A340</f>
        <v/>
      </c>
      <c r="B340" s="42">
        <f>DAMAS_Daily!B340</f>
        <v/>
      </c>
      <c r="C340" s="42">
        <f>IF((power_mw*hours_per_day*damas_afrr_up*capacity_mult_B*stack_capacity*acceptance_rate+(MIN(DAMAS_Daily!C340*market_share_B*acceptance_rate*stack_activation,power_mw*hours_per_day,capacity_mwh))*DAMAS_Daily!E340*activation_mult_B)&gt;=(power_mw*hours_per_day*damas_afrr_down*capacity_mult_B*stack_capacity*acceptance_rate+(MIN(DAMAS_Daily!D340*market_share_B*acceptance_rate*stack_activation,power_mw*hours_per_day,capacity_mwh))*DAMAS_Daily!F340*activation_mult_B),"aFRR+","aFRR-")</f>
        <v/>
      </c>
      <c r="D340" s="43">
        <f>IF(C340="aFRR+",damas_afrr_up*capacity_mult_B,damas_afrr_down*capacity_mult_B)</f>
        <v/>
      </c>
      <c r="E340" s="44">
        <f>acceptance_rate</f>
        <v/>
      </c>
      <c r="F340" s="18">
        <f>IF(C340="aFRR+",power_mw*hours_per_day*damas_afrr_up*capacity_mult_B*stack_capacity*acceptance_rate,power_mw*hours_per_day*damas_afrr_down*capacity_mult_B*stack_capacity*acceptance_rate)</f>
        <v/>
      </c>
      <c r="G340" s="42">
        <f>IF(C340="aFRR+",DAMAS_Daily!I340,DAMAS_Daily!J340)</f>
        <v/>
      </c>
      <c r="H340" s="43">
        <f>IF(C340="aFRR+",DAMAS_Daily!E340,DAMAS_Daily!F340)</f>
        <v/>
      </c>
      <c r="I340" s="43">
        <f>IF(C340="aFRR+",DAMAS_Daily!G340,DAMAS_Daily!H340)</f>
        <v/>
      </c>
      <c r="J340" s="45">
        <f>IF(C340="aFRR+",DAMAS_Daily!C340,DAMAS_Daily!D340)</f>
        <v/>
      </c>
      <c r="K340" s="45">
        <f>IF(C340="aFRR+",MIN(DAMAS_Daily!C340*market_share_B*acceptance_rate*stack_activation,power_mw*hours_per_day,capacity_mwh),MIN(DAMAS_Daily!D340*market_share_B*acceptance_rate*stack_activation,power_mw*hours_per_day,capacity_mwh))</f>
        <v/>
      </c>
      <c r="L340" s="42">
        <f>IF(K340&gt;=capacity_mwh-0.01,"yes","no")</f>
        <v/>
      </c>
      <c r="M340" s="18">
        <f>IF(C340="aFRR+",(MIN(DAMAS_Daily!C340*market_share_B*acceptance_rate*stack_activation,power_mw*hours_per_day,capacity_mwh))*DAMAS_Daily!E340*activation_mult_B,(MIN(DAMAS_Daily!D340*market_share_B*acceptance_rate*stack_activation,power_mw*hours_per_day,capacity_mwh))*DAMAS_Daily!F340*activation_mult_B)</f>
        <v/>
      </c>
      <c r="N340" s="19">
        <f>F340+M340</f>
        <v/>
      </c>
    </row>
    <row r="341">
      <c r="A341" s="41">
        <f>DAMAS_Daily!A341</f>
        <v/>
      </c>
      <c r="B341" s="42">
        <f>DAMAS_Daily!B341</f>
        <v/>
      </c>
      <c r="C341" s="42">
        <f>IF((power_mw*hours_per_day*damas_afrr_up*capacity_mult_B*stack_capacity*acceptance_rate+(MIN(DAMAS_Daily!C341*market_share_B*acceptance_rate*stack_activation,power_mw*hours_per_day,capacity_mwh))*DAMAS_Daily!E341*activation_mult_B)&gt;=(power_mw*hours_per_day*damas_afrr_down*capacity_mult_B*stack_capacity*acceptance_rate+(MIN(DAMAS_Daily!D341*market_share_B*acceptance_rate*stack_activation,power_mw*hours_per_day,capacity_mwh))*DAMAS_Daily!F341*activation_mult_B),"aFRR+","aFRR-")</f>
        <v/>
      </c>
      <c r="D341" s="43">
        <f>IF(C341="aFRR+",damas_afrr_up*capacity_mult_B,damas_afrr_down*capacity_mult_B)</f>
        <v/>
      </c>
      <c r="E341" s="44">
        <f>acceptance_rate</f>
        <v/>
      </c>
      <c r="F341" s="18">
        <f>IF(C341="aFRR+",power_mw*hours_per_day*damas_afrr_up*capacity_mult_B*stack_capacity*acceptance_rate,power_mw*hours_per_day*damas_afrr_down*capacity_mult_B*stack_capacity*acceptance_rate)</f>
        <v/>
      </c>
      <c r="G341" s="42">
        <f>IF(C341="aFRR+",DAMAS_Daily!I341,DAMAS_Daily!J341)</f>
        <v/>
      </c>
      <c r="H341" s="43">
        <f>IF(C341="aFRR+",DAMAS_Daily!E341,DAMAS_Daily!F341)</f>
        <v/>
      </c>
      <c r="I341" s="43">
        <f>IF(C341="aFRR+",DAMAS_Daily!G341,DAMAS_Daily!H341)</f>
        <v/>
      </c>
      <c r="J341" s="45">
        <f>IF(C341="aFRR+",DAMAS_Daily!C341,DAMAS_Daily!D341)</f>
        <v/>
      </c>
      <c r="K341" s="45">
        <f>IF(C341="aFRR+",MIN(DAMAS_Daily!C341*market_share_B*acceptance_rate*stack_activation,power_mw*hours_per_day,capacity_mwh),MIN(DAMAS_Daily!D341*market_share_B*acceptance_rate*stack_activation,power_mw*hours_per_day,capacity_mwh))</f>
        <v/>
      </c>
      <c r="L341" s="42">
        <f>IF(K341&gt;=capacity_mwh-0.01,"yes","no")</f>
        <v/>
      </c>
      <c r="M341" s="18">
        <f>IF(C341="aFRR+",(MIN(DAMAS_Daily!C341*market_share_B*acceptance_rate*stack_activation,power_mw*hours_per_day,capacity_mwh))*DAMAS_Daily!E341*activation_mult_B,(MIN(DAMAS_Daily!D341*market_share_B*acceptance_rate*stack_activation,power_mw*hours_per_day,capacity_mwh))*DAMAS_Daily!F341*activation_mult_B)</f>
        <v/>
      </c>
      <c r="N341" s="19">
        <f>F341+M341</f>
        <v/>
      </c>
    </row>
    <row r="342">
      <c r="A342" s="41">
        <f>DAMAS_Daily!A342</f>
        <v/>
      </c>
      <c r="B342" s="42">
        <f>DAMAS_Daily!B342</f>
        <v/>
      </c>
      <c r="C342" s="42">
        <f>IF((power_mw*hours_per_day*damas_afrr_up*capacity_mult_B*stack_capacity*acceptance_rate+(MIN(DAMAS_Daily!C342*market_share_B*acceptance_rate*stack_activation,power_mw*hours_per_day,capacity_mwh))*DAMAS_Daily!E342*activation_mult_B)&gt;=(power_mw*hours_per_day*damas_afrr_down*capacity_mult_B*stack_capacity*acceptance_rate+(MIN(DAMAS_Daily!D342*market_share_B*acceptance_rate*stack_activation,power_mw*hours_per_day,capacity_mwh))*DAMAS_Daily!F342*activation_mult_B),"aFRR+","aFRR-")</f>
        <v/>
      </c>
      <c r="D342" s="43">
        <f>IF(C342="aFRR+",damas_afrr_up*capacity_mult_B,damas_afrr_down*capacity_mult_B)</f>
        <v/>
      </c>
      <c r="E342" s="44">
        <f>acceptance_rate</f>
        <v/>
      </c>
      <c r="F342" s="18">
        <f>IF(C342="aFRR+",power_mw*hours_per_day*damas_afrr_up*capacity_mult_B*stack_capacity*acceptance_rate,power_mw*hours_per_day*damas_afrr_down*capacity_mult_B*stack_capacity*acceptance_rate)</f>
        <v/>
      </c>
      <c r="G342" s="42">
        <f>IF(C342="aFRR+",DAMAS_Daily!I342,DAMAS_Daily!J342)</f>
        <v/>
      </c>
      <c r="H342" s="43">
        <f>IF(C342="aFRR+",DAMAS_Daily!E342,DAMAS_Daily!F342)</f>
        <v/>
      </c>
      <c r="I342" s="43">
        <f>IF(C342="aFRR+",DAMAS_Daily!G342,DAMAS_Daily!H342)</f>
        <v/>
      </c>
      <c r="J342" s="45">
        <f>IF(C342="aFRR+",DAMAS_Daily!C342,DAMAS_Daily!D342)</f>
        <v/>
      </c>
      <c r="K342" s="45">
        <f>IF(C342="aFRR+",MIN(DAMAS_Daily!C342*market_share_B*acceptance_rate*stack_activation,power_mw*hours_per_day,capacity_mwh),MIN(DAMAS_Daily!D342*market_share_B*acceptance_rate*stack_activation,power_mw*hours_per_day,capacity_mwh))</f>
        <v/>
      </c>
      <c r="L342" s="42">
        <f>IF(K342&gt;=capacity_mwh-0.01,"yes","no")</f>
        <v/>
      </c>
      <c r="M342" s="18">
        <f>IF(C342="aFRR+",(MIN(DAMAS_Daily!C342*market_share_B*acceptance_rate*stack_activation,power_mw*hours_per_day,capacity_mwh))*DAMAS_Daily!E342*activation_mult_B,(MIN(DAMAS_Daily!D342*market_share_B*acceptance_rate*stack_activation,power_mw*hours_per_day,capacity_mwh))*DAMAS_Daily!F342*activation_mult_B)</f>
        <v/>
      </c>
      <c r="N342" s="19">
        <f>F342+M342</f>
        <v/>
      </c>
    </row>
    <row r="343">
      <c r="A343" s="41">
        <f>DAMAS_Daily!A343</f>
        <v/>
      </c>
      <c r="B343" s="42">
        <f>DAMAS_Daily!B343</f>
        <v/>
      </c>
      <c r="C343" s="42">
        <f>IF((power_mw*hours_per_day*damas_afrr_up*capacity_mult_B*stack_capacity*acceptance_rate+(MIN(DAMAS_Daily!C343*market_share_B*acceptance_rate*stack_activation,power_mw*hours_per_day,capacity_mwh))*DAMAS_Daily!E343*activation_mult_B)&gt;=(power_mw*hours_per_day*damas_afrr_down*capacity_mult_B*stack_capacity*acceptance_rate+(MIN(DAMAS_Daily!D343*market_share_B*acceptance_rate*stack_activation,power_mw*hours_per_day,capacity_mwh))*DAMAS_Daily!F343*activation_mult_B),"aFRR+","aFRR-")</f>
        <v/>
      </c>
      <c r="D343" s="43">
        <f>IF(C343="aFRR+",damas_afrr_up*capacity_mult_B,damas_afrr_down*capacity_mult_B)</f>
        <v/>
      </c>
      <c r="E343" s="44">
        <f>acceptance_rate</f>
        <v/>
      </c>
      <c r="F343" s="18">
        <f>IF(C343="aFRR+",power_mw*hours_per_day*damas_afrr_up*capacity_mult_B*stack_capacity*acceptance_rate,power_mw*hours_per_day*damas_afrr_down*capacity_mult_B*stack_capacity*acceptance_rate)</f>
        <v/>
      </c>
      <c r="G343" s="42">
        <f>IF(C343="aFRR+",DAMAS_Daily!I343,DAMAS_Daily!J343)</f>
        <v/>
      </c>
      <c r="H343" s="43">
        <f>IF(C343="aFRR+",DAMAS_Daily!E343,DAMAS_Daily!F343)</f>
        <v/>
      </c>
      <c r="I343" s="43">
        <f>IF(C343="aFRR+",DAMAS_Daily!G343,DAMAS_Daily!H343)</f>
        <v/>
      </c>
      <c r="J343" s="45">
        <f>IF(C343="aFRR+",DAMAS_Daily!C343,DAMAS_Daily!D343)</f>
        <v/>
      </c>
      <c r="K343" s="45">
        <f>IF(C343="aFRR+",MIN(DAMAS_Daily!C343*market_share_B*acceptance_rate*stack_activation,power_mw*hours_per_day,capacity_mwh),MIN(DAMAS_Daily!D343*market_share_B*acceptance_rate*stack_activation,power_mw*hours_per_day,capacity_mwh))</f>
        <v/>
      </c>
      <c r="L343" s="42">
        <f>IF(K343&gt;=capacity_mwh-0.01,"yes","no")</f>
        <v/>
      </c>
      <c r="M343" s="18">
        <f>IF(C343="aFRR+",(MIN(DAMAS_Daily!C343*market_share_B*acceptance_rate*stack_activation,power_mw*hours_per_day,capacity_mwh))*DAMAS_Daily!E343*activation_mult_B,(MIN(DAMAS_Daily!D343*market_share_B*acceptance_rate*stack_activation,power_mw*hours_per_day,capacity_mwh))*DAMAS_Daily!F343*activation_mult_B)</f>
        <v/>
      </c>
      <c r="N343" s="19">
        <f>F343+M343</f>
        <v/>
      </c>
    </row>
    <row r="344">
      <c r="A344" s="41">
        <f>DAMAS_Daily!A344</f>
        <v/>
      </c>
      <c r="B344" s="42">
        <f>DAMAS_Daily!B344</f>
        <v/>
      </c>
      <c r="C344" s="42">
        <f>IF((power_mw*hours_per_day*damas_afrr_up*capacity_mult_B*stack_capacity*acceptance_rate+(MIN(DAMAS_Daily!C344*market_share_B*acceptance_rate*stack_activation,power_mw*hours_per_day,capacity_mwh))*DAMAS_Daily!E344*activation_mult_B)&gt;=(power_mw*hours_per_day*damas_afrr_down*capacity_mult_B*stack_capacity*acceptance_rate+(MIN(DAMAS_Daily!D344*market_share_B*acceptance_rate*stack_activation,power_mw*hours_per_day,capacity_mwh))*DAMAS_Daily!F344*activation_mult_B),"aFRR+","aFRR-")</f>
        <v/>
      </c>
      <c r="D344" s="43">
        <f>IF(C344="aFRR+",damas_afrr_up*capacity_mult_B,damas_afrr_down*capacity_mult_B)</f>
        <v/>
      </c>
      <c r="E344" s="44">
        <f>acceptance_rate</f>
        <v/>
      </c>
      <c r="F344" s="18">
        <f>IF(C344="aFRR+",power_mw*hours_per_day*damas_afrr_up*capacity_mult_B*stack_capacity*acceptance_rate,power_mw*hours_per_day*damas_afrr_down*capacity_mult_B*stack_capacity*acceptance_rate)</f>
        <v/>
      </c>
      <c r="G344" s="42">
        <f>IF(C344="aFRR+",DAMAS_Daily!I344,DAMAS_Daily!J344)</f>
        <v/>
      </c>
      <c r="H344" s="43">
        <f>IF(C344="aFRR+",DAMAS_Daily!E344,DAMAS_Daily!F344)</f>
        <v/>
      </c>
      <c r="I344" s="43">
        <f>IF(C344="aFRR+",DAMAS_Daily!G344,DAMAS_Daily!H344)</f>
        <v/>
      </c>
      <c r="J344" s="45">
        <f>IF(C344="aFRR+",DAMAS_Daily!C344,DAMAS_Daily!D344)</f>
        <v/>
      </c>
      <c r="K344" s="45">
        <f>IF(C344="aFRR+",MIN(DAMAS_Daily!C344*market_share_B*acceptance_rate*stack_activation,power_mw*hours_per_day,capacity_mwh),MIN(DAMAS_Daily!D344*market_share_B*acceptance_rate*stack_activation,power_mw*hours_per_day,capacity_mwh))</f>
        <v/>
      </c>
      <c r="L344" s="42">
        <f>IF(K344&gt;=capacity_mwh-0.01,"yes","no")</f>
        <v/>
      </c>
      <c r="M344" s="18">
        <f>IF(C344="aFRR+",(MIN(DAMAS_Daily!C344*market_share_B*acceptance_rate*stack_activation,power_mw*hours_per_day,capacity_mwh))*DAMAS_Daily!E344*activation_mult_B,(MIN(DAMAS_Daily!D344*market_share_B*acceptance_rate*stack_activation,power_mw*hours_per_day,capacity_mwh))*DAMAS_Daily!F344*activation_mult_B)</f>
        <v/>
      </c>
      <c r="N344" s="19">
        <f>F344+M344</f>
        <v/>
      </c>
    </row>
    <row r="345">
      <c r="A345" s="41">
        <f>DAMAS_Daily!A345</f>
        <v/>
      </c>
      <c r="B345" s="42">
        <f>DAMAS_Daily!B345</f>
        <v/>
      </c>
      <c r="C345" s="42">
        <f>IF((power_mw*hours_per_day*damas_afrr_up*capacity_mult_B*stack_capacity*acceptance_rate+(MIN(DAMAS_Daily!C345*market_share_B*acceptance_rate*stack_activation,power_mw*hours_per_day,capacity_mwh))*DAMAS_Daily!E345*activation_mult_B)&gt;=(power_mw*hours_per_day*damas_afrr_down*capacity_mult_B*stack_capacity*acceptance_rate+(MIN(DAMAS_Daily!D345*market_share_B*acceptance_rate*stack_activation,power_mw*hours_per_day,capacity_mwh))*DAMAS_Daily!F345*activation_mult_B),"aFRR+","aFRR-")</f>
        <v/>
      </c>
      <c r="D345" s="43">
        <f>IF(C345="aFRR+",damas_afrr_up*capacity_mult_B,damas_afrr_down*capacity_mult_B)</f>
        <v/>
      </c>
      <c r="E345" s="44">
        <f>acceptance_rate</f>
        <v/>
      </c>
      <c r="F345" s="18">
        <f>IF(C345="aFRR+",power_mw*hours_per_day*damas_afrr_up*capacity_mult_B*stack_capacity*acceptance_rate,power_mw*hours_per_day*damas_afrr_down*capacity_mult_B*stack_capacity*acceptance_rate)</f>
        <v/>
      </c>
      <c r="G345" s="42">
        <f>IF(C345="aFRR+",DAMAS_Daily!I345,DAMAS_Daily!J345)</f>
        <v/>
      </c>
      <c r="H345" s="43">
        <f>IF(C345="aFRR+",DAMAS_Daily!E345,DAMAS_Daily!F345)</f>
        <v/>
      </c>
      <c r="I345" s="43">
        <f>IF(C345="aFRR+",DAMAS_Daily!G345,DAMAS_Daily!H345)</f>
        <v/>
      </c>
      <c r="J345" s="45">
        <f>IF(C345="aFRR+",DAMAS_Daily!C345,DAMAS_Daily!D345)</f>
        <v/>
      </c>
      <c r="K345" s="45">
        <f>IF(C345="aFRR+",MIN(DAMAS_Daily!C345*market_share_B*acceptance_rate*stack_activation,power_mw*hours_per_day,capacity_mwh),MIN(DAMAS_Daily!D345*market_share_B*acceptance_rate*stack_activation,power_mw*hours_per_day,capacity_mwh))</f>
        <v/>
      </c>
      <c r="L345" s="42">
        <f>IF(K345&gt;=capacity_mwh-0.01,"yes","no")</f>
        <v/>
      </c>
      <c r="M345" s="18">
        <f>IF(C345="aFRR+",(MIN(DAMAS_Daily!C345*market_share_B*acceptance_rate*stack_activation,power_mw*hours_per_day,capacity_mwh))*DAMAS_Daily!E345*activation_mult_B,(MIN(DAMAS_Daily!D345*market_share_B*acceptance_rate*stack_activation,power_mw*hours_per_day,capacity_mwh))*DAMAS_Daily!F345*activation_mult_B)</f>
        <v/>
      </c>
      <c r="N345" s="19">
        <f>F345+M345</f>
        <v/>
      </c>
    </row>
    <row r="346">
      <c r="A346" s="41">
        <f>DAMAS_Daily!A346</f>
        <v/>
      </c>
      <c r="B346" s="42">
        <f>DAMAS_Daily!B346</f>
        <v/>
      </c>
      <c r="C346" s="42">
        <f>IF((power_mw*hours_per_day*damas_afrr_up*capacity_mult_B*stack_capacity*acceptance_rate+(MIN(DAMAS_Daily!C346*market_share_B*acceptance_rate*stack_activation,power_mw*hours_per_day,capacity_mwh))*DAMAS_Daily!E346*activation_mult_B)&gt;=(power_mw*hours_per_day*damas_afrr_down*capacity_mult_B*stack_capacity*acceptance_rate+(MIN(DAMAS_Daily!D346*market_share_B*acceptance_rate*stack_activation,power_mw*hours_per_day,capacity_mwh))*DAMAS_Daily!F346*activation_mult_B),"aFRR+","aFRR-")</f>
        <v/>
      </c>
      <c r="D346" s="43">
        <f>IF(C346="aFRR+",damas_afrr_up*capacity_mult_B,damas_afrr_down*capacity_mult_B)</f>
        <v/>
      </c>
      <c r="E346" s="44">
        <f>acceptance_rate</f>
        <v/>
      </c>
      <c r="F346" s="18">
        <f>IF(C346="aFRR+",power_mw*hours_per_day*damas_afrr_up*capacity_mult_B*stack_capacity*acceptance_rate,power_mw*hours_per_day*damas_afrr_down*capacity_mult_B*stack_capacity*acceptance_rate)</f>
        <v/>
      </c>
      <c r="G346" s="42">
        <f>IF(C346="aFRR+",DAMAS_Daily!I346,DAMAS_Daily!J346)</f>
        <v/>
      </c>
      <c r="H346" s="43">
        <f>IF(C346="aFRR+",DAMAS_Daily!E346,DAMAS_Daily!F346)</f>
        <v/>
      </c>
      <c r="I346" s="43">
        <f>IF(C346="aFRR+",DAMAS_Daily!G346,DAMAS_Daily!H346)</f>
        <v/>
      </c>
      <c r="J346" s="45">
        <f>IF(C346="aFRR+",DAMAS_Daily!C346,DAMAS_Daily!D346)</f>
        <v/>
      </c>
      <c r="K346" s="45">
        <f>IF(C346="aFRR+",MIN(DAMAS_Daily!C346*market_share_B*acceptance_rate*stack_activation,power_mw*hours_per_day,capacity_mwh),MIN(DAMAS_Daily!D346*market_share_B*acceptance_rate*stack_activation,power_mw*hours_per_day,capacity_mwh))</f>
        <v/>
      </c>
      <c r="L346" s="42">
        <f>IF(K346&gt;=capacity_mwh-0.01,"yes","no")</f>
        <v/>
      </c>
      <c r="M346" s="18">
        <f>IF(C346="aFRR+",(MIN(DAMAS_Daily!C346*market_share_B*acceptance_rate*stack_activation,power_mw*hours_per_day,capacity_mwh))*DAMAS_Daily!E346*activation_mult_B,(MIN(DAMAS_Daily!D346*market_share_B*acceptance_rate*stack_activation,power_mw*hours_per_day,capacity_mwh))*DAMAS_Daily!F346*activation_mult_B)</f>
        <v/>
      </c>
      <c r="N346" s="19">
        <f>F346+M346</f>
        <v/>
      </c>
    </row>
    <row r="347">
      <c r="A347" s="41">
        <f>DAMAS_Daily!A347</f>
        <v/>
      </c>
      <c r="B347" s="42">
        <f>DAMAS_Daily!B347</f>
        <v/>
      </c>
      <c r="C347" s="42">
        <f>IF((power_mw*hours_per_day*damas_afrr_up*capacity_mult_B*stack_capacity*acceptance_rate+(MIN(DAMAS_Daily!C347*market_share_B*acceptance_rate*stack_activation,power_mw*hours_per_day,capacity_mwh))*DAMAS_Daily!E347*activation_mult_B)&gt;=(power_mw*hours_per_day*damas_afrr_down*capacity_mult_B*stack_capacity*acceptance_rate+(MIN(DAMAS_Daily!D347*market_share_B*acceptance_rate*stack_activation,power_mw*hours_per_day,capacity_mwh))*DAMAS_Daily!F347*activation_mult_B),"aFRR+","aFRR-")</f>
        <v/>
      </c>
      <c r="D347" s="43">
        <f>IF(C347="aFRR+",damas_afrr_up*capacity_mult_B,damas_afrr_down*capacity_mult_B)</f>
        <v/>
      </c>
      <c r="E347" s="44">
        <f>acceptance_rate</f>
        <v/>
      </c>
      <c r="F347" s="18">
        <f>IF(C347="aFRR+",power_mw*hours_per_day*damas_afrr_up*capacity_mult_B*stack_capacity*acceptance_rate,power_mw*hours_per_day*damas_afrr_down*capacity_mult_B*stack_capacity*acceptance_rate)</f>
        <v/>
      </c>
      <c r="G347" s="42">
        <f>IF(C347="aFRR+",DAMAS_Daily!I347,DAMAS_Daily!J347)</f>
        <v/>
      </c>
      <c r="H347" s="43">
        <f>IF(C347="aFRR+",DAMAS_Daily!E347,DAMAS_Daily!F347)</f>
        <v/>
      </c>
      <c r="I347" s="43">
        <f>IF(C347="aFRR+",DAMAS_Daily!G347,DAMAS_Daily!H347)</f>
        <v/>
      </c>
      <c r="J347" s="45">
        <f>IF(C347="aFRR+",DAMAS_Daily!C347,DAMAS_Daily!D347)</f>
        <v/>
      </c>
      <c r="K347" s="45">
        <f>IF(C347="aFRR+",MIN(DAMAS_Daily!C347*market_share_B*acceptance_rate*stack_activation,power_mw*hours_per_day,capacity_mwh),MIN(DAMAS_Daily!D347*market_share_B*acceptance_rate*stack_activation,power_mw*hours_per_day,capacity_mwh))</f>
        <v/>
      </c>
      <c r="L347" s="42">
        <f>IF(K347&gt;=capacity_mwh-0.01,"yes","no")</f>
        <v/>
      </c>
      <c r="M347" s="18">
        <f>IF(C347="aFRR+",(MIN(DAMAS_Daily!C347*market_share_B*acceptance_rate*stack_activation,power_mw*hours_per_day,capacity_mwh))*DAMAS_Daily!E347*activation_mult_B,(MIN(DAMAS_Daily!D347*market_share_B*acceptance_rate*stack_activation,power_mw*hours_per_day,capacity_mwh))*DAMAS_Daily!F347*activation_mult_B)</f>
        <v/>
      </c>
      <c r="N347" s="19">
        <f>F347+M347</f>
        <v/>
      </c>
    </row>
    <row r="348">
      <c r="A348" s="41">
        <f>DAMAS_Daily!A348</f>
        <v/>
      </c>
      <c r="B348" s="42">
        <f>DAMAS_Daily!B348</f>
        <v/>
      </c>
      <c r="C348" s="42">
        <f>IF((power_mw*hours_per_day*damas_afrr_up*capacity_mult_B*stack_capacity*acceptance_rate+(MIN(DAMAS_Daily!C348*market_share_B*acceptance_rate*stack_activation,power_mw*hours_per_day,capacity_mwh))*DAMAS_Daily!E348*activation_mult_B)&gt;=(power_mw*hours_per_day*damas_afrr_down*capacity_mult_B*stack_capacity*acceptance_rate+(MIN(DAMAS_Daily!D348*market_share_B*acceptance_rate*stack_activation,power_mw*hours_per_day,capacity_mwh))*DAMAS_Daily!F348*activation_mult_B),"aFRR+","aFRR-")</f>
        <v/>
      </c>
      <c r="D348" s="43">
        <f>IF(C348="aFRR+",damas_afrr_up*capacity_mult_B,damas_afrr_down*capacity_mult_B)</f>
        <v/>
      </c>
      <c r="E348" s="44">
        <f>acceptance_rate</f>
        <v/>
      </c>
      <c r="F348" s="18">
        <f>IF(C348="aFRR+",power_mw*hours_per_day*damas_afrr_up*capacity_mult_B*stack_capacity*acceptance_rate,power_mw*hours_per_day*damas_afrr_down*capacity_mult_B*stack_capacity*acceptance_rate)</f>
        <v/>
      </c>
      <c r="G348" s="42">
        <f>IF(C348="aFRR+",DAMAS_Daily!I348,DAMAS_Daily!J348)</f>
        <v/>
      </c>
      <c r="H348" s="43">
        <f>IF(C348="aFRR+",DAMAS_Daily!E348,DAMAS_Daily!F348)</f>
        <v/>
      </c>
      <c r="I348" s="43">
        <f>IF(C348="aFRR+",DAMAS_Daily!G348,DAMAS_Daily!H348)</f>
        <v/>
      </c>
      <c r="J348" s="45">
        <f>IF(C348="aFRR+",DAMAS_Daily!C348,DAMAS_Daily!D348)</f>
        <v/>
      </c>
      <c r="K348" s="45">
        <f>IF(C348="aFRR+",MIN(DAMAS_Daily!C348*market_share_B*acceptance_rate*stack_activation,power_mw*hours_per_day,capacity_mwh),MIN(DAMAS_Daily!D348*market_share_B*acceptance_rate*stack_activation,power_mw*hours_per_day,capacity_mwh))</f>
        <v/>
      </c>
      <c r="L348" s="42">
        <f>IF(K348&gt;=capacity_mwh-0.01,"yes","no")</f>
        <v/>
      </c>
      <c r="M348" s="18">
        <f>IF(C348="aFRR+",(MIN(DAMAS_Daily!C348*market_share_B*acceptance_rate*stack_activation,power_mw*hours_per_day,capacity_mwh))*DAMAS_Daily!E348*activation_mult_B,(MIN(DAMAS_Daily!D348*market_share_B*acceptance_rate*stack_activation,power_mw*hours_per_day,capacity_mwh))*DAMAS_Daily!F348*activation_mult_B)</f>
        <v/>
      </c>
      <c r="N348" s="19">
        <f>F348+M348</f>
        <v/>
      </c>
    </row>
    <row r="349">
      <c r="A349" s="41">
        <f>DAMAS_Daily!A349</f>
        <v/>
      </c>
      <c r="B349" s="42">
        <f>DAMAS_Daily!B349</f>
        <v/>
      </c>
      <c r="C349" s="42">
        <f>IF((power_mw*hours_per_day*damas_afrr_up*capacity_mult_B*stack_capacity*acceptance_rate+(MIN(DAMAS_Daily!C349*market_share_B*acceptance_rate*stack_activation,power_mw*hours_per_day,capacity_mwh))*DAMAS_Daily!E349*activation_mult_B)&gt;=(power_mw*hours_per_day*damas_afrr_down*capacity_mult_B*stack_capacity*acceptance_rate+(MIN(DAMAS_Daily!D349*market_share_B*acceptance_rate*stack_activation,power_mw*hours_per_day,capacity_mwh))*DAMAS_Daily!F349*activation_mult_B),"aFRR+","aFRR-")</f>
        <v/>
      </c>
      <c r="D349" s="43">
        <f>IF(C349="aFRR+",damas_afrr_up*capacity_mult_B,damas_afrr_down*capacity_mult_B)</f>
        <v/>
      </c>
      <c r="E349" s="44">
        <f>acceptance_rate</f>
        <v/>
      </c>
      <c r="F349" s="18">
        <f>IF(C349="aFRR+",power_mw*hours_per_day*damas_afrr_up*capacity_mult_B*stack_capacity*acceptance_rate,power_mw*hours_per_day*damas_afrr_down*capacity_mult_B*stack_capacity*acceptance_rate)</f>
        <v/>
      </c>
      <c r="G349" s="42">
        <f>IF(C349="aFRR+",DAMAS_Daily!I349,DAMAS_Daily!J349)</f>
        <v/>
      </c>
      <c r="H349" s="43">
        <f>IF(C349="aFRR+",DAMAS_Daily!E349,DAMAS_Daily!F349)</f>
        <v/>
      </c>
      <c r="I349" s="43">
        <f>IF(C349="aFRR+",DAMAS_Daily!G349,DAMAS_Daily!H349)</f>
        <v/>
      </c>
      <c r="J349" s="45">
        <f>IF(C349="aFRR+",DAMAS_Daily!C349,DAMAS_Daily!D349)</f>
        <v/>
      </c>
      <c r="K349" s="45">
        <f>IF(C349="aFRR+",MIN(DAMAS_Daily!C349*market_share_B*acceptance_rate*stack_activation,power_mw*hours_per_day,capacity_mwh),MIN(DAMAS_Daily!D349*market_share_B*acceptance_rate*stack_activation,power_mw*hours_per_day,capacity_mwh))</f>
        <v/>
      </c>
      <c r="L349" s="42">
        <f>IF(K349&gt;=capacity_mwh-0.01,"yes","no")</f>
        <v/>
      </c>
      <c r="M349" s="18">
        <f>IF(C349="aFRR+",(MIN(DAMAS_Daily!C349*market_share_B*acceptance_rate*stack_activation,power_mw*hours_per_day,capacity_mwh))*DAMAS_Daily!E349*activation_mult_B,(MIN(DAMAS_Daily!D349*market_share_B*acceptance_rate*stack_activation,power_mw*hours_per_day,capacity_mwh))*DAMAS_Daily!F349*activation_mult_B)</f>
        <v/>
      </c>
      <c r="N349" s="19">
        <f>F349+M349</f>
        <v/>
      </c>
    </row>
    <row r="350">
      <c r="A350" s="41">
        <f>DAMAS_Daily!A350</f>
        <v/>
      </c>
      <c r="B350" s="42">
        <f>DAMAS_Daily!B350</f>
        <v/>
      </c>
      <c r="C350" s="42">
        <f>IF((power_mw*hours_per_day*damas_afrr_up*capacity_mult_B*stack_capacity*acceptance_rate+(MIN(DAMAS_Daily!C350*market_share_B*acceptance_rate*stack_activation,power_mw*hours_per_day,capacity_mwh))*DAMAS_Daily!E350*activation_mult_B)&gt;=(power_mw*hours_per_day*damas_afrr_down*capacity_mult_B*stack_capacity*acceptance_rate+(MIN(DAMAS_Daily!D350*market_share_B*acceptance_rate*stack_activation,power_mw*hours_per_day,capacity_mwh))*DAMAS_Daily!F350*activation_mult_B),"aFRR+","aFRR-")</f>
        <v/>
      </c>
      <c r="D350" s="43">
        <f>IF(C350="aFRR+",damas_afrr_up*capacity_mult_B,damas_afrr_down*capacity_mult_B)</f>
        <v/>
      </c>
      <c r="E350" s="44">
        <f>acceptance_rate</f>
        <v/>
      </c>
      <c r="F350" s="18">
        <f>IF(C350="aFRR+",power_mw*hours_per_day*damas_afrr_up*capacity_mult_B*stack_capacity*acceptance_rate,power_mw*hours_per_day*damas_afrr_down*capacity_mult_B*stack_capacity*acceptance_rate)</f>
        <v/>
      </c>
      <c r="G350" s="42">
        <f>IF(C350="aFRR+",DAMAS_Daily!I350,DAMAS_Daily!J350)</f>
        <v/>
      </c>
      <c r="H350" s="43">
        <f>IF(C350="aFRR+",DAMAS_Daily!E350,DAMAS_Daily!F350)</f>
        <v/>
      </c>
      <c r="I350" s="43">
        <f>IF(C350="aFRR+",DAMAS_Daily!G350,DAMAS_Daily!H350)</f>
        <v/>
      </c>
      <c r="J350" s="45">
        <f>IF(C350="aFRR+",DAMAS_Daily!C350,DAMAS_Daily!D350)</f>
        <v/>
      </c>
      <c r="K350" s="45">
        <f>IF(C350="aFRR+",MIN(DAMAS_Daily!C350*market_share_B*acceptance_rate*stack_activation,power_mw*hours_per_day,capacity_mwh),MIN(DAMAS_Daily!D350*market_share_B*acceptance_rate*stack_activation,power_mw*hours_per_day,capacity_mwh))</f>
        <v/>
      </c>
      <c r="L350" s="42">
        <f>IF(K350&gt;=capacity_mwh-0.01,"yes","no")</f>
        <v/>
      </c>
      <c r="M350" s="18">
        <f>IF(C350="aFRR+",(MIN(DAMAS_Daily!C350*market_share_B*acceptance_rate*stack_activation,power_mw*hours_per_day,capacity_mwh))*DAMAS_Daily!E350*activation_mult_B,(MIN(DAMAS_Daily!D350*market_share_B*acceptance_rate*stack_activation,power_mw*hours_per_day,capacity_mwh))*DAMAS_Daily!F350*activation_mult_B)</f>
        <v/>
      </c>
      <c r="N350" s="19">
        <f>F350+M350</f>
        <v/>
      </c>
    </row>
    <row r="351">
      <c r="A351" s="41">
        <f>DAMAS_Daily!A351</f>
        <v/>
      </c>
      <c r="B351" s="42">
        <f>DAMAS_Daily!B351</f>
        <v/>
      </c>
      <c r="C351" s="42">
        <f>IF((power_mw*hours_per_day*damas_afrr_up*capacity_mult_B*stack_capacity*acceptance_rate+(MIN(DAMAS_Daily!C351*market_share_B*acceptance_rate*stack_activation,power_mw*hours_per_day,capacity_mwh))*DAMAS_Daily!E351*activation_mult_B)&gt;=(power_mw*hours_per_day*damas_afrr_down*capacity_mult_B*stack_capacity*acceptance_rate+(MIN(DAMAS_Daily!D351*market_share_B*acceptance_rate*stack_activation,power_mw*hours_per_day,capacity_mwh))*DAMAS_Daily!F351*activation_mult_B),"aFRR+","aFRR-")</f>
        <v/>
      </c>
      <c r="D351" s="43">
        <f>IF(C351="aFRR+",damas_afrr_up*capacity_mult_B,damas_afrr_down*capacity_mult_B)</f>
        <v/>
      </c>
      <c r="E351" s="44">
        <f>acceptance_rate</f>
        <v/>
      </c>
      <c r="F351" s="18">
        <f>IF(C351="aFRR+",power_mw*hours_per_day*damas_afrr_up*capacity_mult_B*stack_capacity*acceptance_rate,power_mw*hours_per_day*damas_afrr_down*capacity_mult_B*stack_capacity*acceptance_rate)</f>
        <v/>
      </c>
      <c r="G351" s="42">
        <f>IF(C351="aFRR+",DAMAS_Daily!I351,DAMAS_Daily!J351)</f>
        <v/>
      </c>
      <c r="H351" s="43">
        <f>IF(C351="aFRR+",DAMAS_Daily!E351,DAMAS_Daily!F351)</f>
        <v/>
      </c>
      <c r="I351" s="43">
        <f>IF(C351="aFRR+",DAMAS_Daily!G351,DAMAS_Daily!H351)</f>
        <v/>
      </c>
      <c r="J351" s="45">
        <f>IF(C351="aFRR+",DAMAS_Daily!C351,DAMAS_Daily!D351)</f>
        <v/>
      </c>
      <c r="K351" s="45">
        <f>IF(C351="aFRR+",MIN(DAMAS_Daily!C351*market_share_B*acceptance_rate*stack_activation,power_mw*hours_per_day,capacity_mwh),MIN(DAMAS_Daily!D351*market_share_B*acceptance_rate*stack_activation,power_mw*hours_per_day,capacity_mwh))</f>
        <v/>
      </c>
      <c r="L351" s="42">
        <f>IF(K351&gt;=capacity_mwh-0.01,"yes","no")</f>
        <v/>
      </c>
      <c r="M351" s="18">
        <f>IF(C351="aFRR+",(MIN(DAMAS_Daily!C351*market_share_B*acceptance_rate*stack_activation,power_mw*hours_per_day,capacity_mwh))*DAMAS_Daily!E351*activation_mult_B,(MIN(DAMAS_Daily!D351*market_share_B*acceptance_rate*stack_activation,power_mw*hours_per_day,capacity_mwh))*DAMAS_Daily!F351*activation_mult_B)</f>
        <v/>
      </c>
      <c r="N351" s="19">
        <f>F351+M351</f>
        <v/>
      </c>
    </row>
    <row r="352">
      <c r="A352" s="41">
        <f>DAMAS_Daily!A352</f>
        <v/>
      </c>
      <c r="B352" s="42">
        <f>DAMAS_Daily!B352</f>
        <v/>
      </c>
      <c r="C352" s="42">
        <f>IF((power_mw*hours_per_day*damas_afrr_up*capacity_mult_B*stack_capacity*acceptance_rate+(MIN(DAMAS_Daily!C352*market_share_B*acceptance_rate*stack_activation,power_mw*hours_per_day,capacity_mwh))*DAMAS_Daily!E352*activation_mult_B)&gt;=(power_mw*hours_per_day*damas_afrr_down*capacity_mult_B*stack_capacity*acceptance_rate+(MIN(DAMAS_Daily!D352*market_share_B*acceptance_rate*stack_activation,power_mw*hours_per_day,capacity_mwh))*DAMAS_Daily!F352*activation_mult_B),"aFRR+","aFRR-")</f>
        <v/>
      </c>
      <c r="D352" s="43">
        <f>IF(C352="aFRR+",damas_afrr_up*capacity_mult_B,damas_afrr_down*capacity_mult_B)</f>
        <v/>
      </c>
      <c r="E352" s="44">
        <f>acceptance_rate</f>
        <v/>
      </c>
      <c r="F352" s="18">
        <f>IF(C352="aFRR+",power_mw*hours_per_day*damas_afrr_up*capacity_mult_B*stack_capacity*acceptance_rate,power_mw*hours_per_day*damas_afrr_down*capacity_mult_B*stack_capacity*acceptance_rate)</f>
        <v/>
      </c>
      <c r="G352" s="42">
        <f>IF(C352="aFRR+",DAMAS_Daily!I352,DAMAS_Daily!J352)</f>
        <v/>
      </c>
      <c r="H352" s="43">
        <f>IF(C352="aFRR+",DAMAS_Daily!E352,DAMAS_Daily!F352)</f>
        <v/>
      </c>
      <c r="I352" s="43">
        <f>IF(C352="aFRR+",DAMAS_Daily!G352,DAMAS_Daily!H352)</f>
        <v/>
      </c>
      <c r="J352" s="45">
        <f>IF(C352="aFRR+",DAMAS_Daily!C352,DAMAS_Daily!D352)</f>
        <v/>
      </c>
      <c r="K352" s="45">
        <f>IF(C352="aFRR+",MIN(DAMAS_Daily!C352*market_share_B*acceptance_rate*stack_activation,power_mw*hours_per_day,capacity_mwh),MIN(DAMAS_Daily!D352*market_share_B*acceptance_rate*stack_activation,power_mw*hours_per_day,capacity_mwh))</f>
        <v/>
      </c>
      <c r="L352" s="42">
        <f>IF(K352&gt;=capacity_mwh-0.01,"yes","no")</f>
        <v/>
      </c>
      <c r="M352" s="18">
        <f>IF(C352="aFRR+",(MIN(DAMAS_Daily!C352*market_share_B*acceptance_rate*stack_activation,power_mw*hours_per_day,capacity_mwh))*DAMAS_Daily!E352*activation_mult_B,(MIN(DAMAS_Daily!D352*market_share_B*acceptance_rate*stack_activation,power_mw*hours_per_day,capacity_mwh))*DAMAS_Daily!F352*activation_mult_B)</f>
        <v/>
      </c>
      <c r="N352" s="19">
        <f>F352+M352</f>
        <v/>
      </c>
    </row>
    <row r="353">
      <c r="A353" s="41">
        <f>DAMAS_Daily!A353</f>
        <v/>
      </c>
      <c r="B353" s="42">
        <f>DAMAS_Daily!B353</f>
        <v/>
      </c>
      <c r="C353" s="42">
        <f>IF((power_mw*hours_per_day*damas_afrr_up*capacity_mult_B*stack_capacity*acceptance_rate+(MIN(DAMAS_Daily!C353*market_share_B*acceptance_rate*stack_activation,power_mw*hours_per_day,capacity_mwh))*DAMAS_Daily!E353*activation_mult_B)&gt;=(power_mw*hours_per_day*damas_afrr_down*capacity_mult_B*stack_capacity*acceptance_rate+(MIN(DAMAS_Daily!D353*market_share_B*acceptance_rate*stack_activation,power_mw*hours_per_day,capacity_mwh))*DAMAS_Daily!F353*activation_mult_B),"aFRR+","aFRR-")</f>
        <v/>
      </c>
      <c r="D353" s="43">
        <f>IF(C353="aFRR+",damas_afrr_up*capacity_mult_B,damas_afrr_down*capacity_mult_B)</f>
        <v/>
      </c>
      <c r="E353" s="44">
        <f>acceptance_rate</f>
        <v/>
      </c>
      <c r="F353" s="18">
        <f>IF(C353="aFRR+",power_mw*hours_per_day*damas_afrr_up*capacity_mult_B*stack_capacity*acceptance_rate,power_mw*hours_per_day*damas_afrr_down*capacity_mult_B*stack_capacity*acceptance_rate)</f>
        <v/>
      </c>
      <c r="G353" s="42">
        <f>IF(C353="aFRR+",DAMAS_Daily!I353,DAMAS_Daily!J353)</f>
        <v/>
      </c>
      <c r="H353" s="43">
        <f>IF(C353="aFRR+",DAMAS_Daily!E353,DAMAS_Daily!F353)</f>
        <v/>
      </c>
      <c r="I353" s="43">
        <f>IF(C353="aFRR+",DAMAS_Daily!G353,DAMAS_Daily!H353)</f>
        <v/>
      </c>
      <c r="J353" s="45">
        <f>IF(C353="aFRR+",DAMAS_Daily!C353,DAMAS_Daily!D353)</f>
        <v/>
      </c>
      <c r="K353" s="45">
        <f>IF(C353="aFRR+",MIN(DAMAS_Daily!C353*market_share_B*acceptance_rate*stack_activation,power_mw*hours_per_day,capacity_mwh),MIN(DAMAS_Daily!D353*market_share_B*acceptance_rate*stack_activation,power_mw*hours_per_day,capacity_mwh))</f>
        <v/>
      </c>
      <c r="L353" s="42">
        <f>IF(K353&gt;=capacity_mwh-0.01,"yes","no")</f>
        <v/>
      </c>
      <c r="M353" s="18">
        <f>IF(C353="aFRR+",(MIN(DAMAS_Daily!C353*market_share_B*acceptance_rate*stack_activation,power_mw*hours_per_day,capacity_mwh))*DAMAS_Daily!E353*activation_mult_B,(MIN(DAMAS_Daily!D353*market_share_B*acceptance_rate*stack_activation,power_mw*hours_per_day,capacity_mwh))*DAMAS_Daily!F353*activation_mult_B)</f>
        <v/>
      </c>
      <c r="N353" s="19">
        <f>F353+M353</f>
        <v/>
      </c>
    </row>
    <row r="354">
      <c r="A354" s="41">
        <f>DAMAS_Daily!A354</f>
        <v/>
      </c>
      <c r="B354" s="42">
        <f>DAMAS_Daily!B354</f>
        <v/>
      </c>
      <c r="C354" s="42">
        <f>IF((power_mw*hours_per_day*damas_afrr_up*capacity_mult_B*stack_capacity*acceptance_rate+(MIN(DAMAS_Daily!C354*market_share_B*acceptance_rate*stack_activation,power_mw*hours_per_day,capacity_mwh))*DAMAS_Daily!E354*activation_mult_B)&gt;=(power_mw*hours_per_day*damas_afrr_down*capacity_mult_B*stack_capacity*acceptance_rate+(MIN(DAMAS_Daily!D354*market_share_B*acceptance_rate*stack_activation,power_mw*hours_per_day,capacity_mwh))*DAMAS_Daily!F354*activation_mult_B),"aFRR+","aFRR-")</f>
        <v/>
      </c>
      <c r="D354" s="43">
        <f>IF(C354="aFRR+",damas_afrr_up*capacity_mult_B,damas_afrr_down*capacity_mult_B)</f>
        <v/>
      </c>
      <c r="E354" s="44">
        <f>acceptance_rate</f>
        <v/>
      </c>
      <c r="F354" s="18">
        <f>IF(C354="aFRR+",power_mw*hours_per_day*damas_afrr_up*capacity_mult_B*stack_capacity*acceptance_rate,power_mw*hours_per_day*damas_afrr_down*capacity_mult_B*stack_capacity*acceptance_rate)</f>
        <v/>
      </c>
      <c r="G354" s="42">
        <f>IF(C354="aFRR+",DAMAS_Daily!I354,DAMAS_Daily!J354)</f>
        <v/>
      </c>
      <c r="H354" s="43">
        <f>IF(C354="aFRR+",DAMAS_Daily!E354,DAMAS_Daily!F354)</f>
        <v/>
      </c>
      <c r="I354" s="43">
        <f>IF(C354="aFRR+",DAMAS_Daily!G354,DAMAS_Daily!H354)</f>
        <v/>
      </c>
      <c r="J354" s="45">
        <f>IF(C354="aFRR+",DAMAS_Daily!C354,DAMAS_Daily!D354)</f>
        <v/>
      </c>
      <c r="K354" s="45">
        <f>IF(C354="aFRR+",MIN(DAMAS_Daily!C354*market_share_B*acceptance_rate*stack_activation,power_mw*hours_per_day,capacity_mwh),MIN(DAMAS_Daily!D354*market_share_B*acceptance_rate*stack_activation,power_mw*hours_per_day,capacity_mwh))</f>
        <v/>
      </c>
      <c r="L354" s="42">
        <f>IF(K354&gt;=capacity_mwh-0.01,"yes","no")</f>
        <v/>
      </c>
      <c r="M354" s="18">
        <f>IF(C354="aFRR+",(MIN(DAMAS_Daily!C354*market_share_B*acceptance_rate*stack_activation,power_mw*hours_per_day,capacity_mwh))*DAMAS_Daily!E354*activation_mult_B,(MIN(DAMAS_Daily!D354*market_share_B*acceptance_rate*stack_activation,power_mw*hours_per_day,capacity_mwh))*DAMAS_Daily!F354*activation_mult_B)</f>
        <v/>
      </c>
      <c r="N354" s="19">
        <f>F354+M354</f>
        <v/>
      </c>
    </row>
    <row r="355">
      <c r="A355" s="41">
        <f>DAMAS_Daily!A355</f>
        <v/>
      </c>
      <c r="B355" s="42">
        <f>DAMAS_Daily!B355</f>
        <v/>
      </c>
      <c r="C355" s="42">
        <f>IF((power_mw*hours_per_day*damas_afrr_up*capacity_mult_B*stack_capacity*acceptance_rate+(MIN(DAMAS_Daily!C355*market_share_B*acceptance_rate*stack_activation,power_mw*hours_per_day,capacity_mwh))*DAMAS_Daily!E355*activation_mult_B)&gt;=(power_mw*hours_per_day*damas_afrr_down*capacity_mult_B*stack_capacity*acceptance_rate+(MIN(DAMAS_Daily!D355*market_share_B*acceptance_rate*stack_activation,power_mw*hours_per_day,capacity_mwh))*DAMAS_Daily!F355*activation_mult_B),"aFRR+","aFRR-")</f>
        <v/>
      </c>
      <c r="D355" s="43">
        <f>IF(C355="aFRR+",damas_afrr_up*capacity_mult_B,damas_afrr_down*capacity_mult_B)</f>
        <v/>
      </c>
      <c r="E355" s="44">
        <f>acceptance_rate</f>
        <v/>
      </c>
      <c r="F355" s="18">
        <f>IF(C355="aFRR+",power_mw*hours_per_day*damas_afrr_up*capacity_mult_B*stack_capacity*acceptance_rate,power_mw*hours_per_day*damas_afrr_down*capacity_mult_B*stack_capacity*acceptance_rate)</f>
        <v/>
      </c>
      <c r="G355" s="42">
        <f>IF(C355="aFRR+",DAMAS_Daily!I355,DAMAS_Daily!J355)</f>
        <v/>
      </c>
      <c r="H355" s="43">
        <f>IF(C355="aFRR+",DAMAS_Daily!E355,DAMAS_Daily!F355)</f>
        <v/>
      </c>
      <c r="I355" s="43">
        <f>IF(C355="aFRR+",DAMAS_Daily!G355,DAMAS_Daily!H355)</f>
        <v/>
      </c>
      <c r="J355" s="45">
        <f>IF(C355="aFRR+",DAMAS_Daily!C355,DAMAS_Daily!D355)</f>
        <v/>
      </c>
      <c r="K355" s="45">
        <f>IF(C355="aFRR+",MIN(DAMAS_Daily!C355*market_share_B*acceptance_rate*stack_activation,power_mw*hours_per_day,capacity_mwh),MIN(DAMAS_Daily!D355*market_share_B*acceptance_rate*stack_activation,power_mw*hours_per_day,capacity_mwh))</f>
        <v/>
      </c>
      <c r="L355" s="42">
        <f>IF(K355&gt;=capacity_mwh-0.01,"yes","no")</f>
        <v/>
      </c>
      <c r="M355" s="18">
        <f>IF(C355="aFRR+",(MIN(DAMAS_Daily!C355*market_share_B*acceptance_rate*stack_activation,power_mw*hours_per_day,capacity_mwh))*DAMAS_Daily!E355*activation_mult_B,(MIN(DAMAS_Daily!D355*market_share_B*acceptance_rate*stack_activation,power_mw*hours_per_day,capacity_mwh))*DAMAS_Daily!F355*activation_mult_B)</f>
        <v/>
      </c>
      <c r="N355" s="19">
        <f>F355+M355</f>
        <v/>
      </c>
    </row>
    <row r="356">
      <c r="A356" s="41">
        <f>DAMAS_Daily!A356</f>
        <v/>
      </c>
      <c r="B356" s="42">
        <f>DAMAS_Daily!B356</f>
        <v/>
      </c>
      <c r="C356" s="42">
        <f>IF((power_mw*hours_per_day*damas_afrr_up*capacity_mult_B*stack_capacity*acceptance_rate+(MIN(DAMAS_Daily!C356*market_share_B*acceptance_rate*stack_activation,power_mw*hours_per_day,capacity_mwh))*DAMAS_Daily!E356*activation_mult_B)&gt;=(power_mw*hours_per_day*damas_afrr_down*capacity_mult_B*stack_capacity*acceptance_rate+(MIN(DAMAS_Daily!D356*market_share_B*acceptance_rate*stack_activation,power_mw*hours_per_day,capacity_mwh))*DAMAS_Daily!F356*activation_mult_B),"aFRR+","aFRR-")</f>
        <v/>
      </c>
      <c r="D356" s="43">
        <f>IF(C356="aFRR+",damas_afrr_up*capacity_mult_B,damas_afrr_down*capacity_mult_B)</f>
        <v/>
      </c>
      <c r="E356" s="44">
        <f>acceptance_rate</f>
        <v/>
      </c>
      <c r="F356" s="18">
        <f>IF(C356="aFRR+",power_mw*hours_per_day*damas_afrr_up*capacity_mult_B*stack_capacity*acceptance_rate,power_mw*hours_per_day*damas_afrr_down*capacity_mult_B*stack_capacity*acceptance_rate)</f>
        <v/>
      </c>
      <c r="G356" s="42">
        <f>IF(C356="aFRR+",DAMAS_Daily!I356,DAMAS_Daily!J356)</f>
        <v/>
      </c>
      <c r="H356" s="43">
        <f>IF(C356="aFRR+",DAMAS_Daily!E356,DAMAS_Daily!F356)</f>
        <v/>
      </c>
      <c r="I356" s="43">
        <f>IF(C356="aFRR+",DAMAS_Daily!G356,DAMAS_Daily!H356)</f>
        <v/>
      </c>
      <c r="J356" s="45">
        <f>IF(C356="aFRR+",DAMAS_Daily!C356,DAMAS_Daily!D356)</f>
        <v/>
      </c>
      <c r="K356" s="45">
        <f>IF(C356="aFRR+",MIN(DAMAS_Daily!C356*market_share_B*acceptance_rate*stack_activation,power_mw*hours_per_day,capacity_mwh),MIN(DAMAS_Daily!D356*market_share_B*acceptance_rate*stack_activation,power_mw*hours_per_day,capacity_mwh))</f>
        <v/>
      </c>
      <c r="L356" s="42">
        <f>IF(K356&gt;=capacity_mwh-0.01,"yes","no")</f>
        <v/>
      </c>
      <c r="M356" s="18">
        <f>IF(C356="aFRR+",(MIN(DAMAS_Daily!C356*market_share_B*acceptance_rate*stack_activation,power_mw*hours_per_day,capacity_mwh))*DAMAS_Daily!E356*activation_mult_B,(MIN(DAMAS_Daily!D356*market_share_B*acceptance_rate*stack_activation,power_mw*hours_per_day,capacity_mwh))*DAMAS_Daily!F356*activation_mult_B)</f>
        <v/>
      </c>
      <c r="N356" s="19">
        <f>F356+M356</f>
        <v/>
      </c>
    </row>
    <row r="357">
      <c r="A357" s="41">
        <f>DAMAS_Daily!A357</f>
        <v/>
      </c>
      <c r="B357" s="42">
        <f>DAMAS_Daily!B357</f>
        <v/>
      </c>
      <c r="C357" s="42">
        <f>IF((power_mw*hours_per_day*damas_afrr_up*capacity_mult_B*stack_capacity*acceptance_rate+(MIN(DAMAS_Daily!C357*market_share_B*acceptance_rate*stack_activation,power_mw*hours_per_day,capacity_mwh))*DAMAS_Daily!E357*activation_mult_B)&gt;=(power_mw*hours_per_day*damas_afrr_down*capacity_mult_B*stack_capacity*acceptance_rate+(MIN(DAMAS_Daily!D357*market_share_B*acceptance_rate*stack_activation,power_mw*hours_per_day,capacity_mwh))*DAMAS_Daily!F357*activation_mult_B),"aFRR+","aFRR-")</f>
        <v/>
      </c>
      <c r="D357" s="43">
        <f>IF(C357="aFRR+",damas_afrr_up*capacity_mult_B,damas_afrr_down*capacity_mult_B)</f>
        <v/>
      </c>
      <c r="E357" s="44">
        <f>acceptance_rate</f>
        <v/>
      </c>
      <c r="F357" s="18">
        <f>IF(C357="aFRR+",power_mw*hours_per_day*damas_afrr_up*capacity_mult_B*stack_capacity*acceptance_rate,power_mw*hours_per_day*damas_afrr_down*capacity_mult_B*stack_capacity*acceptance_rate)</f>
        <v/>
      </c>
      <c r="G357" s="42">
        <f>IF(C357="aFRR+",DAMAS_Daily!I357,DAMAS_Daily!J357)</f>
        <v/>
      </c>
      <c r="H357" s="43">
        <f>IF(C357="aFRR+",DAMAS_Daily!E357,DAMAS_Daily!F357)</f>
        <v/>
      </c>
      <c r="I357" s="43">
        <f>IF(C357="aFRR+",DAMAS_Daily!G357,DAMAS_Daily!H357)</f>
        <v/>
      </c>
      <c r="J357" s="45">
        <f>IF(C357="aFRR+",DAMAS_Daily!C357,DAMAS_Daily!D357)</f>
        <v/>
      </c>
      <c r="K357" s="45">
        <f>IF(C357="aFRR+",MIN(DAMAS_Daily!C357*market_share_B*acceptance_rate*stack_activation,power_mw*hours_per_day,capacity_mwh),MIN(DAMAS_Daily!D357*market_share_B*acceptance_rate*stack_activation,power_mw*hours_per_day,capacity_mwh))</f>
        <v/>
      </c>
      <c r="L357" s="42">
        <f>IF(K357&gt;=capacity_mwh-0.01,"yes","no")</f>
        <v/>
      </c>
      <c r="M357" s="18">
        <f>IF(C357="aFRR+",(MIN(DAMAS_Daily!C357*market_share_B*acceptance_rate*stack_activation,power_mw*hours_per_day,capacity_mwh))*DAMAS_Daily!E357*activation_mult_B,(MIN(DAMAS_Daily!D357*market_share_B*acceptance_rate*stack_activation,power_mw*hours_per_day,capacity_mwh))*DAMAS_Daily!F357*activation_mult_B)</f>
        <v/>
      </c>
      <c r="N357" s="19">
        <f>F357+M357</f>
        <v/>
      </c>
    </row>
    <row r="358">
      <c r="A358" s="41">
        <f>DAMAS_Daily!A358</f>
        <v/>
      </c>
      <c r="B358" s="42">
        <f>DAMAS_Daily!B358</f>
        <v/>
      </c>
      <c r="C358" s="42">
        <f>IF((power_mw*hours_per_day*damas_afrr_up*capacity_mult_B*stack_capacity*acceptance_rate+(MIN(DAMAS_Daily!C358*market_share_B*acceptance_rate*stack_activation,power_mw*hours_per_day,capacity_mwh))*DAMAS_Daily!E358*activation_mult_B)&gt;=(power_mw*hours_per_day*damas_afrr_down*capacity_mult_B*stack_capacity*acceptance_rate+(MIN(DAMAS_Daily!D358*market_share_B*acceptance_rate*stack_activation,power_mw*hours_per_day,capacity_mwh))*DAMAS_Daily!F358*activation_mult_B),"aFRR+","aFRR-")</f>
        <v/>
      </c>
      <c r="D358" s="43">
        <f>IF(C358="aFRR+",damas_afrr_up*capacity_mult_B,damas_afrr_down*capacity_mult_B)</f>
        <v/>
      </c>
      <c r="E358" s="44">
        <f>acceptance_rate</f>
        <v/>
      </c>
      <c r="F358" s="18">
        <f>IF(C358="aFRR+",power_mw*hours_per_day*damas_afrr_up*capacity_mult_B*stack_capacity*acceptance_rate,power_mw*hours_per_day*damas_afrr_down*capacity_mult_B*stack_capacity*acceptance_rate)</f>
        <v/>
      </c>
      <c r="G358" s="42">
        <f>IF(C358="aFRR+",DAMAS_Daily!I358,DAMAS_Daily!J358)</f>
        <v/>
      </c>
      <c r="H358" s="43">
        <f>IF(C358="aFRR+",DAMAS_Daily!E358,DAMAS_Daily!F358)</f>
        <v/>
      </c>
      <c r="I358" s="43">
        <f>IF(C358="aFRR+",DAMAS_Daily!G358,DAMAS_Daily!H358)</f>
        <v/>
      </c>
      <c r="J358" s="45">
        <f>IF(C358="aFRR+",DAMAS_Daily!C358,DAMAS_Daily!D358)</f>
        <v/>
      </c>
      <c r="K358" s="45">
        <f>IF(C358="aFRR+",MIN(DAMAS_Daily!C358*market_share_B*acceptance_rate*stack_activation,power_mw*hours_per_day,capacity_mwh),MIN(DAMAS_Daily!D358*market_share_B*acceptance_rate*stack_activation,power_mw*hours_per_day,capacity_mwh))</f>
        <v/>
      </c>
      <c r="L358" s="42">
        <f>IF(K358&gt;=capacity_mwh-0.01,"yes","no")</f>
        <v/>
      </c>
      <c r="M358" s="18">
        <f>IF(C358="aFRR+",(MIN(DAMAS_Daily!C358*market_share_B*acceptance_rate*stack_activation,power_mw*hours_per_day,capacity_mwh))*DAMAS_Daily!E358*activation_mult_B,(MIN(DAMAS_Daily!D358*market_share_B*acceptance_rate*stack_activation,power_mw*hours_per_day,capacity_mwh))*DAMAS_Daily!F358*activation_mult_B)</f>
        <v/>
      </c>
      <c r="N358" s="19">
        <f>F358+M358</f>
        <v/>
      </c>
    </row>
    <row r="359">
      <c r="A359" s="41">
        <f>DAMAS_Daily!A359</f>
        <v/>
      </c>
      <c r="B359" s="42">
        <f>DAMAS_Daily!B359</f>
        <v/>
      </c>
      <c r="C359" s="42">
        <f>IF((power_mw*hours_per_day*damas_afrr_up*capacity_mult_B*stack_capacity*acceptance_rate+(MIN(DAMAS_Daily!C359*market_share_B*acceptance_rate*stack_activation,power_mw*hours_per_day,capacity_mwh))*DAMAS_Daily!E359*activation_mult_B)&gt;=(power_mw*hours_per_day*damas_afrr_down*capacity_mult_B*stack_capacity*acceptance_rate+(MIN(DAMAS_Daily!D359*market_share_B*acceptance_rate*stack_activation,power_mw*hours_per_day,capacity_mwh))*DAMAS_Daily!F359*activation_mult_B),"aFRR+","aFRR-")</f>
        <v/>
      </c>
      <c r="D359" s="43">
        <f>IF(C359="aFRR+",damas_afrr_up*capacity_mult_B,damas_afrr_down*capacity_mult_B)</f>
        <v/>
      </c>
      <c r="E359" s="44">
        <f>acceptance_rate</f>
        <v/>
      </c>
      <c r="F359" s="18">
        <f>IF(C359="aFRR+",power_mw*hours_per_day*damas_afrr_up*capacity_mult_B*stack_capacity*acceptance_rate,power_mw*hours_per_day*damas_afrr_down*capacity_mult_B*stack_capacity*acceptance_rate)</f>
        <v/>
      </c>
      <c r="G359" s="42">
        <f>IF(C359="aFRR+",DAMAS_Daily!I359,DAMAS_Daily!J359)</f>
        <v/>
      </c>
      <c r="H359" s="43">
        <f>IF(C359="aFRR+",DAMAS_Daily!E359,DAMAS_Daily!F359)</f>
        <v/>
      </c>
      <c r="I359" s="43">
        <f>IF(C359="aFRR+",DAMAS_Daily!G359,DAMAS_Daily!H359)</f>
        <v/>
      </c>
      <c r="J359" s="45">
        <f>IF(C359="aFRR+",DAMAS_Daily!C359,DAMAS_Daily!D359)</f>
        <v/>
      </c>
      <c r="K359" s="45">
        <f>IF(C359="aFRR+",MIN(DAMAS_Daily!C359*market_share_B*acceptance_rate*stack_activation,power_mw*hours_per_day,capacity_mwh),MIN(DAMAS_Daily!D359*market_share_B*acceptance_rate*stack_activation,power_mw*hours_per_day,capacity_mwh))</f>
        <v/>
      </c>
      <c r="L359" s="42">
        <f>IF(K359&gt;=capacity_mwh-0.01,"yes","no")</f>
        <v/>
      </c>
      <c r="M359" s="18">
        <f>IF(C359="aFRR+",(MIN(DAMAS_Daily!C359*market_share_B*acceptance_rate*stack_activation,power_mw*hours_per_day,capacity_mwh))*DAMAS_Daily!E359*activation_mult_B,(MIN(DAMAS_Daily!D359*market_share_B*acceptance_rate*stack_activation,power_mw*hours_per_day,capacity_mwh))*DAMAS_Daily!F359*activation_mult_B)</f>
        <v/>
      </c>
      <c r="N359" s="19">
        <f>F359+M359</f>
        <v/>
      </c>
    </row>
    <row r="360">
      <c r="A360" s="41">
        <f>DAMAS_Daily!A360</f>
        <v/>
      </c>
      <c r="B360" s="42">
        <f>DAMAS_Daily!B360</f>
        <v/>
      </c>
      <c r="C360" s="42">
        <f>IF((power_mw*hours_per_day*damas_afrr_up*capacity_mult_B*stack_capacity*acceptance_rate+(MIN(DAMAS_Daily!C360*market_share_B*acceptance_rate*stack_activation,power_mw*hours_per_day,capacity_mwh))*DAMAS_Daily!E360*activation_mult_B)&gt;=(power_mw*hours_per_day*damas_afrr_down*capacity_mult_B*stack_capacity*acceptance_rate+(MIN(DAMAS_Daily!D360*market_share_B*acceptance_rate*stack_activation,power_mw*hours_per_day,capacity_mwh))*DAMAS_Daily!F360*activation_mult_B),"aFRR+","aFRR-")</f>
        <v/>
      </c>
      <c r="D360" s="43">
        <f>IF(C360="aFRR+",damas_afrr_up*capacity_mult_B,damas_afrr_down*capacity_mult_B)</f>
        <v/>
      </c>
      <c r="E360" s="44">
        <f>acceptance_rate</f>
        <v/>
      </c>
      <c r="F360" s="18">
        <f>IF(C360="aFRR+",power_mw*hours_per_day*damas_afrr_up*capacity_mult_B*stack_capacity*acceptance_rate,power_mw*hours_per_day*damas_afrr_down*capacity_mult_B*stack_capacity*acceptance_rate)</f>
        <v/>
      </c>
      <c r="G360" s="42">
        <f>IF(C360="aFRR+",DAMAS_Daily!I360,DAMAS_Daily!J360)</f>
        <v/>
      </c>
      <c r="H360" s="43">
        <f>IF(C360="aFRR+",DAMAS_Daily!E360,DAMAS_Daily!F360)</f>
        <v/>
      </c>
      <c r="I360" s="43">
        <f>IF(C360="aFRR+",DAMAS_Daily!G360,DAMAS_Daily!H360)</f>
        <v/>
      </c>
      <c r="J360" s="45">
        <f>IF(C360="aFRR+",DAMAS_Daily!C360,DAMAS_Daily!D360)</f>
        <v/>
      </c>
      <c r="K360" s="45">
        <f>IF(C360="aFRR+",MIN(DAMAS_Daily!C360*market_share_B*acceptance_rate*stack_activation,power_mw*hours_per_day,capacity_mwh),MIN(DAMAS_Daily!D360*market_share_B*acceptance_rate*stack_activation,power_mw*hours_per_day,capacity_mwh))</f>
        <v/>
      </c>
      <c r="L360" s="42">
        <f>IF(K360&gt;=capacity_mwh-0.01,"yes","no")</f>
        <v/>
      </c>
      <c r="M360" s="18">
        <f>IF(C360="aFRR+",(MIN(DAMAS_Daily!C360*market_share_B*acceptance_rate*stack_activation,power_mw*hours_per_day,capacity_mwh))*DAMAS_Daily!E360*activation_mult_B,(MIN(DAMAS_Daily!D360*market_share_B*acceptance_rate*stack_activation,power_mw*hours_per_day,capacity_mwh))*DAMAS_Daily!F360*activation_mult_B)</f>
        <v/>
      </c>
      <c r="N360" s="19">
        <f>F360+M360</f>
        <v/>
      </c>
    </row>
    <row r="361">
      <c r="A361" s="41">
        <f>DAMAS_Daily!A361</f>
        <v/>
      </c>
      <c r="B361" s="42">
        <f>DAMAS_Daily!B361</f>
        <v/>
      </c>
      <c r="C361" s="42">
        <f>IF((power_mw*hours_per_day*damas_afrr_up*capacity_mult_B*stack_capacity*acceptance_rate+(MIN(DAMAS_Daily!C361*market_share_B*acceptance_rate*stack_activation,power_mw*hours_per_day,capacity_mwh))*DAMAS_Daily!E361*activation_mult_B)&gt;=(power_mw*hours_per_day*damas_afrr_down*capacity_mult_B*stack_capacity*acceptance_rate+(MIN(DAMAS_Daily!D361*market_share_B*acceptance_rate*stack_activation,power_mw*hours_per_day,capacity_mwh))*DAMAS_Daily!F361*activation_mult_B),"aFRR+","aFRR-")</f>
        <v/>
      </c>
      <c r="D361" s="43">
        <f>IF(C361="aFRR+",damas_afrr_up*capacity_mult_B,damas_afrr_down*capacity_mult_B)</f>
        <v/>
      </c>
      <c r="E361" s="44">
        <f>acceptance_rate</f>
        <v/>
      </c>
      <c r="F361" s="18">
        <f>IF(C361="aFRR+",power_mw*hours_per_day*damas_afrr_up*capacity_mult_B*stack_capacity*acceptance_rate,power_mw*hours_per_day*damas_afrr_down*capacity_mult_B*stack_capacity*acceptance_rate)</f>
        <v/>
      </c>
      <c r="G361" s="42">
        <f>IF(C361="aFRR+",DAMAS_Daily!I361,DAMAS_Daily!J361)</f>
        <v/>
      </c>
      <c r="H361" s="43">
        <f>IF(C361="aFRR+",DAMAS_Daily!E361,DAMAS_Daily!F361)</f>
        <v/>
      </c>
      <c r="I361" s="43">
        <f>IF(C361="aFRR+",DAMAS_Daily!G361,DAMAS_Daily!H361)</f>
        <v/>
      </c>
      <c r="J361" s="45">
        <f>IF(C361="aFRR+",DAMAS_Daily!C361,DAMAS_Daily!D361)</f>
        <v/>
      </c>
      <c r="K361" s="45">
        <f>IF(C361="aFRR+",MIN(DAMAS_Daily!C361*market_share_B*acceptance_rate*stack_activation,power_mw*hours_per_day,capacity_mwh),MIN(DAMAS_Daily!D361*market_share_B*acceptance_rate*stack_activation,power_mw*hours_per_day,capacity_mwh))</f>
        <v/>
      </c>
      <c r="L361" s="42">
        <f>IF(K361&gt;=capacity_mwh-0.01,"yes","no")</f>
        <v/>
      </c>
      <c r="M361" s="18">
        <f>IF(C361="aFRR+",(MIN(DAMAS_Daily!C361*market_share_B*acceptance_rate*stack_activation,power_mw*hours_per_day,capacity_mwh))*DAMAS_Daily!E361*activation_mult_B,(MIN(DAMAS_Daily!D361*market_share_B*acceptance_rate*stack_activation,power_mw*hours_per_day,capacity_mwh))*DAMAS_Daily!F361*activation_mult_B)</f>
        <v/>
      </c>
      <c r="N361" s="19">
        <f>F361+M361</f>
        <v/>
      </c>
    </row>
    <row r="362">
      <c r="A362" s="41">
        <f>DAMAS_Daily!A362</f>
        <v/>
      </c>
      <c r="B362" s="42">
        <f>DAMAS_Daily!B362</f>
        <v/>
      </c>
      <c r="C362" s="42">
        <f>IF((power_mw*hours_per_day*damas_afrr_up*capacity_mult_B*stack_capacity*acceptance_rate+(MIN(DAMAS_Daily!C362*market_share_B*acceptance_rate*stack_activation,power_mw*hours_per_day,capacity_mwh))*DAMAS_Daily!E362*activation_mult_B)&gt;=(power_mw*hours_per_day*damas_afrr_down*capacity_mult_B*stack_capacity*acceptance_rate+(MIN(DAMAS_Daily!D362*market_share_B*acceptance_rate*stack_activation,power_mw*hours_per_day,capacity_mwh))*DAMAS_Daily!F362*activation_mult_B),"aFRR+","aFRR-")</f>
        <v/>
      </c>
      <c r="D362" s="43">
        <f>IF(C362="aFRR+",damas_afrr_up*capacity_mult_B,damas_afrr_down*capacity_mult_B)</f>
        <v/>
      </c>
      <c r="E362" s="44">
        <f>acceptance_rate</f>
        <v/>
      </c>
      <c r="F362" s="18">
        <f>IF(C362="aFRR+",power_mw*hours_per_day*damas_afrr_up*capacity_mult_B*stack_capacity*acceptance_rate,power_mw*hours_per_day*damas_afrr_down*capacity_mult_B*stack_capacity*acceptance_rate)</f>
        <v/>
      </c>
      <c r="G362" s="42">
        <f>IF(C362="aFRR+",DAMAS_Daily!I362,DAMAS_Daily!J362)</f>
        <v/>
      </c>
      <c r="H362" s="43">
        <f>IF(C362="aFRR+",DAMAS_Daily!E362,DAMAS_Daily!F362)</f>
        <v/>
      </c>
      <c r="I362" s="43">
        <f>IF(C362="aFRR+",DAMAS_Daily!G362,DAMAS_Daily!H362)</f>
        <v/>
      </c>
      <c r="J362" s="45">
        <f>IF(C362="aFRR+",DAMAS_Daily!C362,DAMAS_Daily!D362)</f>
        <v/>
      </c>
      <c r="K362" s="45">
        <f>IF(C362="aFRR+",MIN(DAMAS_Daily!C362*market_share_B*acceptance_rate*stack_activation,power_mw*hours_per_day,capacity_mwh),MIN(DAMAS_Daily!D362*market_share_B*acceptance_rate*stack_activation,power_mw*hours_per_day,capacity_mwh))</f>
        <v/>
      </c>
      <c r="L362" s="42">
        <f>IF(K362&gt;=capacity_mwh-0.01,"yes","no")</f>
        <v/>
      </c>
      <c r="M362" s="18">
        <f>IF(C362="aFRR+",(MIN(DAMAS_Daily!C362*market_share_B*acceptance_rate*stack_activation,power_mw*hours_per_day,capacity_mwh))*DAMAS_Daily!E362*activation_mult_B,(MIN(DAMAS_Daily!D362*market_share_B*acceptance_rate*stack_activation,power_mw*hours_per_day,capacity_mwh))*DAMAS_Daily!F362*activation_mult_B)</f>
        <v/>
      </c>
      <c r="N362" s="19">
        <f>F362+M362</f>
        <v/>
      </c>
    </row>
    <row r="363">
      <c r="A363" s="41">
        <f>DAMAS_Daily!A363</f>
        <v/>
      </c>
      <c r="B363" s="42">
        <f>DAMAS_Daily!B363</f>
        <v/>
      </c>
      <c r="C363" s="42">
        <f>IF((power_mw*hours_per_day*damas_afrr_up*capacity_mult_B*stack_capacity*acceptance_rate+(MIN(DAMAS_Daily!C363*market_share_B*acceptance_rate*stack_activation,power_mw*hours_per_day,capacity_mwh))*DAMAS_Daily!E363*activation_mult_B)&gt;=(power_mw*hours_per_day*damas_afrr_down*capacity_mult_B*stack_capacity*acceptance_rate+(MIN(DAMAS_Daily!D363*market_share_B*acceptance_rate*stack_activation,power_mw*hours_per_day,capacity_mwh))*DAMAS_Daily!F363*activation_mult_B),"aFRR+","aFRR-")</f>
        <v/>
      </c>
      <c r="D363" s="43">
        <f>IF(C363="aFRR+",damas_afrr_up*capacity_mult_B,damas_afrr_down*capacity_mult_B)</f>
        <v/>
      </c>
      <c r="E363" s="44">
        <f>acceptance_rate</f>
        <v/>
      </c>
      <c r="F363" s="18">
        <f>IF(C363="aFRR+",power_mw*hours_per_day*damas_afrr_up*capacity_mult_B*stack_capacity*acceptance_rate,power_mw*hours_per_day*damas_afrr_down*capacity_mult_B*stack_capacity*acceptance_rate)</f>
        <v/>
      </c>
      <c r="G363" s="42">
        <f>IF(C363="aFRR+",DAMAS_Daily!I363,DAMAS_Daily!J363)</f>
        <v/>
      </c>
      <c r="H363" s="43">
        <f>IF(C363="aFRR+",DAMAS_Daily!E363,DAMAS_Daily!F363)</f>
        <v/>
      </c>
      <c r="I363" s="43">
        <f>IF(C363="aFRR+",DAMAS_Daily!G363,DAMAS_Daily!H363)</f>
        <v/>
      </c>
      <c r="J363" s="45">
        <f>IF(C363="aFRR+",DAMAS_Daily!C363,DAMAS_Daily!D363)</f>
        <v/>
      </c>
      <c r="K363" s="45">
        <f>IF(C363="aFRR+",MIN(DAMAS_Daily!C363*market_share_B*acceptance_rate*stack_activation,power_mw*hours_per_day,capacity_mwh),MIN(DAMAS_Daily!D363*market_share_B*acceptance_rate*stack_activation,power_mw*hours_per_day,capacity_mwh))</f>
        <v/>
      </c>
      <c r="L363" s="42">
        <f>IF(K363&gt;=capacity_mwh-0.01,"yes","no")</f>
        <v/>
      </c>
      <c r="M363" s="18">
        <f>IF(C363="aFRR+",(MIN(DAMAS_Daily!C363*market_share_B*acceptance_rate*stack_activation,power_mw*hours_per_day,capacity_mwh))*DAMAS_Daily!E363*activation_mult_B,(MIN(DAMAS_Daily!D363*market_share_B*acceptance_rate*stack_activation,power_mw*hours_per_day,capacity_mwh))*DAMAS_Daily!F363*activation_mult_B)</f>
        <v/>
      </c>
      <c r="N363" s="19">
        <f>F363+M363</f>
        <v/>
      </c>
    </row>
    <row r="364">
      <c r="A364" s="41">
        <f>DAMAS_Daily!A364</f>
        <v/>
      </c>
      <c r="B364" s="42">
        <f>DAMAS_Daily!B364</f>
        <v/>
      </c>
      <c r="C364" s="42">
        <f>IF((power_mw*hours_per_day*damas_afrr_up*capacity_mult_B*stack_capacity*acceptance_rate+(MIN(DAMAS_Daily!C364*market_share_B*acceptance_rate*stack_activation,power_mw*hours_per_day,capacity_mwh))*DAMAS_Daily!E364*activation_mult_B)&gt;=(power_mw*hours_per_day*damas_afrr_down*capacity_mult_B*stack_capacity*acceptance_rate+(MIN(DAMAS_Daily!D364*market_share_B*acceptance_rate*stack_activation,power_mw*hours_per_day,capacity_mwh))*DAMAS_Daily!F364*activation_mult_B),"aFRR+","aFRR-")</f>
        <v/>
      </c>
      <c r="D364" s="43">
        <f>IF(C364="aFRR+",damas_afrr_up*capacity_mult_B,damas_afrr_down*capacity_mult_B)</f>
        <v/>
      </c>
      <c r="E364" s="44">
        <f>acceptance_rate</f>
        <v/>
      </c>
      <c r="F364" s="18">
        <f>IF(C364="aFRR+",power_mw*hours_per_day*damas_afrr_up*capacity_mult_B*stack_capacity*acceptance_rate,power_mw*hours_per_day*damas_afrr_down*capacity_mult_B*stack_capacity*acceptance_rate)</f>
        <v/>
      </c>
      <c r="G364" s="42">
        <f>IF(C364="aFRR+",DAMAS_Daily!I364,DAMAS_Daily!J364)</f>
        <v/>
      </c>
      <c r="H364" s="43">
        <f>IF(C364="aFRR+",DAMAS_Daily!E364,DAMAS_Daily!F364)</f>
        <v/>
      </c>
      <c r="I364" s="43">
        <f>IF(C364="aFRR+",DAMAS_Daily!G364,DAMAS_Daily!H364)</f>
        <v/>
      </c>
      <c r="J364" s="45">
        <f>IF(C364="aFRR+",DAMAS_Daily!C364,DAMAS_Daily!D364)</f>
        <v/>
      </c>
      <c r="K364" s="45">
        <f>IF(C364="aFRR+",MIN(DAMAS_Daily!C364*market_share_B*acceptance_rate*stack_activation,power_mw*hours_per_day,capacity_mwh),MIN(DAMAS_Daily!D364*market_share_B*acceptance_rate*stack_activation,power_mw*hours_per_day,capacity_mwh))</f>
        <v/>
      </c>
      <c r="L364" s="42">
        <f>IF(K364&gt;=capacity_mwh-0.01,"yes","no")</f>
        <v/>
      </c>
      <c r="M364" s="18">
        <f>IF(C364="aFRR+",(MIN(DAMAS_Daily!C364*market_share_B*acceptance_rate*stack_activation,power_mw*hours_per_day,capacity_mwh))*DAMAS_Daily!E364*activation_mult_B,(MIN(DAMAS_Daily!D364*market_share_B*acceptance_rate*stack_activation,power_mw*hours_per_day,capacity_mwh))*DAMAS_Daily!F364*activation_mult_B)</f>
        <v/>
      </c>
      <c r="N364" s="19">
        <f>F364+M364</f>
        <v/>
      </c>
    </row>
    <row r="365">
      <c r="A365" s="41">
        <f>DAMAS_Daily!A365</f>
        <v/>
      </c>
      <c r="B365" s="42">
        <f>DAMAS_Daily!B365</f>
        <v/>
      </c>
      <c r="C365" s="42">
        <f>IF((power_mw*hours_per_day*damas_afrr_up*capacity_mult_B*stack_capacity*acceptance_rate+(MIN(DAMAS_Daily!C365*market_share_B*acceptance_rate*stack_activation,power_mw*hours_per_day,capacity_mwh))*DAMAS_Daily!E365*activation_mult_B)&gt;=(power_mw*hours_per_day*damas_afrr_down*capacity_mult_B*stack_capacity*acceptance_rate+(MIN(DAMAS_Daily!D365*market_share_B*acceptance_rate*stack_activation,power_mw*hours_per_day,capacity_mwh))*DAMAS_Daily!F365*activation_mult_B),"aFRR+","aFRR-")</f>
        <v/>
      </c>
      <c r="D365" s="43">
        <f>IF(C365="aFRR+",damas_afrr_up*capacity_mult_B,damas_afrr_down*capacity_mult_B)</f>
        <v/>
      </c>
      <c r="E365" s="44">
        <f>acceptance_rate</f>
        <v/>
      </c>
      <c r="F365" s="18">
        <f>IF(C365="aFRR+",power_mw*hours_per_day*damas_afrr_up*capacity_mult_B*stack_capacity*acceptance_rate,power_mw*hours_per_day*damas_afrr_down*capacity_mult_B*stack_capacity*acceptance_rate)</f>
        <v/>
      </c>
      <c r="G365" s="42">
        <f>IF(C365="aFRR+",DAMAS_Daily!I365,DAMAS_Daily!J365)</f>
        <v/>
      </c>
      <c r="H365" s="43">
        <f>IF(C365="aFRR+",DAMAS_Daily!E365,DAMAS_Daily!F365)</f>
        <v/>
      </c>
      <c r="I365" s="43">
        <f>IF(C365="aFRR+",DAMAS_Daily!G365,DAMAS_Daily!H365)</f>
        <v/>
      </c>
      <c r="J365" s="45">
        <f>IF(C365="aFRR+",DAMAS_Daily!C365,DAMAS_Daily!D365)</f>
        <v/>
      </c>
      <c r="K365" s="45">
        <f>IF(C365="aFRR+",MIN(DAMAS_Daily!C365*market_share_B*acceptance_rate*stack_activation,power_mw*hours_per_day,capacity_mwh),MIN(DAMAS_Daily!D365*market_share_B*acceptance_rate*stack_activation,power_mw*hours_per_day,capacity_mwh))</f>
        <v/>
      </c>
      <c r="L365" s="42">
        <f>IF(K365&gt;=capacity_mwh-0.01,"yes","no")</f>
        <v/>
      </c>
      <c r="M365" s="18">
        <f>IF(C365="aFRR+",(MIN(DAMAS_Daily!C365*market_share_B*acceptance_rate*stack_activation,power_mw*hours_per_day,capacity_mwh))*DAMAS_Daily!E365*activation_mult_B,(MIN(DAMAS_Daily!D365*market_share_B*acceptance_rate*stack_activation,power_mw*hours_per_day,capacity_mwh))*DAMAS_Daily!F365*activation_mult_B)</f>
        <v/>
      </c>
      <c r="N365" s="19">
        <f>F365+M365</f>
        <v/>
      </c>
    </row>
    <row r="366">
      <c r="A366" s="41">
        <f>DAMAS_Daily!A366</f>
        <v/>
      </c>
      <c r="B366" s="42">
        <f>DAMAS_Daily!B366</f>
        <v/>
      </c>
      <c r="C366" s="42">
        <f>IF((power_mw*hours_per_day*damas_afrr_up*capacity_mult_B*stack_capacity*acceptance_rate+(MIN(DAMAS_Daily!C366*market_share_B*acceptance_rate*stack_activation,power_mw*hours_per_day,capacity_mwh))*DAMAS_Daily!E366*activation_mult_B)&gt;=(power_mw*hours_per_day*damas_afrr_down*capacity_mult_B*stack_capacity*acceptance_rate+(MIN(DAMAS_Daily!D366*market_share_B*acceptance_rate*stack_activation,power_mw*hours_per_day,capacity_mwh))*DAMAS_Daily!F366*activation_mult_B),"aFRR+","aFRR-")</f>
        <v/>
      </c>
      <c r="D366" s="43">
        <f>IF(C366="aFRR+",damas_afrr_up*capacity_mult_B,damas_afrr_down*capacity_mult_B)</f>
        <v/>
      </c>
      <c r="E366" s="44">
        <f>acceptance_rate</f>
        <v/>
      </c>
      <c r="F366" s="18">
        <f>IF(C366="aFRR+",power_mw*hours_per_day*damas_afrr_up*capacity_mult_B*stack_capacity*acceptance_rate,power_mw*hours_per_day*damas_afrr_down*capacity_mult_B*stack_capacity*acceptance_rate)</f>
        <v/>
      </c>
      <c r="G366" s="42">
        <f>IF(C366="aFRR+",DAMAS_Daily!I366,DAMAS_Daily!J366)</f>
        <v/>
      </c>
      <c r="H366" s="43">
        <f>IF(C366="aFRR+",DAMAS_Daily!E366,DAMAS_Daily!F366)</f>
        <v/>
      </c>
      <c r="I366" s="43">
        <f>IF(C366="aFRR+",DAMAS_Daily!G366,DAMAS_Daily!H366)</f>
        <v/>
      </c>
      <c r="J366" s="45">
        <f>IF(C366="aFRR+",DAMAS_Daily!C366,DAMAS_Daily!D366)</f>
        <v/>
      </c>
      <c r="K366" s="45">
        <f>IF(C366="aFRR+",MIN(DAMAS_Daily!C366*market_share_B*acceptance_rate*stack_activation,power_mw*hours_per_day,capacity_mwh),MIN(DAMAS_Daily!D366*market_share_B*acceptance_rate*stack_activation,power_mw*hours_per_day,capacity_mwh))</f>
        <v/>
      </c>
      <c r="L366" s="42">
        <f>IF(K366&gt;=capacity_mwh-0.01,"yes","no")</f>
        <v/>
      </c>
      <c r="M366" s="18">
        <f>IF(C366="aFRR+",(MIN(DAMAS_Daily!C366*market_share_B*acceptance_rate*stack_activation,power_mw*hours_per_day,capacity_mwh))*DAMAS_Daily!E366*activation_mult_B,(MIN(DAMAS_Daily!D366*market_share_B*acceptance_rate*stack_activation,power_mw*hours_per_day,capacity_mwh))*DAMAS_Daily!F366*activation_mult_B)</f>
        <v/>
      </c>
      <c r="N366" s="19">
        <f>F366+M366</f>
        <v/>
      </c>
    </row>
    <row r="367">
      <c r="A367" s="41">
        <f>DAMAS_Daily!A367</f>
        <v/>
      </c>
      <c r="B367" s="42">
        <f>DAMAS_Daily!B367</f>
        <v/>
      </c>
      <c r="C367" s="42">
        <f>IF((power_mw*hours_per_day*damas_afrr_up*capacity_mult_B*stack_capacity*acceptance_rate+(MIN(DAMAS_Daily!C367*market_share_B*acceptance_rate*stack_activation,power_mw*hours_per_day,capacity_mwh))*DAMAS_Daily!E367*activation_mult_B)&gt;=(power_mw*hours_per_day*damas_afrr_down*capacity_mult_B*stack_capacity*acceptance_rate+(MIN(DAMAS_Daily!D367*market_share_B*acceptance_rate*stack_activation,power_mw*hours_per_day,capacity_mwh))*DAMAS_Daily!F367*activation_mult_B),"aFRR+","aFRR-")</f>
        <v/>
      </c>
      <c r="D367" s="43">
        <f>IF(C367="aFRR+",damas_afrr_up*capacity_mult_B,damas_afrr_down*capacity_mult_B)</f>
        <v/>
      </c>
      <c r="E367" s="44">
        <f>acceptance_rate</f>
        <v/>
      </c>
      <c r="F367" s="18">
        <f>IF(C367="aFRR+",power_mw*hours_per_day*damas_afrr_up*capacity_mult_B*stack_capacity*acceptance_rate,power_mw*hours_per_day*damas_afrr_down*capacity_mult_B*stack_capacity*acceptance_rate)</f>
        <v/>
      </c>
      <c r="G367" s="42">
        <f>IF(C367="aFRR+",DAMAS_Daily!I367,DAMAS_Daily!J367)</f>
        <v/>
      </c>
      <c r="H367" s="43">
        <f>IF(C367="aFRR+",DAMAS_Daily!E367,DAMAS_Daily!F367)</f>
        <v/>
      </c>
      <c r="I367" s="43">
        <f>IF(C367="aFRR+",DAMAS_Daily!G367,DAMAS_Daily!H367)</f>
        <v/>
      </c>
      <c r="J367" s="45">
        <f>IF(C367="aFRR+",DAMAS_Daily!C367,DAMAS_Daily!D367)</f>
        <v/>
      </c>
      <c r="K367" s="45">
        <f>IF(C367="aFRR+",MIN(DAMAS_Daily!C367*market_share_B*acceptance_rate*stack_activation,power_mw*hours_per_day,capacity_mwh),MIN(DAMAS_Daily!D367*market_share_B*acceptance_rate*stack_activation,power_mw*hours_per_day,capacity_mwh))</f>
        <v/>
      </c>
      <c r="L367" s="42">
        <f>IF(K367&gt;=capacity_mwh-0.01,"yes","no")</f>
        <v/>
      </c>
      <c r="M367" s="18">
        <f>IF(C367="aFRR+",(MIN(DAMAS_Daily!C367*market_share_B*acceptance_rate*stack_activation,power_mw*hours_per_day,capacity_mwh))*DAMAS_Daily!E367*activation_mult_B,(MIN(DAMAS_Daily!D367*market_share_B*acceptance_rate*stack_activation,power_mw*hours_per_day,capacity_mwh))*DAMAS_Daily!F367*activation_mult_B)</f>
        <v/>
      </c>
      <c r="N367" s="19">
        <f>F367+M367</f>
        <v/>
      </c>
    </row>
    <row r="368">
      <c r="A368" s="46" t="inlineStr">
        <is>
          <t>TOTAL</t>
        </is>
      </c>
      <c r="B368" s="46" t="inlineStr">
        <is>
          <t>366 days</t>
        </is>
      </c>
      <c r="C368" s="46" t="inlineStr">
        <is>
          <t>—</t>
        </is>
      </c>
      <c r="D368" s="46" t="n"/>
      <c r="E368" s="46" t="n"/>
      <c r="F368" s="47">
        <f>SUM(F2:F367)</f>
        <v/>
      </c>
      <c r="G368" s="46">
        <f>SUM(G2:G367)</f>
        <v/>
      </c>
      <c r="H368" s="46" t="n"/>
      <c r="I368" s="46" t="n"/>
      <c r="J368" s="46" t="n"/>
      <c r="K368" s="48">
        <f>SUM(K2:K367)</f>
        <v/>
      </c>
      <c r="L368" s="46" t="n"/>
      <c r="M368" s="47">
        <f>SUM(M2:M367)</f>
        <v/>
      </c>
      <c r="N368" s="47">
        <f>SUM(N2:N367)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</cols>
  <sheetData>
    <row r="1" ht="42" customHeight="1">
      <c r="A1" s="40" t="inlineStr">
        <is>
          <t>Date</t>
        </is>
      </c>
      <c r="B1" s="40" t="inlineStr">
        <is>
          <t>Weekday</t>
        </is>
      </c>
      <c r="C1" s="40" t="inlineStr">
        <is>
          <t>Selected</t>
        </is>
      </c>
      <c r="D1" s="40" t="inlineStr">
        <is>
          <t>Recommended bid (€/MW/h)</t>
        </is>
      </c>
      <c r="E1" s="40" t="inlineStr">
        <is>
          <t>Acceptance rate</t>
        </is>
      </c>
      <c r="F1" s="40" t="inlineStr">
        <is>
          <t>Capacity revenue (€)</t>
        </is>
      </c>
      <c r="G1" s="40" t="inlineStr">
        <is>
          <t>Slots activated (#/96)</t>
        </is>
      </c>
      <c r="H1" s="40" t="inlineStr">
        <is>
          <t>Avg activation price (€/MWh)</t>
        </is>
      </c>
      <c r="I1" s="40" t="inlineStr">
        <is>
          <t>Max activation price (€/MWh)</t>
        </is>
      </c>
      <c r="J1" s="40" t="inlineStr">
        <is>
          <t>Market activations (MWh)</t>
        </is>
      </c>
      <c r="K1" s="40" t="inlineStr">
        <is>
          <t>Captured energy (MWh)</t>
        </is>
      </c>
      <c r="L1" s="40" t="inlineStr">
        <is>
          <t>Battery cap binding</t>
        </is>
      </c>
      <c r="M1" s="40" t="inlineStr">
        <is>
          <t>Activation revenue (€)</t>
        </is>
      </c>
      <c r="N1" s="40" t="inlineStr">
        <is>
          <t>Daily revenue (€)</t>
        </is>
      </c>
    </row>
    <row r="2">
      <c r="A2" s="41">
        <f>DAMAS_Daily!A2</f>
        <v/>
      </c>
      <c r="B2" s="42">
        <f>DAMAS_Daily!B2</f>
        <v/>
      </c>
      <c r="C2" s="42">
        <f>IF((power_mw*hours_per_day*damas_afrr_up*capacity_mult_C*stack_capacity*acceptance_rate+(MIN(DAMAS_Daily!C2*market_share_C*acceptance_rate*stack_activation,power_mw*hours_per_day,capacity_mwh))*DAMAS_Daily!E2*activation_mult_C)&gt;=(power_mw*hours_per_day*damas_afrr_down*capacity_mult_C*stack_capacity*acceptance_rate+(MIN(DAMAS_Daily!D2*market_share_C*acceptance_rate*stack_activation,power_mw*hours_per_day,capacity_mwh))*DAMAS_Daily!F2*activation_mult_C),"aFRR+","aFRR-")</f>
        <v/>
      </c>
      <c r="D2" s="43">
        <f>IF(C2="aFRR+",damas_afrr_up*capacity_mult_C,damas_afrr_down*capacity_mult_C)</f>
        <v/>
      </c>
      <c r="E2" s="44">
        <f>acceptance_rate</f>
        <v/>
      </c>
      <c r="F2" s="23">
        <f>IF(C2="aFRR+",power_mw*hours_per_day*damas_afrr_up*capacity_mult_C*stack_capacity*acceptance_rate,power_mw*hours_per_day*damas_afrr_down*capacity_mult_C*stack_capacity*acceptance_rate)</f>
        <v/>
      </c>
      <c r="G2" s="42">
        <f>IF(C2="aFRR+",DAMAS_Daily!I2,DAMAS_Daily!J2)</f>
        <v/>
      </c>
      <c r="H2" s="43">
        <f>IF(C2="aFRR+",DAMAS_Daily!E2,DAMAS_Daily!F2)</f>
        <v/>
      </c>
      <c r="I2" s="43">
        <f>IF(C2="aFRR+",DAMAS_Daily!G2,DAMAS_Daily!H2)</f>
        <v/>
      </c>
      <c r="J2" s="45">
        <f>IF(C2="aFRR+",DAMAS_Daily!C2,DAMAS_Daily!D2)</f>
        <v/>
      </c>
      <c r="K2" s="45">
        <f>IF(C2="aFRR+",MIN(DAMAS_Daily!C2*market_share_C*acceptance_rate*stack_activation,power_mw*hours_per_day,capacity_mwh),MIN(DAMAS_Daily!D2*market_share_C*acceptance_rate*stack_activation,power_mw*hours_per_day,capacity_mwh))</f>
        <v/>
      </c>
      <c r="L2" s="42">
        <f>IF(K2&gt;=capacity_mwh-0.01,"yes","no")</f>
        <v/>
      </c>
      <c r="M2" s="23">
        <f>IF(C2="aFRR+",(MIN(DAMAS_Daily!C2*market_share_C*acceptance_rate*stack_activation,power_mw*hours_per_day,capacity_mwh))*DAMAS_Daily!E2*activation_mult_C,(MIN(DAMAS_Daily!D2*market_share_C*acceptance_rate*stack_activation,power_mw*hours_per_day,capacity_mwh))*DAMAS_Daily!F2*activation_mult_C)</f>
        <v/>
      </c>
      <c r="N2" s="24">
        <f>F2+M2</f>
        <v/>
      </c>
    </row>
    <row r="3">
      <c r="A3" s="41">
        <f>DAMAS_Daily!A3</f>
        <v/>
      </c>
      <c r="B3" s="42">
        <f>DAMAS_Daily!B3</f>
        <v/>
      </c>
      <c r="C3" s="42">
        <f>IF((power_mw*hours_per_day*damas_afrr_up*capacity_mult_C*stack_capacity*acceptance_rate+(MIN(DAMAS_Daily!C3*market_share_C*acceptance_rate*stack_activation,power_mw*hours_per_day,capacity_mwh))*DAMAS_Daily!E3*activation_mult_C)&gt;=(power_mw*hours_per_day*damas_afrr_down*capacity_mult_C*stack_capacity*acceptance_rate+(MIN(DAMAS_Daily!D3*market_share_C*acceptance_rate*stack_activation,power_mw*hours_per_day,capacity_mwh))*DAMAS_Daily!F3*activation_mult_C),"aFRR+","aFRR-")</f>
        <v/>
      </c>
      <c r="D3" s="43">
        <f>IF(C3="aFRR+",damas_afrr_up*capacity_mult_C,damas_afrr_down*capacity_mult_C)</f>
        <v/>
      </c>
      <c r="E3" s="44">
        <f>acceptance_rate</f>
        <v/>
      </c>
      <c r="F3" s="23">
        <f>IF(C3="aFRR+",power_mw*hours_per_day*damas_afrr_up*capacity_mult_C*stack_capacity*acceptance_rate,power_mw*hours_per_day*damas_afrr_down*capacity_mult_C*stack_capacity*acceptance_rate)</f>
        <v/>
      </c>
      <c r="G3" s="42">
        <f>IF(C3="aFRR+",DAMAS_Daily!I3,DAMAS_Daily!J3)</f>
        <v/>
      </c>
      <c r="H3" s="43">
        <f>IF(C3="aFRR+",DAMAS_Daily!E3,DAMAS_Daily!F3)</f>
        <v/>
      </c>
      <c r="I3" s="43">
        <f>IF(C3="aFRR+",DAMAS_Daily!G3,DAMAS_Daily!H3)</f>
        <v/>
      </c>
      <c r="J3" s="45">
        <f>IF(C3="aFRR+",DAMAS_Daily!C3,DAMAS_Daily!D3)</f>
        <v/>
      </c>
      <c r="K3" s="45">
        <f>IF(C3="aFRR+",MIN(DAMAS_Daily!C3*market_share_C*acceptance_rate*stack_activation,power_mw*hours_per_day,capacity_mwh),MIN(DAMAS_Daily!D3*market_share_C*acceptance_rate*stack_activation,power_mw*hours_per_day,capacity_mwh))</f>
        <v/>
      </c>
      <c r="L3" s="42">
        <f>IF(K3&gt;=capacity_mwh-0.01,"yes","no")</f>
        <v/>
      </c>
      <c r="M3" s="23">
        <f>IF(C3="aFRR+",(MIN(DAMAS_Daily!C3*market_share_C*acceptance_rate*stack_activation,power_mw*hours_per_day,capacity_mwh))*DAMAS_Daily!E3*activation_mult_C,(MIN(DAMAS_Daily!D3*market_share_C*acceptance_rate*stack_activation,power_mw*hours_per_day,capacity_mwh))*DAMAS_Daily!F3*activation_mult_C)</f>
        <v/>
      </c>
      <c r="N3" s="24">
        <f>F3+M3</f>
        <v/>
      </c>
    </row>
    <row r="4">
      <c r="A4" s="41">
        <f>DAMAS_Daily!A4</f>
        <v/>
      </c>
      <c r="B4" s="42">
        <f>DAMAS_Daily!B4</f>
        <v/>
      </c>
      <c r="C4" s="42">
        <f>IF((power_mw*hours_per_day*damas_afrr_up*capacity_mult_C*stack_capacity*acceptance_rate+(MIN(DAMAS_Daily!C4*market_share_C*acceptance_rate*stack_activation,power_mw*hours_per_day,capacity_mwh))*DAMAS_Daily!E4*activation_mult_C)&gt;=(power_mw*hours_per_day*damas_afrr_down*capacity_mult_C*stack_capacity*acceptance_rate+(MIN(DAMAS_Daily!D4*market_share_C*acceptance_rate*stack_activation,power_mw*hours_per_day,capacity_mwh))*DAMAS_Daily!F4*activation_mult_C),"aFRR+","aFRR-")</f>
        <v/>
      </c>
      <c r="D4" s="43">
        <f>IF(C4="aFRR+",damas_afrr_up*capacity_mult_C,damas_afrr_down*capacity_mult_C)</f>
        <v/>
      </c>
      <c r="E4" s="44">
        <f>acceptance_rate</f>
        <v/>
      </c>
      <c r="F4" s="23">
        <f>IF(C4="aFRR+",power_mw*hours_per_day*damas_afrr_up*capacity_mult_C*stack_capacity*acceptance_rate,power_mw*hours_per_day*damas_afrr_down*capacity_mult_C*stack_capacity*acceptance_rate)</f>
        <v/>
      </c>
      <c r="G4" s="42">
        <f>IF(C4="aFRR+",DAMAS_Daily!I4,DAMAS_Daily!J4)</f>
        <v/>
      </c>
      <c r="H4" s="43">
        <f>IF(C4="aFRR+",DAMAS_Daily!E4,DAMAS_Daily!F4)</f>
        <v/>
      </c>
      <c r="I4" s="43">
        <f>IF(C4="aFRR+",DAMAS_Daily!G4,DAMAS_Daily!H4)</f>
        <v/>
      </c>
      <c r="J4" s="45">
        <f>IF(C4="aFRR+",DAMAS_Daily!C4,DAMAS_Daily!D4)</f>
        <v/>
      </c>
      <c r="K4" s="45">
        <f>IF(C4="aFRR+",MIN(DAMAS_Daily!C4*market_share_C*acceptance_rate*stack_activation,power_mw*hours_per_day,capacity_mwh),MIN(DAMAS_Daily!D4*market_share_C*acceptance_rate*stack_activation,power_mw*hours_per_day,capacity_mwh))</f>
        <v/>
      </c>
      <c r="L4" s="42">
        <f>IF(K4&gt;=capacity_mwh-0.01,"yes","no")</f>
        <v/>
      </c>
      <c r="M4" s="23">
        <f>IF(C4="aFRR+",(MIN(DAMAS_Daily!C4*market_share_C*acceptance_rate*stack_activation,power_mw*hours_per_day,capacity_mwh))*DAMAS_Daily!E4*activation_mult_C,(MIN(DAMAS_Daily!D4*market_share_C*acceptance_rate*stack_activation,power_mw*hours_per_day,capacity_mwh))*DAMAS_Daily!F4*activation_mult_C)</f>
        <v/>
      </c>
      <c r="N4" s="24">
        <f>F4+M4</f>
        <v/>
      </c>
    </row>
    <row r="5">
      <c r="A5" s="41">
        <f>DAMAS_Daily!A5</f>
        <v/>
      </c>
      <c r="B5" s="42">
        <f>DAMAS_Daily!B5</f>
        <v/>
      </c>
      <c r="C5" s="42">
        <f>IF((power_mw*hours_per_day*damas_afrr_up*capacity_mult_C*stack_capacity*acceptance_rate+(MIN(DAMAS_Daily!C5*market_share_C*acceptance_rate*stack_activation,power_mw*hours_per_day,capacity_mwh))*DAMAS_Daily!E5*activation_mult_C)&gt;=(power_mw*hours_per_day*damas_afrr_down*capacity_mult_C*stack_capacity*acceptance_rate+(MIN(DAMAS_Daily!D5*market_share_C*acceptance_rate*stack_activation,power_mw*hours_per_day,capacity_mwh))*DAMAS_Daily!F5*activation_mult_C),"aFRR+","aFRR-")</f>
        <v/>
      </c>
      <c r="D5" s="43">
        <f>IF(C5="aFRR+",damas_afrr_up*capacity_mult_C,damas_afrr_down*capacity_mult_C)</f>
        <v/>
      </c>
      <c r="E5" s="44">
        <f>acceptance_rate</f>
        <v/>
      </c>
      <c r="F5" s="23">
        <f>IF(C5="aFRR+",power_mw*hours_per_day*damas_afrr_up*capacity_mult_C*stack_capacity*acceptance_rate,power_mw*hours_per_day*damas_afrr_down*capacity_mult_C*stack_capacity*acceptance_rate)</f>
        <v/>
      </c>
      <c r="G5" s="42">
        <f>IF(C5="aFRR+",DAMAS_Daily!I5,DAMAS_Daily!J5)</f>
        <v/>
      </c>
      <c r="H5" s="43">
        <f>IF(C5="aFRR+",DAMAS_Daily!E5,DAMAS_Daily!F5)</f>
        <v/>
      </c>
      <c r="I5" s="43">
        <f>IF(C5="aFRR+",DAMAS_Daily!G5,DAMAS_Daily!H5)</f>
        <v/>
      </c>
      <c r="J5" s="45">
        <f>IF(C5="aFRR+",DAMAS_Daily!C5,DAMAS_Daily!D5)</f>
        <v/>
      </c>
      <c r="K5" s="45">
        <f>IF(C5="aFRR+",MIN(DAMAS_Daily!C5*market_share_C*acceptance_rate*stack_activation,power_mw*hours_per_day,capacity_mwh),MIN(DAMAS_Daily!D5*market_share_C*acceptance_rate*stack_activation,power_mw*hours_per_day,capacity_mwh))</f>
        <v/>
      </c>
      <c r="L5" s="42">
        <f>IF(K5&gt;=capacity_mwh-0.01,"yes","no")</f>
        <v/>
      </c>
      <c r="M5" s="23">
        <f>IF(C5="aFRR+",(MIN(DAMAS_Daily!C5*market_share_C*acceptance_rate*stack_activation,power_mw*hours_per_day,capacity_mwh))*DAMAS_Daily!E5*activation_mult_C,(MIN(DAMAS_Daily!D5*market_share_C*acceptance_rate*stack_activation,power_mw*hours_per_day,capacity_mwh))*DAMAS_Daily!F5*activation_mult_C)</f>
        <v/>
      </c>
      <c r="N5" s="24">
        <f>F5+M5</f>
        <v/>
      </c>
    </row>
    <row r="6">
      <c r="A6" s="41">
        <f>DAMAS_Daily!A6</f>
        <v/>
      </c>
      <c r="B6" s="42">
        <f>DAMAS_Daily!B6</f>
        <v/>
      </c>
      <c r="C6" s="42">
        <f>IF((power_mw*hours_per_day*damas_afrr_up*capacity_mult_C*stack_capacity*acceptance_rate+(MIN(DAMAS_Daily!C6*market_share_C*acceptance_rate*stack_activation,power_mw*hours_per_day,capacity_mwh))*DAMAS_Daily!E6*activation_mult_C)&gt;=(power_mw*hours_per_day*damas_afrr_down*capacity_mult_C*stack_capacity*acceptance_rate+(MIN(DAMAS_Daily!D6*market_share_C*acceptance_rate*stack_activation,power_mw*hours_per_day,capacity_mwh))*DAMAS_Daily!F6*activation_mult_C),"aFRR+","aFRR-")</f>
        <v/>
      </c>
      <c r="D6" s="43">
        <f>IF(C6="aFRR+",damas_afrr_up*capacity_mult_C,damas_afrr_down*capacity_mult_C)</f>
        <v/>
      </c>
      <c r="E6" s="44">
        <f>acceptance_rate</f>
        <v/>
      </c>
      <c r="F6" s="23">
        <f>IF(C6="aFRR+",power_mw*hours_per_day*damas_afrr_up*capacity_mult_C*stack_capacity*acceptance_rate,power_mw*hours_per_day*damas_afrr_down*capacity_mult_C*stack_capacity*acceptance_rate)</f>
        <v/>
      </c>
      <c r="G6" s="42">
        <f>IF(C6="aFRR+",DAMAS_Daily!I6,DAMAS_Daily!J6)</f>
        <v/>
      </c>
      <c r="H6" s="43">
        <f>IF(C6="aFRR+",DAMAS_Daily!E6,DAMAS_Daily!F6)</f>
        <v/>
      </c>
      <c r="I6" s="43">
        <f>IF(C6="aFRR+",DAMAS_Daily!G6,DAMAS_Daily!H6)</f>
        <v/>
      </c>
      <c r="J6" s="45">
        <f>IF(C6="aFRR+",DAMAS_Daily!C6,DAMAS_Daily!D6)</f>
        <v/>
      </c>
      <c r="K6" s="45">
        <f>IF(C6="aFRR+",MIN(DAMAS_Daily!C6*market_share_C*acceptance_rate*stack_activation,power_mw*hours_per_day,capacity_mwh),MIN(DAMAS_Daily!D6*market_share_C*acceptance_rate*stack_activation,power_mw*hours_per_day,capacity_mwh))</f>
        <v/>
      </c>
      <c r="L6" s="42">
        <f>IF(K6&gt;=capacity_mwh-0.01,"yes","no")</f>
        <v/>
      </c>
      <c r="M6" s="23">
        <f>IF(C6="aFRR+",(MIN(DAMAS_Daily!C6*market_share_C*acceptance_rate*stack_activation,power_mw*hours_per_day,capacity_mwh))*DAMAS_Daily!E6*activation_mult_C,(MIN(DAMAS_Daily!D6*market_share_C*acceptance_rate*stack_activation,power_mw*hours_per_day,capacity_mwh))*DAMAS_Daily!F6*activation_mult_C)</f>
        <v/>
      </c>
      <c r="N6" s="24">
        <f>F6+M6</f>
        <v/>
      </c>
    </row>
    <row r="7">
      <c r="A7" s="41">
        <f>DAMAS_Daily!A7</f>
        <v/>
      </c>
      <c r="B7" s="42">
        <f>DAMAS_Daily!B7</f>
        <v/>
      </c>
      <c r="C7" s="42">
        <f>IF((power_mw*hours_per_day*damas_afrr_up*capacity_mult_C*stack_capacity*acceptance_rate+(MIN(DAMAS_Daily!C7*market_share_C*acceptance_rate*stack_activation,power_mw*hours_per_day,capacity_mwh))*DAMAS_Daily!E7*activation_mult_C)&gt;=(power_mw*hours_per_day*damas_afrr_down*capacity_mult_C*stack_capacity*acceptance_rate+(MIN(DAMAS_Daily!D7*market_share_C*acceptance_rate*stack_activation,power_mw*hours_per_day,capacity_mwh))*DAMAS_Daily!F7*activation_mult_C),"aFRR+","aFRR-")</f>
        <v/>
      </c>
      <c r="D7" s="43">
        <f>IF(C7="aFRR+",damas_afrr_up*capacity_mult_C,damas_afrr_down*capacity_mult_C)</f>
        <v/>
      </c>
      <c r="E7" s="44">
        <f>acceptance_rate</f>
        <v/>
      </c>
      <c r="F7" s="23">
        <f>IF(C7="aFRR+",power_mw*hours_per_day*damas_afrr_up*capacity_mult_C*stack_capacity*acceptance_rate,power_mw*hours_per_day*damas_afrr_down*capacity_mult_C*stack_capacity*acceptance_rate)</f>
        <v/>
      </c>
      <c r="G7" s="42">
        <f>IF(C7="aFRR+",DAMAS_Daily!I7,DAMAS_Daily!J7)</f>
        <v/>
      </c>
      <c r="H7" s="43">
        <f>IF(C7="aFRR+",DAMAS_Daily!E7,DAMAS_Daily!F7)</f>
        <v/>
      </c>
      <c r="I7" s="43">
        <f>IF(C7="aFRR+",DAMAS_Daily!G7,DAMAS_Daily!H7)</f>
        <v/>
      </c>
      <c r="J7" s="45">
        <f>IF(C7="aFRR+",DAMAS_Daily!C7,DAMAS_Daily!D7)</f>
        <v/>
      </c>
      <c r="K7" s="45">
        <f>IF(C7="aFRR+",MIN(DAMAS_Daily!C7*market_share_C*acceptance_rate*stack_activation,power_mw*hours_per_day,capacity_mwh),MIN(DAMAS_Daily!D7*market_share_C*acceptance_rate*stack_activation,power_mw*hours_per_day,capacity_mwh))</f>
        <v/>
      </c>
      <c r="L7" s="42">
        <f>IF(K7&gt;=capacity_mwh-0.01,"yes","no")</f>
        <v/>
      </c>
      <c r="M7" s="23">
        <f>IF(C7="aFRR+",(MIN(DAMAS_Daily!C7*market_share_C*acceptance_rate*stack_activation,power_mw*hours_per_day,capacity_mwh))*DAMAS_Daily!E7*activation_mult_C,(MIN(DAMAS_Daily!D7*market_share_C*acceptance_rate*stack_activation,power_mw*hours_per_day,capacity_mwh))*DAMAS_Daily!F7*activation_mult_C)</f>
        <v/>
      </c>
      <c r="N7" s="24">
        <f>F7+M7</f>
        <v/>
      </c>
    </row>
    <row r="8">
      <c r="A8" s="41">
        <f>DAMAS_Daily!A8</f>
        <v/>
      </c>
      <c r="B8" s="42">
        <f>DAMAS_Daily!B8</f>
        <v/>
      </c>
      <c r="C8" s="42">
        <f>IF((power_mw*hours_per_day*damas_afrr_up*capacity_mult_C*stack_capacity*acceptance_rate+(MIN(DAMAS_Daily!C8*market_share_C*acceptance_rate*stack_activation,power_mw*hours_per_day,capacity_mwh))*DAMAS_Daily!E8*activation_mult_C)&gt;=(power_mw*hours_per_day*damas_afrr_down*capacity_mult_C*stack_capacity*acceptance_rate+(MIN(DAMAS_Daily!D8*market_share_C*acceptance_rate*stack_activation,power_mw*hours_per_day,capacity_mwh))*DAMAS_Daily!F8*activation_mult_C),"aFRR+","aFRR-")</f>
        <v/>
      </c>
      <c r="D8" s="43">
        <f>IF(C8="aFRR+",damas_afrr_up*capacity_mult_C,damas_afrr_down*capacity_mult_C)</f>
        <v/>
      </c>
      <c r="E8" s="44">
        <f>acceptance_rate</f>
        <v/>
      </c>
      <c r="F8" s="23">
        <f>IF(C8="aFRR+",power_mw*hours_per_day*damas_afrr_up*capacity_mult_C*stack_capacity*acceptance_rate,power_mw*hours_per_day*damas_afrr_down*capacity_mult_C*stack_capacity*acceptance_rate)</f>
        <v/>
      </c>
      <c r="G8" s="42">
        <f>IF(C8="aFRR+",DAMAS_Daily!I8,DAMAS_Daily!J8)</f>
        <v/>
      </c>
      <c r="H8" s="43">
        <f>IF(C8="aFRR+",DAMAS_Daily!E8,DAMAS_Daily!F8)</f>
        <v/>
      </c>
      <c r="I8" s="43">
        <f>IF(C8="aFRR+",DAMAS_Daily!G8,DAMAS_Daily!H8)</f>
        <v/>
      </c>
      <c r="J8" s="45">
        <f>IF(C8="aFRR+",DAMAS_Daily!C8,DAMAS_Daily!D8)</f>
        <v/>
      </c>
      <c r="K8" s="45">
        <f>IF(C8="aFRR+",MIN(DAMAS_Daily!C8*market_share_C*acceptance_rate*stack_activation,power_mw*hours_per_day,capacity_mwh),MIN(DAMAS_Daily!D8*market_share_C*acceptance_rate*stack_activation,power_mw*hours_per_day,capacity_mwh))</f>
        <v/>
      </c>
      <c r="L8" s="42">
        <f>IF(K8&gt;=capacity_mwh-0.01,"yes","no")</f>
        <v/>
      </c>
      <c r="M8" s="23">
        <f>IF(C8="aFRR+",(MIN(DAMAS_Daily!C8*market_share_C*acceptance_rate*stack_activation,power_mw*hours_per_day,capacity_mwh))*DAMAS_Daily!E8*activation_mult_C,(MIN(DAMAS_Daily!D8*market_share_C*acceptance_rate*stack_activation,power_mw*hours_per_day,capacity_mwh))*DAMAS_Daily!F8*activation_mult_C)</f>
        <v/>
      </c>
      <c r="N8" s="24">
        <f>F8+M8</f>
        <v/>
      </c>
    </row>
    <row r="9">
      <c r="A9" s="41">
        <f>DAMAS_Daily!A9</f>
        <v/>
      </c>
      <c r="B9" s="42">
        <f>DAMAS_Daily!B9</f>
        <v/>
      </c>
      <c r="C9" s="42">
        <f>IF((power_mw*hours_per_day*damas_afrr_up*capacity_mult_C*stack_capacity*acceptance_rate+(MIN(DAMAS_Daily!C9*market_share_C*acceptance_rate*stack_activation,power_mw*hours_per_day,capacity_mwh))*DAMAS_Daily!E9*activation_mult_C)&gt;=(power_mw*hours_per_day*damas_afrr_down*capacity_mult_C*stack_capacity*acceptance_rate+(MIN(DAMAS_Daily!D9*market_share_C*acceptance_rate*stack_activation,power_mw*hours_per_day,capacity_mwh))*DAMAS_Daily!F9*activation_mult_C),"aFRR+","aFRR-")</f>
        <v/>
      </c>
      <c r="D9" s="43">
        <f>IF(C9="aFRR+",damas_afrr_up*capacity_mult_C,damas_afrr_down*capacity_mult_C)</f>
        <v/>
      </c>
      <c r="E9" s="44">
        <f>acceptance_rate</f>
        <v/>
      </c>
      <c r="F9" s="23">
        <f>IF(C9="aFRR+",power_mw*hours_per_day*damas_afrr_up*capacity_mult_C*stack_capacity*acceptance_rate,power_mw*hours_per_day*damas_afrr_down*capacity_mult_C*stack_capacity*acceptance_rate)</f>
        <v/>
      </c>
      <c r="G9" s="42">
        <f>IF(C9="aFRR+",DAMAS_Daily!I9,DAMAS_Daily!J9)</f>
        <v/>
      </c>
      <c r="H9" s="43">
        <f>IF(C9="aFRR+",DAMAS_Daily!E9,DAMAS_Daily!F9)</f>
        <v/>
      </c>
      <c r="I9" s="43">
        <f>IF(C9="aFRR+",DAMAS_Daily!G9,DAMAS_Daily!H9)</f>
        <v/>
      </c>
      <c r="J9" s="45">
        <f>IF(C9="aFRR+",DAMAS_Daily!C9,DAMAS_Daily!D9)</f>
        <v/>
      </c>
      <c r="K9" s="45">
        <f>IF(C9="aFRR+",MIN(DAMAS_Daily!C9*market_share_C*acceptance_rate*stack_activation,power_mw*hours_per_day,capacity_mwh),MIN(DAMAS_Daily!D9*market_share_C*acceptance_rate*stack_activation,power_mw*hours_per_day,capacity_mwh))</f>
        <v/>
      </c>
      <c r="L9" s="42">
        <f>IF(K9&gt;=capacity_mwh-0.01,"yes","no")</f>
        <v/>
      </c>
      <c r="M9" s="23">
        <f>IF(C9="aFRR+",(MIN(DAMAS_Daily!C9*market_share_C*acceptance_rate*stack_activation,power_mw*hours_per_day,capacity_mwh))*DAMAS_Daily!E9*activation_mult_C,(MIN(DAMAS_Daily!D9*market_share_C*acceptance_rate*stack_activation,power_mw*hours_per_day,capacity_mwh))*DAMAS_Daily!F9*activation_mult_C)</f>
        <v/>
      </c>
      <c r="N9" s="24">
        <f>F9+M9</f>
        <v/>
      </c>
    </row>
    <row r="10">
      <c r="A10" s="41">
        <f>DAMAS_Daily!A10</f>
        <v/>
      </c>
      <c r="B10" s="42">
        <f>DAMAS_Daily!B10</f>
        <v/>
      </c>
      <c r="C10" s="42">
        <f>IF((power_mw*hours_per_day*damas_afrr_up*capacity_mult_C*stack_capacity*acceptance_rate+(MIN(DAMAS_Daily!C10*market_share_C*acceptance_rate*stack_activation,power_mw*hours_per_day,capacity_mwh))*DAMAS_Daily!E10*activation_mult_C)&gt;=(power_mw*hours_per_day*damas_afrr_down*capacity_mult_C*stack_capacity*acceptance_rate+(MIN(DAMAS_Daily!D10*market_share_C*acceptance_rate*stack_activation,power_mw*hours_per_day,capacity_mwh))*DAMAS_Daily!F10*activation_mult_C),"aFRR+","aFRR-")</f>
        <v/>
      </c>
      <c r="D10" s="43">
        <f>IF(C10="aFRR+",damas_afrr_up*capacity_mult_C,damas_afrr_down*capacity_mult_C)</f>
        <v/>
      </c>
      <c r="E10" s="44">
        <f>acceptance_rate</f>
        <v/>
      </c>
      <c r="F10" s="23">
        <f>IF(C10="aFRR+",power_mw*hours_per_day*damas_afrr_up*capacity_mult_C*stack_capacity*acceptance_rate,power_mw*hours_per_day*damas_afrr_down*capacity_mult_C*stack_capacity*acceptance_rate)</f>
        <v/>
      </c>
      <c r="G10" s="42">
        <f>IF(C10="aFRR+",DAMAS_Daily!I10,DAMAS_Daily!J10)</f>
        <v/>
      </c>
      <c r="H10" s="43">
        <f>IF(C10="aFRR+",DAMAS_Daily!E10,DAMAS_Daily!F10)</f>
        <v/>
      </c>
      <c r="I10" s="43">
        <f>IF(C10="aFRR+",DAMAS_Daily!G10,DAMAS_Daily!H10)</f>
        <v/>
      </c>
      <c r="J10" s="45">
        <f>IF(C10="aFRR+",DAMAS_Daily!C10,DAMAS_Daily!D10)</f>
        <v/>
      </c>
      <c r="K10" s="45">
        <f>IF(C10="aFRR+",MIN(DAMAS_Daily!C10*market_share_C*acceptance_rate*stack_activation,power_mw*hours_per_day,capacity_mwh),MIN(DAMAS_Daily!D10*market_share_C*acceptance_rate*stack_activation,power_mw*hours_per_day,capacity_mwh))</f>
        <v/>
      </c>
      <c r="L10" s="42">
        <f>IF(K10&gt;=capacity_mwh-0.01,"yes","no")</f>
        <v/>
      </c>
      <c r="M10" s="23">
        <f>IF(C10="aFRR+",(MIN(DAMAS_Daily!C10*market_share_C*acceptance_rate*stack_activation,power_mw*hours_per_day,capacity_mwh))*DAMAS_Daily!E10*activation_mult_C,(MIN(DAMAS_Daily!D10*market_share_C*acceptance_rate*stack_activation,power_mw*hours_per_day,capacity_mwh))*DAMAS_Daily!F10*activation_mult_C)</f>
        <v/>
      </c>
      <c r="N10" s="24">
        <f>F10+M10</f>
        <v/>
      </c>
    </row>
    <row r="11">
      <c r="A11" s="41">
        <f>DAMAS_Daily!A11</f>
        <v/>
      </c>
      <c r="B11" s="42">
        <f>DAMAS_Daily!B11</f>
        <v/>
      </c>
      <c r="C11" s="42">
        <f>IF((power_mw*hours_per_day*damas_afrr_up*capacity_mult_C*stack_capacity*acceptance_rate+(MIN(DAMAS_Daily!C11*market_share_C*acceptance_rate*stack_activation,power_mw*hours_per_day,capacity_mwh))*DAMAS_Daily!E11*activation_mult_C)&gt;=(power_mw*hours_per_day*damas_afrr_down*capacity_mult_C*stack_capacity*acceptance_rate+(MIN(DAMAS_Daily!D11*market_share_C*acceptance_rate*stack_activation,power_mw*hours_per_day,capacity_mwh))*DAMAS_Daily!F11*activation_mult_C),"aFRR+","aFRR-")</f>
        <v/>
      </c>
      <c r="D11" s="43">
        <f>IF(C11="aFRR+",damas_afrr_up*capacity_mult_C,damas_afrr_down*capacity_mult_C)</f>
        <v/>
      </c>
      <c r="E11" s="44">
        <f>acceptance_rate</f>
        <v/>
      </c>
      <c r="F11" s="23">
        <f>IF(C11="aFRR+",power_mw*hours_per_day*damas_afrr_up*capacity_mult_C*stack_capacity*acceptance_rate,power_mw*hours_per_day*damas_afrr_down*capacity_mult_C*stack_capacity*acceptance_rate)</f>
        <v/>
      </c>
      <c r="G11" s="42">
        <f>IF(C11="aFRR+",DAMAS_Daily!I11,DAMAS_Daily!J11)</f>
        <v/>
      </c>
      <c r="H11" s="43">
        <f>IF(C11="aFRR+",DAMAS_Daily!E11,DAMAS_Daily!F11)</f>
        <v/>
      </c>
      <c r="I11" s="43">
        <f>IF(C11="aFRR+",DAMAS_Daily!G11,DAMAS_Daily!H11)</f>
        <v/>
      </c>
      <c r="J11" s="45">
        <f>IF(C11="aFRR+",DAMAS_Daily!C11,DAMAS_Daily!D11)</f>
        <v/>
      </c>
      <c r="K11" s="45">
        <f>IF(C11="aFRR+",MIN(DAMAS_Daily!C11*market_share_C*acceptance_rate*stack_activation,power_mw*hours_per_day,capacity_mwh),MIN(DAMAS_Daily!D11*market_share_C*acceptance_rate*stack_activation,power_mw*hours_per_day,capacity_mwh))</f>
        <v/>
      </c>
      <c r="L11" s="42">
        <f>IF(K11&gt;=capacity_mwh-0.01,"yes","no")</f>
        <v/>
      </c>
      <c r="M11" s="23">
        <f>IF(C11="aFRR+",(MIN(DAMAS_Daily!C11*market_share_C*acceptance_rate*stack_activation,power_mw*hours_per_day,capacity_mwh))*DAMAS_Daily!E11*activation_mult_C,(MIN(DAMAS_Daily!D11*market_share_C*acceptance_rate*stack_activation,power_mw*hours_per_day,capacity_mwh))*DAMAS_Daily!F11*activation_mult_C)</f>
        <v/>
      </c>
      <c r="N11" s="24">
        <f>F11+M11</f>
        <v/>
      </c>
    </row>
    <row r="12">
      <c r="A12" s="41">
        <f>DAMAS_Daily!A12</f>
        <v/>
      </c>
      <c r="B12" s="42">
        <f>DAMAS_Daily!B12</f>
        <v/>
      </c>
      <c r="C12" s="42">
        <f>IF((power_mw*hours_per_day*damas_afrr_up*capacity_mult_C*stack_capacity*acceptance_rate+(MIN(DAMAS_Daily!C12*market_share_C*acceptance_rate*stack_activation,power_mw*hours_per_day,capacity_mwh))*DAMAS_Daily!E12*activation_mult_C)&gt;=(power_mw*hours_per_day*damas_afrr_down*capacity_mult_C*stack_capacity*acceptance_rate+(MIN(DAMAS_Daily!D12*market_share_C*acceptance_rate*stack_activation,power_mw*hours_per_day,capacity_mwh))*DAMAS_Daily!F12*activation_mult_C),"aFRR+","aFRR-")</f>
        <v/>
      </c>
      <c r="D12" s="43">
        <f>IF(C12="aFRR+",damas_afrr_up*capacity_mult_C,damas_afrr_down*capacity_mult_C)</f>
        <v/>
      </c>
      <c r="E12" s="44">
        <f>acceptance_rate</f>
        <v/>
      </c>
      <c r="F12" s="23">
        <f>IF(C12="aFRR+",power_mw*hours_per_day*damas_afrr_up*capacity_mult_C*stack_capacity*acceptance_rate,power_mw*hours_per_day*damas_afrr_down*capacity_mult_C*stack_capacity*acceptance_rate)</f>
        <v/>
      </c>
      <c r="G12" s="42">
        <f>IF(C12="aFRR+",DAMAS_Daily!I12,DAMAS_Daily!J12)</f>
        <v/>
      </c>
      <c r="H12" s="43">
        <f>IF(C12="aFRR+",DAMAS_Daily!E12,DAMAS_Daily!F12)</f>
        <v/>
      </c>
      <c r="I12" s="43">
        <f>IF(C12="aFRR+",DAMAS_Daily!G12,DAMAS_Daily!H12)</f>
        <v/>
      </c>
      <c r="J12" s="45">
        <f>IF(C12="aFRR+",DAMAS_Daily!C12,DAMAS_Daily!D12)</f>
        <v/>
      </c>
      <c r="K12" s="45">
        <f>IF(C12="aFRR+",MIN(DAMAS_Daily!C12*market_share_C*acceptance_rate*stack_activation,power_mw*hours_per_day,capacity_mwh),MIN(DAMAS_Daily!D12*market_share_C*acceptance_rate*stack_activation,power_mw*hours_per_day,capacity_mwh))</f>
        <v/>
      </c>
      <c r="L12" s="42">
        <f>IF(K12&gt;=capacity_mwh-0.01,"yes","no")</f>
        <v/>
      </c>
      <c r="M12" s="23">
        <f>IF(C12="aFRR+",(MIN(DAMAS_Daily!C12*market_share_C*acceptance_rate*stack_activation,power_mw*hours_per_day,capacity_mwh))*DAMAS_Daily!E12*activation_mult_C,(MIN(DAMAS_Daily!D12*market_share_C*acceptance_rate*stack_activation,power_mw*hours_per_day,capacity_mwh))*DAMAS_Daily!F12*activation_mult_C)</f>
        <v/>
      </c>
      <c r="N12" s="24">
        <f>F12+M12</f>
        <v/>
      </c>
    </row>
    <row r="13">
      <c r="A13" s="41">
        <f>DAMAS_Daily!A13</f>
        <v/>
      </c>
      <c r="B13" s="42">
        <f>DAMAS_Daily!B13</f>
        <v/>
      </c>
      <c r="C13" s="42">
        <f>IF((power_mw*hours_per_day*damas_afrr_up*capacity_mult_C*stack_capacity*acceptance_rate+(MIN(DAMAS_Daily!C13*market_share_C*acceptance_rate*stack_activation,power_mw*hours_per_day,capacity_mwh))*DAMAS_Daily!E13*activation_mult_C)&gt;=(power_mw*hours_per_day*damas_afrr_down*capacity_mult_C*stack_capacity*acceptance_rate+(MIN(DAMAS_Daily!D13*market_share_C*acceptance_rate*stack_activation,power_mw*hours_per_day,capacity_mwh))*DAMAS_Daily!F13*activation_mult_C),"aFRR+","aFRR-")</f>
        <v/>
      </c>
      <c r="D13" s="43">
        <f>IF(C13="aFRR+",damas_afrr_up*capacity_mult_C,damas_afrr_down*capacity_mult_C)</f>
        <v/>
      </c>
      <c r="E13" s="44">
        <f>acceptance_rate</f>
        <v/>
      </c>
      <c r="F13" s="23">
        <f>IF(C13="aFRR+",power_mw*hours_per_day*damas_afrr_up*capacity_mult_C*stack_capacity*acceptance_rate,power_mw*hours_per_day*damas_afrr_down*capacity_mult_C*stack_capacity*acceptance_rate)</f>
        <v/>
      </c>
      <c r="G13" s="42">
        <f>IF(C13="aFRR+",DAMAS_Daily!I13,DAMAS_Daily!J13)</f>
        <v/>
      </c>
      <c r="H13" s="43">
        <f>IF(C13="aFRR+",DAMAS_Daily!E13,DAMAS_Daily!F13)</f>
        <v/>
      </c>
      <c r="I13" s="43">
        <f>IF(C13="aFRR+",DAMAS_Daily!G13,DAMAS_Daily!H13)</f>
        <v/>
      </c>
      <c r="J13" s="45">
        <f>IF(C13="aFRR+",DAMAS_Daily!C13,DAMAS_Daily!D13)</f>
        <v/>
      </c>
      <c r="K13" s="45">
        <f>IF(C13="aFRR+",MIN(DAMAS_Daily!C13*market_share_C*acceptance_rate*stack_activation,power_mw*hours_per_day,capacity_mwh),MIN(DAMAS_Daily!D13*market_share_C*acceptance_rate*stack_activation,power_mw*hours_per_day,capacity_mwh))</f>
        <v/>
      </c>
      <c r="L13" s="42">
        <f>IF(K13&gt;=capacity_mwh-0.01,"yes","no")</f>
        <v/>
      </c>
      <c r="M13" s="23">
        <f>IF(C13="aFRR+",(MIN(DAMAS_Daily!C13*market_share_C*acceptance_rate*stack_activation,power_mw*hours_per_day,capacity_mwh))*DAMAS_Daily!E13*activation_mult_C,(MIN(DAMAS_Daily!D13*market_share_C*acceptance_rate*stack_activation,power_mw*hours_per_day,capacity_mwh))*DAMAS_Daily!F13*activation_mult_C)</f>
        <v/>
      </c>
      <c r="N13" s="24">
        <f>F13+M13</f>
        <v/>
      </c>
    </row>
    <row r="14">
      <c r="A14" s="41">
        <f>DAMAS_Daily!A14</f>
        <v/>
      </c>
      <c r="B14" s="42">
        <f>DAMAS_Daily!B14</f>
        <v/>
      </c>
      <c r="C14" s="42">
        <f>IF((power_mw*hours_per_day*damas_afrr_up*capacity_mult_C*stack_capacity*acceptance_rate+(MIN(DAMAS_Daily!C14*market_share_C*acceptance_rate*stack_activation,power_mw*hours_per_day,capacity_mwh))*DAMAS_Daily!E14*activation_mult_C)&gt;=(power_mw*hours_per_day*damas_afrr_down*capacity_mult_C*stack_capacity*acceptance_rate+(MIN(DAMAS_Daily!D14*market_share_C*acceptance_rate*stack_activation,power_mw*hours_per_day,capacity_mwh))*DAMAS_Daily!F14*activation_mult_C),"aFRR+","aFRR-")</f>
        <v/>
      </c>
      <c r="D14" s="43">
        <f>IF(C14="aFRR+",damas_afrr_up*capacity_mult_C,damas_afrr_down*capacity_mult_C)</f>
        <v/>
      </c>
      <c r="E14" s="44">
        <f>acceptance_rate</f>
        <v/>
      </c>
      <c r="F14" s="23">
        <f>IF(C14="aFRR+",power_mw*hours_per_day*damas_afrr_up*capacity_mult_C*stack_capacity*acceptance_rate,power_mw*hours_per_day*damas_afrr_down*capacity_mult_C*stack_capacity*acceptance_rate)</f>
        <v/>
      </c>
      <c r="G14" s="42">
        <f>IF(C14="aFRR+",DAMAS_Daily!I14,DAMAS_Daily!J14)</f>
        <v/>
      </c>
      <c r="H14" s="43">
        <f>IF(C14="aFRR+",DAMAS_Daily!E14,DAMAS_Daily!F14)</f>
        <v/>
      </c>
      <c r="I14" s="43">
        <f>IF(C14="aFRR+",DAMAS_Daily!G14,DAMAS_Daily!H14)</f>
        <v/>
      </c>
      <c r="J14" s="45">
        <f>IF(C14="aFRR+",DAMAS_Daily!C14,DAMAS_Daily!D14)</f>
        <v/>
      </c>
      <c r="K14" s="45">
        <f>IF(C14="aFRR+",MIN(DAMAS_Daily!C14*market_share_C*acceptance_rate*stack_activation,power_mw*hours_per_day,capacity_mwh),MIN(DAMAS_Daily!D14*market_share_C*acceptance_rate*stack_activation,power_mw*hours_per_day,capacity_mwh))</f>
        <v/>
      </c>
      <c r="L14" s="42">
        <f>IF(K14&gt;=capacity_mwh-0.01,"yes","no")</f>
        <v/>
      </c>
      <c r="M14" s="23">
        <f>IF(C14="aFRR+",(MIN(DAMAS_Daily!C14*market_share_C*acceptance_rate*stack_activation,power_mw*hours_per_day,capacity_mwh))*DAMAS_Daily!E14*activation_mult_C,(MIN(DAMAS_Daily!D14*market_share_C*acceptance_rate*stack_activation,power_mw*hours_per_day,capacity_mwh))*DAMAS_Daily!F14*activation_mult_C)</f>
        <v/>
      </c>
      <c r="N14" s="24">
        <f>F14+M14</f>
        <v/>
      </c>
    </row>
    <row r="15">
      <c r="A15" s="41">
        <f>DAMAS_Daily!A15</f>
        <v/>
      </c>
      <c r="B15" s="42">
        <f>DAMAS_Daily!B15</f>
        <v/>
      </c>
      <c r="C15" s="42">
        <f>IF((power_mw*hours_per_day*damas_afrr_up*capacity_mult_C*stack_capacity*acceptance_rate+(MIN(DAMAS_Daily!C15*market_share_C*acceptance_rate*stack_activation,power_mw*hours_per_day,capacity_mwh))*DAMAS_Daily!E15*activation_mult_C)&gt;=(power_mw*hours_per_day*damas_afrr_down*capacity_mult_C*stack_capacity*acceptance_rate+(MIN(DAMAS_Daily!D15*market_share_C*acceptance_rate*stack_activation,power_mw*hours_per_day,capacity_mwh))*DAMAS_Daily!F15*activation_mult_C),"aFRR+","aFRR-")</f>
        <v/>
      </c>
      <c r="D15" s="43">
        <f>IF(C15="aFRR+",damas_afrr_up*capacity_mult_C,damas_afrr_down*capacity_mult_C)</f>
        <v/>
      </c>
      <c r="E15" s="44">
        <f>acceptance_rate</f>
        <v/>
      </c>
      <c r="F15" s="23">
        <f>IF(C15="aFRR+",power_mw*hours_per_day*damas_afrr_up*capacity_mult_C*stack_capacity*acceptance_rate,power_mw*hours_per_day*damas_afrr_down*capacity_mult_C*stack_capacity*acceptance_rate)</f>
        <v/>
      </c>
      <c r="G15" s="42">
        <f>IF(C15="aFRR+",DAMAS_Daily!I15,DAMAS_Daily!J15)</f>
        <v/>
      </c>
      <c r="H15" s="43">
        <f>IF(C15="aFRR+",DAMAS_Daily!E15,DAMAS_Daily!F15)</f>
        <v/>
      </c>
      <c r="I15" s="43">
        <f>IF(C15="aFRR+",DAMAS_Daily!G15,DAMAS_Daily!H15)</f>
        <v/>
      </c>
      <c r="J15" s="45">
        <f>IF(C15="aFRR+",DAMAS_Daily!C15,DAMAS_Daily!D15)</f>
        <v/>
      </c>
      <c r="K15" s="45">
        <f>IF(C15="aFRR+",MIN(DAMAS_Daily!C15*market_share_C*acceptance_rate*stack_activation,power_mw*hours_per_day,capacity_mwh),MIN(DAMAS_Daily!D15*market_share_C*acceptance_rate*stack_activation,power_mw*hours_per_day,capacity_mwh))</f>
        <v/>
      </c>
      <c r="L15" s="42">
        <f>IF(K15&gt;=capacity_mwh-0.01,"yes","no")</f>
        <v/>
      </c>
      <c r="M15" s="23">
        <f>IF(C15="aFRR+",(MIN(DAMAS_Daily!C15*market_share_C*acceptance_rate*stack_activation,power_mw*hours_per_day,capacity_mwh))*DAMAS_Daily!E15*activation_mult_C,(MIN(DAMAS_Daily!D15*market_share_C*acceptance_rate*stack_activation,power_mw*hours_per_day,capacity_mwh))*DAMAS_Daily!F15*activation_mult_C)</f>
        <v/>
      </c>
      <c r="N15" s="24">
        <f>F15+M15</f>
        <v/>
      </c>
    </row>
    <row r="16">
      <c r="A16" s="41">
        <f>DAMAS_Daily!A16</f>
        <v/>
      </c>
      <c r="B16" s="42">
        <f>DAMAS_Daily!B16</f>
        <v/>
      </c>
      <c r="C16" s="42">
        <f>IF((power_mw*hours_per_day*damas_afrr_up*capacity_mult_C*stack_capacity*acceptance_rate+(MIN(DAMAS_Daily!C16*market_share_C*acceptance_rate*stack_activation,power_mw*hours_per_day,capacity_mwh))*DAMAS_Daily!E16*activation_mult_C)&gt;=(power_mw*hours_per_day*damas_afrr_down*capacity_mult_C*stack_capacity*acceptance_rate+(MIN(DAMAS_Daily!D16*market_share_C*acceptance_rate*stack_activation,power_mw*hours_per_day,capacity_mwh))*DAMAS_Daily!F16*activation_mult_C),"aFRR+","aFRR-")</f>
        <v/>
      </c>
      <c r="D16" s="43">
        <f>IF(C16="aFRR+",damas_afrr_up*capacity_mult_C,damas_afrr_down*capacity_mult_C)</f>
        <v/>
      </c>
      <c r="E16" s="44">
        <f>acceptance_rate</f>
        <v/>
      </c>
      <c r="F16" s="23">
        <f>IF(C16="aFRR+",power_mw*hours_per_day*damas_afrr_up*capacity_mult_C*stack_capacity*acceptance_rate,power_mw*hours_per_day*damas_afrr_down*capacity_mult_C*stack_capacity*acceptance_rate)</f>
        <v/>
      </c>
      <c r="G16" s="42">
        <f>IF(C16="aFRR+",DAMAS_Daily!I16,DAMAS_Daily!J16)</f>
        <v/>
      </c>
      <c r="H16" s="43">
        <f>IF(C16="aFRR+",DAMAS_Daily!E16,DAMAS_Daily!F16)</f>
        <v/>
      </c>
      <c r="I16" s="43">
        <f>IF(C16="aFRR+",DAMAS_Daily!G16,DAMAS_Daily!H16)</f>
        <v/>
      </c>
      <c r="J16" s="45">
        <f>IF(C16="aFRR+",DAMAS_Daily!C16,DAMAS_Daily!D16)</f>
        <v/>
      </c>
      <c r="K16" s="45">
        <f>IF(C16="aFRR+",MIN(DAMAS_Daily!C16*market_share_C*acceptance_rate*stack_activation,power_mw*hours_per_day,capacity_mwh),MIN(DAMAS_Daily!D16*market_share_C*acceptance_rate*stack_activation,power_mw*hours_per_day,capacity_mwh))</f>
        <v/>
      </c>
      <c r="L16" s="42">
        <f>IF(K16&gt;=capacity_mwh-0.01,"yes","no")</f>
        <v/>
      </c>
      <c r="M16" s="23">
        <f>IF(C16="aFRR+",(MIN(DAMAS_Daily!C16*market_share_C*acceptance_rate*stack_activation,power_mw*hours_per_day,capacity_mwh))*DAMAS_Daily!E16*activation_mult_C,(MIN(DAMAS_Daily!D16*market_share_C*acceptance_rate*stack_activation,power_mw*hours_per_day,capacity_mwh))*DAMAS_Daily!F16*activation_mult_C)</f>
        <v/>
      </c>
      <c r="N16" s="24">
        <f>F16+M16</f>
        <v/>
      </c>
    </row>
    <row r="17">
      <c r="A17" s="41">
        <f>DAMAS_Daily!A17</f>
        <v/>
      </c>
      <c r="B17" s="42">
        <f>DAMAS_Daily!B17</f>
        <v/>
      </c>
      <c r="C17" s="42">
        <f>IF((power_mw*hours_per_day*damas_afrr_up*capacity_mult_C*stack_capacity*acceptance_rate+(MIN(DAMAS_Daily!C17*market_share_C*acceptance_rate*stack_activation,power_mw*hours_per_day,capacity_mwh))*DAMAS_Daily!E17*activation_mult_C)&gt;=(power_mw*hours_per_day*damas_afrr_down*capacity_mult_C*stack_capacity*acceptance_rate+(MIN(DAMAS_Daily!D17*market_share_C*acceptance_rate*stack_activation,power_mw*hours_per_day,capacity_mwh))*DAMAS_Daily!F17*activation_mult_C),"aFRR+","aFRR-")</f>
        <v/>
      </c>
      <c r="D17" s="43">
        <f>IF(C17="aFRR+",damas_afrr_up*capacity_mult_C,damas_afrr_down*capacity_mult_C)</f>
        <v/>
      </c>
      <c r="E17" s="44">
        <f>acceptance_rate</f>
        <v/>
      </c>
      <c r="F17" s="23">
        <f>IF(C17="aFRR+",power_mw*hours_per_day*damas_afrr_up*capacity_mult_C*stack_capacity*acceptance_rate,power_mw*hours_per_day*damas_afrr_down*capacity_mult_C*stack_capacity*acceptance_rate)</f>
        <v/>
      </c>
      <c r="G17" s="42">
        <f>IF(C17="aFRR+",DAMAS_Daily!I17,DAMAS_Daily!J17)</f>
        <v/>
      </c>
      <c r="H17" s="43">
        <f>IF(C17="aFRR+",DAMAS_Daily!E17,DAMAS_Daily!F17)</f>
        <v/>
      </c>
      <c r="I17" s="43">
        <f>IF(C17="aFRR+",DAMAS_Daily!G17,DAMAS_Daily!H17)</f>
        <v/>
      </c>
      <c r="J17" s="45">
        <f>IF(C17="aFRR+",DAMAS_Daily!C17,DAMAS_Daily!D17)</f>
        <v/>
      </c>
      <c r="K17" s="45">
        <f>IF(C17="aFRR+",MIN(DAMAS_Daily!C17*market_share_C*acceptance_rate*stack_activation,power_mw*hours_per_day,capacity_mwh),MIN(DAMAS_Daily!D17*market_share_C*acceptance_rate*stack_activation,power_mw*hours_per_day,capacity_mwh))</f>
        <v/>
      </c>
      <c r="L17" s="42">
        <f>IF(K17&gt;=capacity_mwh-0.01,"yes","no")</f>
        <v/>
      </c>
      <c r="M17" s="23">
        <f>IF(C17="aFRR+",(MIN(DAMAS_Daily!C17*market_share_C*acceptance_rate*stack_activation,power_mw*hours_per_day,capacity_mwh))*DAMAS_Daily!E17*activation_mult_C,(MIN(DAMAS_Daily!D17*market_share_C*acceptance_rate*stack_activation,power_mw*hours_per_day,capacity_mwh))*DAMAS_Daily!F17*activation_mult_C)</f>
        <v/>
      </c>
      <c r="N17" s="24">
        <f>F17+M17</f>
        <v/>
      </c>
    </row>
    <row r="18">
      <c r="A18" s="41">
        <f>DAMAS_Daily!A18</f>
        <v/>
      </c>
      <c r="B18" s="42">
        <f>DAMAS_Daily!B18</f>
        <v/>
      </c>
      <c r="C18" s="42">
        <f>IF((power_mw*hours_per_day*damas_afrr_up*capacity_mult_C*stack_capacity*acceptance_rate+(MIN(DAMAS_Daily!C18*market_share_C*acceptance_rate*stack_activation,power_mw*hours_per_day,capacity_mwh))*DAMAS_Daily!E18*activation_mult_C)&gt;=(power_mw*hours_per_day*damas_afrr_down*capacity_mult_C*stack_capacity*acceptance_rate+(MIN(DAMAS_Daily!D18*market_share_C*acceptance_rate*stack_activation,power_mw*hours_per_day,capacity_mwh))*DAMAS_Daily!F18*activation_mult_C),"aFRR+","aFRR-")</f>
        <v/>
      </c>
      <c r="D18" s="43">
        <f>IF(C18="aFRR+",damas_afrr_up*capacity_mult_C,damas_afrr_down*capacity_mult_C)</f>
        <v/>
      </c>
      <c r="E18" s="44">
        <f>acceptance_rate</f>
        <v/>
      </c>
      <c r="F18" s="23">
        <f>IF(C18="aFRR+",power_mw*hours_per_day*damas_afrr_up*capacity_mult_C*stack_capacity*acceptance_rate,power_mw*hours_per_day*damas_afrr_down*capacity_mult_C*stack_capacity*acceptance_rate)</f>
        <v/>
      </c>
      <c r="G18" s="42">
        <f>IF(C18="aFRR+",DAMAS_Daily!I18,DAMAS_Daily!J18)</f>
        <v/>
      </c>
      <c r="H18" s="43">
        <f>IF(C18="aFRR+",DAMAS_Daily!E18,DAMAS_Daily!F18)</f>
        <v/>
      </c>
      <c r="I18" s="43">
        <f>IF(C18="aFRR+",DAMAS_Daily!G18,DAMAS_Daily!H18)</f>
        <v/>
      </c>
      <c r="J18" s="45">
        <f>IF(C18="aFRR+",DAMAS_Daily!C18,DAMAS_Daily!D18)</f>
        <v/>
      </c>
      <c r="K18" s="45">
        <f>IF(C18="aFRR+",MIN(DAMAS_Daily!C18*market_share_C*acceptance_rate*stack_activation,power_mw*hours_per_day,capacity_mwh),MIN(DAMAS_Daily!D18*market_share_C*acceptance_rate*stack_activation,power_mw*hours_per_day,capacity_mwh))</f>
        <v/>
      </c>
      <c r="L18" s="42">
        <f>IF(K18&gt;=capacity_mwh-0.01,"yes","no")</f>
        <v/>
      </c>
      <c r="M18" s="23">
        <f>IF(C18="aFRR+",(MIN(DAMAS_Daily!C18*market_share_C*acceptance_rate*stack_activation,power_mw*hours_per_day,capacity_mwh))*DAMAS_Daily!E18*activation_mult_C,(MIN(DAMAS_Daily!D18*market_share_C*acceptance_rate*stack_activation,power_mw*hours_per_day,capacity_mwh))*DAMAS_Daily!F18*activation_mult_C)</f>
        <v/>
      </c>
      <c r="N18" s="24">
        <f>F18+M18</f>
        <v/>
      </c>
    </row>
    <row r="19">
      <c r="A19" s="41">
        <f>DAMAS_Daily!A19</f>
        <v/>
      </c>
      <c r="B19" s="42">
        <f>DAMAS_Daily!B19</f>
        <v/>
      </c>
      <c r="C19" s="42">
        <f>IF((power_mw*hours_per_day*damas_afrr_up*capacity_mult_C*stack_capacity*acceptance_rate+(MIN(DAMAS_Daily!C19*market_share_C*acceptance_rate*stack_activation,power_mw*hours_per_day,capacity_mwh))*DAMAS_Daily!E19*activation_mult_C)&gt;=(power_mw*hours_per_day*damas_afrr_down*capacity_mult_C*stack_capacity*acceptance_rate+(MIN(DAMAS_Daily!D19*market_share_C*acceptance_rate*stack_activation,power_mw*hours_per_day,capacity_mwh))*DAMAS_Daily!F19*activation_mult_C),"aFRR+","aFRR-")</f>
        <v/>
      </c>
      <c r="D19" s="43">
        <f>IF(C19="aFRR+",damas_afrr_up*capacity_mult_C,damas_afrr_down*capacity_mult_C)</f>
        <v/>
      </c>
      <c r="E19" s="44">
        <f>acceptance_rate</f>
        <v/>
      </c>
      <c r="F19" s="23">
        <f>IF(C19="aFRR+",power_mw*hours_per_day*damas_afrr_up*capacity_mult_C*stack_capacity*acceptance_rate,power_mw*hours_per_day*damas_afrr_down*capacity_mult_C*stack_capacity*acceptance_rate)</f>
        <v/>
      </c>
      <c r="G19" s="42">
        <f>IF(C19="aFRR+",DAMAS_Daily!I19,DAMAS_Daily!J19)</f>
        <v/>
      </c>
      <c r="H19" s="43">
        <f>IF(C19="aFRR+",DAMAS_Daily!E19,DAMAS_Daily!F19)</f>
        <v/>
      </c>
      <c r="I19" s="43">
        <f>IF(C19="aFRR+",DAMAS_Daily!G19,DAMAS_Daily!H19)</f>
        <v/>
      </c>
      <c r="J19" s="45">
        <f>IF(C19="aFRR+",DAMAS_Daily!C19,DAMAS_Daily!D19)</f>
        <v/>
      </c>
      <c r="K19" s="45">
        <f>IF(C19="aFRR+",MIN(DAMAS_Daily!C19*market_share_C*acceptance_rate*stack_activation,power_mw*hours_per_day,capacity_mwh),MIN(DAMAS_Daily!D19*market_share_C*acceptance_rate*stack_activation,power_mw*hours_per_day,capacity_mwh))</f>
        <v/>
      </c>
      <c r="L19" s="42">
        <f>IF(K19&gt;=capacity_mwh-0.01,"yes","no")</f>
        <v/>
      </c>
      <c r="M19" s="23">
        <f>IF(C19="aFRR+",(MIN(DAMAS_Daily!C19*market_share_C*acceptance_rate*stack_activation,power_mw*hours_per_day,capacity_mwh))*DAMAS_Daily!E19*activation_mult_C,(MIN(DAMAS_Daily!D19*market_share_C*acceptance_rate*stack_activation,power_mw*hours_per_day,capacity_mwh))*DAMAS_Daily!F19*activation_mult_C)</f>
        <v/>
      </c>
      <c r="N19" s="24">
        <f>F19+M19</f>
        <v/>
      </c>
    </row>
    <row r="20">
      <c r="A20" s="41">
        <f>DAMAS_Daily!A20</f>
        <v/>
      </c>
      <c r="B20" s="42">
        <f>DAMAS_Daily!B20</f>
        <v/>
      </c>
      <c r="C20" s="42">
        <f>IF((power_mw*hours_per_day*damas_afrr_up*capacity_mult_C*stack_capacity*acceptance_rate+(MIN(DAMAS_Daily!C20*market_share_C*acceptance_rate*stack_activation,power_mw*hours_per_day,capacity_mwh))*DAMAS_Daily!E20*activation_mult_C)&gt;=(power_mw*hours_per_day*damas_afrr_down*capacity_mult_C*stack_capacity*acceptance_rate+(MIN(DAMAS_Daily!D20*market_share_C*acceptance_rate*stack_activation,power_mw*hours_per_day,capacity_mwh))*DAMAS_Daily!F20*activation_mult_C),"aFRR+","aFRR-")</f>
        <v/>
      </c>
      <c r="D20" s="43">
        <f>IF(C20="aFRR+",damas_afrr_up*capacity_mult_C,damas_afrr_down*capacity_mult_C)</f>
        <v/>
      </c>
      <c r="E20" s="44">
        <f>acceptance_rate</f>
        <v/>
      </c>
      <c r="F20" s="23">
        <f>IF(C20="aFRR+",power_mw*hours_per_day*damas_afrr_up*capacity_mult_C*stack_capacity*acceptance_rate,power_mw*hours_per_day*damas_afrr_down*capacity_mult_C*stack_capacity*acceptance_rate)</f>
        <v/>
      </c>
      <c r="G20" s="42">
        <f>IF(C20="aFRR+",DAMAS_Daily!I20,DAMAS_Daily!J20)</f>
        <v/>
      </c>
      <c r="H20" s="43">
        <f>IF(C20="aFRR+",DAMAS_Daily!E20,DAMAS_Daily!F20)</f>
        <v/>
      </c>
      <c r="I20" s="43">
        <f>IF(C20="aFRR+",DAMAS_Daily!G20,DAMAS_Daily!H20)</f>
        <v/>
      </c>
      <c r="J20" s="45">
        <f>IF(C20="aFRR+",DAMAS_Daily!C20,DAMAS_Daily!D20)</f>
        <v/>
      </c>
      <c r="K20" s="45">
        <f>IF(C20="aFRR+",MIN(DAMAS_Daily!C20*market_share_C*acceptance_rate*stack_activation,power_mw*hours_per_day,capacity_mwh),MIN(DAMAS_Daily!D20*market_share_C*acceptance_rate*stack_activation,power_mw*hours_per_day,capacity_mwh))</f>
        <v/>
      </c>
      <c r="L20" s="42">
        <f>IF(K20&gt;=capacity_mwh-0.01,"yes","no")</f>
        <v/>
      </c>
      <c r="M20" s="23">
        <f>IF(C20="aFRR+",(MIN(DAMAS_Daily!C20*market_share_C*acceptance_rate*stack_activation,power_mw*hours_per_day,capacity_mwh))*DAMAS_Daily!E20*activation_mult_C,(MIN(DAMAS_Daily!D20*market_share_C*acceptance_rate*stack_activation,power_mw*hours_per_day,capacity_mwh))*DAMAS_Daily!F20*activation_mult_C)</f>
        <v/>
      </c>
      <c r="N20" s="24">
        <f>F20+M20</f>
        <v/>
      </c>
    </row>
    <row r="21">
      <c r="A21" s="41">
        <f>DAMAS_Daily!A21</f>
        <v/>
      </c>
      <c r="B21" s="42">
        <f>DAMAS_Daily!B21</f>
        <v/>
      </c>
      <c r="C21" s="42">
        <f>IF((power_mw*hours_per_day*damas_afrr_up*capacity_mult_C*stack_capacity*acceptance_rate+(MIN(DAMAS_Daily!C21*market_share_C*acceptance_rate*stack_activation,power_mw*hours_per_day,capacity_mwh))*DAMAS_Daily!E21*activation_mult_C)&gt;=(power_mw*hours_per_day*damas_afrr_down*capacity_mult_C*stack_capacity*acceptance_rate+(MIN(DAMAS_Daily!D21*market_share_C*acceptance_rate*stack_activation,power_mw*hours_per_day,capacity_mwh))*DAMAS_Daily!F21*activation_mult_C),"aFRR+","aFRR-")</f>
        <v/>
      </c>
      <c r="D21" s="43">
        <f>IF(C21="aFRR+",damas_afrr_up*capacity_mult_C,damas_afrr_down*capacity_mult_C)</f>
        <v/>
      </c>
      <c r="E21" s="44">
        <f>acceptance_rate</f>
        <v/>
      </c>
      <c r="F21" s="23">
        <f>IF(C21="aFRR+",power_mw*hours_per_day*damas_afrr_up*capacity_mult_C*stack_capacity*acceptance_rate,power_mw*hours_per_day*damas_afrr_down*capacity_mult_C*stack_capacity*acceptance_rate)</f>
        <v/>
      </c>
      <c r="G21" s="42">
        <f>IF(C21="aFRR+",DAMAS_Daily!I21,DAMAS_Daily!J21)</f>
        <v/>
      </c>
      <c r="H21" s="43">
        <f>IF(C21="aFRR+",DAMAS_Daily!E21,DAMAS_Daily!F21)</f>
        <v/>
      </c>
      <c r="I21" s="43">
        <f>IF(C21="aFRR+",DAMAS_Daily!G21,DAMAS_Daily!H21)</f>
        <v/>
      </c>
      <c r="J21" s="45">
        <f>IF(C21="aFRR+",DAMAS_Daily!C21,DAMAS_Daily!D21)</f>
        <v/>
      </c>
      <c r="K21" s="45">
        <f>IF(C21="aFRR+",MIN(DAMAS_Daily!C21*market_share_C*acceptance_rate*stack_activation,power_mw*hours_per_day,capacity_mwh),MIN(DAMAS_Daily!D21*market_share_C*acceptance_rate*stack_activation,power_mw*hours_per_day,capacity_mwh))</f>
        <v/>
      </c>
      <c r="L21" s="42">
        <f>IF(K21&gt;=capacity_mwh-0.01,"yes","no")</f>
        <v/>
      </c>
      <c r="M21" s="23">
        <f>IF(C21="aFRR+",(MIN(DAMAS_Daily!C21*market_share_C*acceptance_rate*stack_activation,power_mw*hours_per_day,capacity_mwh))*DAMAS_Daily!E21*activation_mult_C,(MIN(DAMAS_Daily!D21*market_share_C*acceptance_rate*stack_activation,power_mw*hours_per_day,capacity_mwh))*DAMAS_Daily!F21*activation_mult_C)</f>
        <v/>
      </c>
      <c r="N21" s="24">
        <f>F21+M21</f>
        <v/>
      </c>
    </row>
    <row r="22">
      <c r="A22" s="41">
        <f>DAMAS_Daily!A22</f>
        <v/>
      </c>
      <c r="B22" s="42">
        <f>DAMAS_Daily!B22</f>
        <v/>
      </c>
      <c r="C22" s="42">
        <f>IF((power_mw*hours_per_day*damas_afrr_up*capacity_mult_C*stack_capacity*acceptance_rate+(MIN(DAMAS_Daily!C22*market_share_C*acceptance_rate*stack_activation,power_mw*hours_per_day,capacity_mwh))*DAMAS_Daily!E22*activation_mult_C)&gt;=(power_mw*hours_per_day*damas_afrr_down*capacity_mult_C*stack_capacity*acceptance_rate+(MIN(DAMAS_Daily!D22*market_share_C*acceptance_rate*stack_activation,power_mw*hours_per_day,capacity_mwh))*DAMAS_Daily!F22*activation_mult_C),"aFRR+","aFRR-")</f>
        <v/>
      </c>
      <c r="D22" s="43">
        <f>IF(C22="aFRR+",damas_afrr_up*capacity_mult_C,damas_afrr_down*capacity_mult_C)</f>
        <v/>
      </c>
      <c r="E22" s="44">
        <f>acceptance_rate</f>
        <v/>
      </c>
      <c r="F22" s="23">
        <f>IF(C22="aFRR+",power_mw*hours_per_day*damas_afrr_up*capacity_mult_C*stack_capacity*acceptance_rate,power_mw*hours_per_day*damas_afrr_down*capacity_mult_C*stack_capacity*acceptance_rate)</f>
        <v/>
      </c>
      <c r="G22" s="42">
        <f>IF(C22="aFRR+",DAMAS_Daily!I22,DAMAS_Daily!J22)</f>
        <v/>
      </c>
      <c r="H22" s="43">
        <f>IF(C22="aFRR+",DAMAS_Daily!E22,DAMAS_Daily!F22)</f>
        <v/>
      </c>
      <c r="I22" s="43">
        <f>IF(C22="aFRR+",DAMAS_Daily!G22,DAMAS_Daily!H22)</f>
        <v/>
      </c>
      <c r="J22" s="45">
        <f>IF(C22="aFRR+",DAMAS_Daily!C22,DAMAS_Daily!D22)</f>
        <v/>
      </c>
      <c r="K22" s="45">
        <f>IF(C22="aFRR+",MIN(DAMAS_Daily!C22*market_share_C*acceptance_rate*stack_activation,power_mw*hours_per_day,capacity_mwh),MIN(DAMAS_Daily!D22*market_share_C*acceptance_rate*stack_activation,power_mw*hours_per_day,capacity_mwh))</f>
        <v/>
      </c>
      <c r="L22" s="42">
        <f>IF(K22&gt;=capacity_mwh-0.01,"yes","no")</f>
        <v/>
      </c>
      <c r="M22" s="23">
        <f>IF(C22="aFRR+",(MIN(DAMAS_Daily!C22*market_share_C*acceptance_rate*stack_activation,power_mw*hours_per_day,capacity_mwh))*DAMAS_Daily!E22*activation_mult_C,(MIN(DAMAS_Daily!D22*market_share_C*acceptance_rate*stack_activation,power_mw*hours_per_day,capacity_mwh))*DAMAS_Daily!F22*activation_mult_C)</f>
        <v/>
      </c>
      <c r="N22" s="24">
        <f>F22+M22</f>
        <v/>
      </c>
    </row>
    <row r="23">
      <c r="A23" s="41">
        <f>DAMAS_Daily!A23</f>
        <v/>
      </c>
      <c r="B23" s="42">
        <f>DAMAS_Daily!B23</f>
        <v/>
      </c>
      <c r="C23" s="42">
        <f>IF((power_mw*hours_per_day*damas_afrr_up*capacity_mult_C*stack_capacity*acceptance_rate+(MIN(DAMAS_Daily!C23*market_share_C*acceptance_rate*stack_activation,power_mw*hours_per_day,capacity_mwh))*DAMAS_Daily!E23*activation_mult_C)&gt;=(power_mw*hours_per_day*damas_afrr_down*capacity_mult_C*stack_capacity*acceptance_rate+(MIN(DAMAS_Daily!D23*market_share_C*acceptance_rate*stack_activation,power_mw*hours_per_day,capacity_mwh))*DAMAS_Daily!F23*activation_mult_C),"aFRR+","aFRR-")</f>
        <v/>
      </c>
      <c r="D23" s="43">
        <f>IF(C23="aFRR+",damas_afrr_up*capacity_mult_C,damas_afrr_down*capacity_mult_C)</f>
        <v/>
      </c>
      <c r="E23" s="44">
        <f>acceptance_rate</f>
        <v/>
      </c>
      <c r="F23" s="23">
        <f>IF(C23="aFRR+",power_mw*hours_per_day*damas_afrr_up*capacity_mult_C*stack_capacity*acceptance_rate,power_mw*hours_per_day*damas_afrr_down*capacity_mult_C*stack_capacity*acceptance_rate)</f>
        <v/>
      </c>
      <c r="G23" s="42">
        <f>IF(C23="aFRR+",DAMAS_Daily!I23,DAMAS_Daily!J23)</f>
        <v/>
      </c>
      <c r="H23" s="43">
        <f>IF(C23="aFRR+",DAMAS_Daily!E23,DAMAS_Daily!F23)</f>
        <v/>
      </c>
      <c r="I23" s="43">
        <f>IF(C23="aFRR+",DAMAS_Daily!G23,DAMAS_Daily!H23)</f>
        <v/>
      </c>
      <c r="J23" s="45">
        <f>IF(C23="aFRR+",DAMAS_Daily!C23,DAMAS_Daily!D23)</f>
        <v/>
      </c>
      <c r="K23" s="45">
        <f>IF(C23="aFRR+",MIN(DAMAS_Daily!C23*market_share_C*acceptance_rate*stack_activation,power_mw*hours_per_day,capacity_mwh),MIN(DAMAS_Daily!D23*market_share_C*acceptance_rate*stack_activation,power_mw*hours_per_day,capacity_mwh))</f>
        <v/>
      </c>
      <c r="L23" s="42">
        <f>IF(K23&gt;=capacity_mwh-0.01,"yes","no")</f>
        <v/>
      </c>
      <c r="M23" s="23">
        <f>IF(C23="aFRR+",(MIN(DAMAS_Daily!C23*market_share_C*acceptance_rate*stack_activation,power_mw*hours_per_day,capacity_mwh))*DAMAS_Daily!E23*activation_mult_C,(MIN(DAMAS_Daily!D23*market_share_C*acceptance_rate*stack_activation,power_mw*hours_per_day,capacity_mwh))*DAMAS_Daily!F23*activation_mult_C)</f>
        <v/>
      </c>
      <c r="N23" s="24">
        <f>F23+M23</f>
        <v/>
      </c>
    </row>
    <row r="24">
      <c r="A24" s="41">
        <f>DAMAS_Daily!A24</f>
        <v/>
      </c>
      <c r="B24" s="42">
        <f>DAMAS_Daily!B24</f>
        <v/>
      </c>
      <c r="C24" s="42">
        <f>IF((power_mw*hours_per_day*damas_afrr_up*capacity_mult_C*stack_capacity*acceptance_rate+(MIN(DAMAS_Daily!C24*market_share_C*acceptance_rate*stack_activation,power_mw*hours_per_day,capacity_mwh))*DAMAS_Daily!E24*activation_mult_C)&gt;=(power_mw*hours_per_day*damas_afrr_down*capacity_mult_C*stack_capacity*acceptance_rate+(MIN(DAMAS_Daily!D24*market_share_C*acceptance_rate*stack_activation,power_mw*hours_per_day,capacity_mwh))*DAMAS_Daily!F24*activation_mult_C),"aFRR+","aFRR-")</f>
        <v/>
      </c>
      <c r="D24" s="43">
        <f>IF(C24="aFRR+",damas_afrr_up*capacity_mult_C,damas_afrr_down*capacity_mult_C)</f>
        <v/>
      </c>
      <c r="E24" s="44">
        <f>acceptance_rate</f>
        <v/>
      </c>
      <c r="F24" s="23">
        <f>IF(C24="aFRR+",power_mw*hours_per_day*damas_afrr_up*capacity_mult_C*stack_capacity*acceptance_rate,power_mw*hours_per_day*damas_afrr_down*capacity_mult_C*stack_capacity*acceptance_rate)</f>
        <v/>
      </c>
      <c r="G24" s="42">
        <f>IF(C24="aFRR+",DAMAS_Daily!I24,DAMAS_Daily!J24)</f>
        <v/>
      </c>
      <c r="H24" s="43">
        <f>IF(C24="aFRR+",DAMAS_Daily!E24,DAMAS_Daily!F24)</f>
        <v/>
      </c>
      <c r="I24" s="43">
        <f>IF(C24="aFRR+",DAMAS_Daily!G24,DAMAS_Daily!H24)</f>
        <v/>
      </c>
      <c r="J24" s="45">
        <f>IF(C24="aFRR+",DAMAS_Daily!C24,DAMAS_Daily!D24)</f>
        <v/>
      </c>
      <c r="K24" s="45">
        <f>IF(C24="aFRR+",MIN(DAMAS_Daily!C24*market_share_C*acceptance_rate*stack_activation,power_mw*hours_per_day,capacity_mwh),MIN(DAMAS_Daily!D24*market_share_C*acceptance_rate*stack_activation,power_mw*hours_per_day,capacity_mwh))</f>
        <v/>
      </c>
      <c r="L24" s="42">
        <f>IF(K24&gt;=capacity_mwh-0.01,"yes","no")</f>
        <v/>
      </c>
      <c r="M24" s="23">
        <f>IF(C24="aFRR+",(MIN(DAMAS_Daily!C24*market_share_C*acceptance_rate*stack_activation,power_mw*hours_per_day,capacity_mwh))*DAMAS_Daily!E24*activation_mult_C,(MIN(DAMAS_Daily!D24*market_share_C*acceptance_rate*stack_activation,power_mw*hours_per_day,capacity_mwh))*DAMAS_Daily!F24*activation_mult_C)</f>
        <v/>
      </c>
      <c r="N24" s="24">
        <f>F24+M24</f>
        <v/>
      </c>
    </row>
    <row r="25">
      <c r="A25" s="41">
        <f>DAMAS_Daily!A25</f>
        <v/>
      </c>
      <c r="B25" s="42">
        <f>DAMAS_Daily!B25</f>
        <v/>
      </c>
      <c r="C25" s="42">
        <f>IF((power_mw*hours_per_day*damas_afrr_up*capacity_mult_C*stack_capacity*acceptance_rate+(MIN(DAMAS_Daily!C25*market_share_C*acceptance_rate*stack_activation,power_mw*hours_per_day,capacity_mwh))*DAMAS_Daily!E25*activation_mult_C)&gt;=(power_mw*hours_per_day*damas_afrr_down*capacity_mult_C*stack_capacity*acceptance_rate+(MIN(DAMAS_Daily!D25*market_share_C*acceptance_rate*stack_activation,power_mw*hours_per_day,capacity_mwh))*DAMAS_Daily!F25*activation_mult_C),"aFRR+","aFRR-")</f>
        <v/>
      </c>
      <c r="D25" s="43">
        <f>IF(C25="aFRR+",damas_afrr_up*capacity_mult_C,damas_afrr_down*capacity_mult_C)</f>
        <v/>
      </c>
      <c r="E25" s="44">
        <f>acceptance_rate</f>
        <v/>
      </c>
      <c r="F25" s="23">
        <f>IF(C25="aFRR+",power_mw*hours_per_day*damas_afrr_up*capacity_mult_C*stack_capacity*acceptance_rate,power_mw*hours_per_day*damas_afrr_down*capacity_mult_C*stack_capacity*acceptance_rate)</f>
        <v/>
      </c>
      <c r="G25" s="42">
        <f>IF(C25="aFRR+",DAMAS_Daily!I25,DAMAS_Daily!J25)</f>
        <v/>
      </c>
      <c r="H25" s="43">
        <f>IF(C25="aFRR+",DAMAS_Daily!E25,DAMAS_Daily!F25)</f>
        <v/>
      </c>
      <c r="I25" s="43">
        <f>IF(C25="aFRR+",DAMAS_Daily!G25,DAMAS_Daily!H25)</f>
        <v/>
      </c>
      <c r="J25" s="45">
        <f>IF(C25="aFRR+",DAMAS_Daily!C25,DAMAS_Daily!D25)</f>
        <v/>
      </c>
      <c r="K25" s="45">
        <f>IF(C25="aFRR+",MIN(DAMAS_Daily!C25*market_share_C*acceptance_rate*stack_activation,power_mw*hours_per_day,capacity_mwh),MIN(DAMAS_Daily!D25*market_share_C*acceptance_rate*stack_activation,power_mw*hours_per_day,capacity_mwh))</f>
        <v/>
      </c>
      <c r="L25" s="42">
        <f>IF(K25&gt;=capacity_mwh-0.01,"yes","no")</f>
        <v/>
      </c>
      <c r="M25" s="23">
        <f>IF(C25="aFRR+",(MIN(DAMAS_Daily!C25*market_share_C*acceptance_rate*stack_activation,power_mw*hours_per_day,capacity_mwh))*DAMAS_Daily!E25*activation_mult_C,(MIN(DAMAS_Daily!D25*market_share_C*acceptance_rate*stack_activation,power_mw*hours_per_day,capacity_mwh))*DAMAS_Daily!F25*activation_mult_C)</f>
        <v/>
      </c>
      <c r="N25" s="24">
        <f>F25+M25</f>
        <v/>
      </c>
    </row>
    <row r="26">
      <c r="A26" s="41">
        <f>DAMAS_Daily!A26</f>
        <v/>
      </c>
      <c r="B26" s="42">
        <f>DAMAS_Daily!B26</f>
        <v/>
      </c>
      <c r="C26" s="42">
        <f>IF((power_mw*hours_per_day*damas_afrr_up*capacity_mult_C*stack_capacity*acceptance_rate+(MIN(DAMAS_Daily!C26*market_share_C*acceptance_rate*stack_activation,power_mw*hours_per_day,capacity_mwh))*DAMAS_Daily!E26*activation_mult_C)&gt;=(power_mw*hours_per_day*damas_afrr_down*capacity_mult_C*stack_capacity*acceptance_rate+(MIN(DAMAS_Daily!D26*market_share_C*acceptance_rate*stack_activation,power_mw*hours_per_day,capacity_mwh))*DAMAS_Daily!F26*activation_mult_C),"aFRR+","aFRR-")</f>
        <v/>
      </c>
      <c r="D26" s="43">
        <f>IF(C26="aFRR+",damas_afrr_up*capacity_mult_C,damas_afrr_down*capacity_mult_C)</f>
        <v/>
      </c>
      <c r="E26" s="44">
        <f>acceptance_rate</f>
        <v/>
      </c>
      <c r="F26" s="23">
        <f>IF(C26="aFRR+",power_mw*hours_per_day*damas_afrr_up*capacity_mult_C*stack_capacity*acceptance_rate,power_mw*hours_per_day*damas_afrr_down*capacity_mult_C*stack_capacity*acceptance_rate)</f>
        <v/>
      </c>
      <c r="G26" s="42">
        <f>IF(C26="aFRR+",DAMAS_Daily!I26,DAMAS_Daily!J26)</f>
        <v/>
      </c>
      <c r="H26" s="43">
        <f>IF(C26="aFRR+",DAMAS_Daily!E26,DAMAS_Daily!F26)</f>
        <v/>
      </c>
      <c r="I26" s="43">
        <f>IF(C26="aFRR+",DAMAS_Daily!G26,DAMAS_Daily!H26)</f>
        <v/>
      </c>
      <c r="J26" s="45">
        <f>IF(C26="aFRR+",DAMAS_Daily!C26,DAMAS_Daily!D26)</f>
        <v/>
      </c>
      <c r="K26" s="45">
        <f>IF(C26="aFRR+",MIN(DAMAS_Daily!C26*market_share_C*acceptance_rate*stack_activation,power_mw*hours_per_day,capacity_mwh),MIN(DAMAS_Daily!D26*market_share_C*acceptance_rate*stack_activation,power_mw*hours_per_day,capacity_mwh))</f>
        <v/>
      </c>
      <c r="L26" s="42">
        <f>IF(K26&gt;=capacity_mwh-0.01,"yes","no")</f>
        <v/>
      </c>
      <c r="M26" s="23">
        <f>IF(C26="aFRR+",(MIN(DAMAS_Daily!C26*market_share_C*acceptance_rate*stack_activation,power_mw*hours_per_day,capacity_mwh))*DAMAS_Daily!E26*activation_mult_C,(MIN(DAMAS_Daily!D26*market_share_C*acceptance_rate*stack_activation,power_mw*hours_per_day,capacity_mwh))*DAMAS_Daily!F26*activation_mult_C)</f>
        <v/>
      </c>
      <c r="N26" s="24">
        <f>F26+M26</f>
        <v/>
      </c>
    </row>
    <row r="27">
      <c r="A27" s="41">
        <f>DAMAS_Daily!A27</f>
        <v/>
      </c>
      <c r="B27" s="42">
        <f>DAMAS_Daily!B27</f>
        <v/>
      </c>
      <c r="C27" s="42">
        <f>IF((power_mw*hours_per_day*damas_afrr_up*capacity_mult_C*stack_capacity*acceptance_rate+(MIN(DAMAS_Daily!C27*market_share_C*acceptance_rate*stack_activation,power_mw*hours_per_day,capacity_mwh))*DAMAS_Daily!E27*activation_mult_C)&gt;=(power_mw*hours_per_day*damas_afrr_down*capacity_mult_C*stack_capacity*acceptance_rate+(MIN(DAMAS_Daily!D27*market_share_C*acceptance_rate*stack_activation,power_mw*hours_per_day,capacity_mwh))*DAMAS_Daily!F27*activation_mult_C),"aFRR+","aFRR-")</f>
        <v/>
      </c>
      <c r="D27" s="43">
        <f>IF(C27="aFRR+",damas_afrr_up*capacity_mult_C,damas_afrr_down*capacity_mult_C)</f>
        <v/>
      </c>
      <c r="E27" s="44">
        <f>acceptance_rate</f>
        <v/>
      </c>
      <c r="F27" s="23">
        <f>IF(C27="aFRR+",power_mw*hours_per_day*damas_afrr_up*capacity_mult_C*stack_capacity*acceptance_rate,power_mw*hours_per_day*damas_afrr_down*capacity_mult_C*stack_capacity*acceptance_rate)</f>
        <v/>
      </c>
      <c r="G27" s="42">
        <f>IF(C27="aFRR+",DAMAS_Daily!I27,DAMAS_Daily!J27)</f>
        <v/>
      </c>
      <c r="H27" s="43">
        <f>IF(C27="aFRR+",DAMAS_Daily!E27,DAMAS_Daily!F27)</f>
        <v/>
      </c>
      <c r="I27" s="43">
        <f>IF(C27="aFRR+",DAMAS_Daily!G27,DAMAS_Daily!H27)</f>
        <v/>
      </c>
      <c r="J27" s="45">
        <f>IF(C27="aFRR+",DAMAS_Daily!C27,DAMAS_Daily!D27)</f>
        <v/>
      </c>
      <c r="K27" s="45">
        <f>IF(C27="aFRR+",MIN(DAMAS_Daily!C27*market_share_C*acceptance_rate*stack_activation,power_mw*hours_per_day,capacity_mwh),MIN(DAMAS_Daily!D27*market_share_C*acceptance_rate*stack_activation,power_mw*hours_per_day,capacity_mwh))</f>
        <v/>
      </c>
      <c r="L27" s="42">
        <f>IF(K27&gt;=capacity_mwh-0.01,"yes","no")</f>
        <v/>
      </c>
      <c r="M27" s="23">
        <f>IF(C27="aFRR+",(MIN(DAMAS_Daily!C27*market_share_C*acceptance_rate*stack_activation,power_mw*hours_per_day,capacity_mwh))*DAMAS_Daily!E27*activation_mult_C,(MIN(DAMAS_Daily!D27*market_share_C*acceptance_rate*stack_activation,power_mw*hours_per_day,capacity_mwh))*DAMAS_Daily!F27*activation_mult_C)</f>
        <v/>
      </c>
      <c r="N27" s="24">
        <f>F27+M27</f>
        <v/>
      </c>
    </row>
    <row r="28">
      <c r="A28" s="41">
        <f>DAMAS_Daily!A28</f>
        <v/>
      </c>
      <c r="B28" s="42">
        <f>DAMAS_Daily!B28</f>
        <v/>
      </c>
      <c r="C28" s="42">
        <f>IF((power_mw*hours_per_day*damas_afrr_up*capacity_mult_C*stack_capacity*acceptance_rate+(MIN(DAMAS_Daily!C28*market_share_C*acceptance_rate*stack_activation,power_mw*hours_per_day,capacity_mwh))*DAMAS_Daily!E28*activation_mult_C)&gt;=(power_mw*hours_per_day*damas_afrr_down*capacity_mult_C*stack_capacity*acceptance_rate+(MIN(DAMAS_Daily!D28*market_share_C*acceptance_rate*stack_activation,power_mw*hours_per_day,capacity_mwh))*DAMAS_Daily!F28*activation_mult_C),"aFRR+","aFRR-")</f>
        <v/>
      </c>
      <c r="D28" s="43">
        <f>IF(C28="aFRR+",damas_afrr_up*capacity_mult_C,damas_afrr_down*capacity_mult_C)</f>
        <v/>
      </c>
      <c r="E28" s="44">
        <f>acceptance_rate</f>
        <v/>
      </c>
      <c r="F28" s="23">
        <f>IF(C28="aFRR+",power_mw*hours_per_day*damas_afrr_up*capacity_mult_C*stack_capacity*acceptance_rate,power_mw*hours_per_day*damas_afrr_down*capacity_mult_C*stack_capacity*acceptance_rate)</f>
        <v/>
      </c>
      <c r="G28" s="42">
        <f>IF(C28="aFRR+",DAMAS_Daily!I28,DAMAS_Daily!J28)</f>
        <v/>
      </c>
      <c r="H28" s="43">
        <f>IF(C28="aFRR+",DAMAS_Daily!E28,DAMAS_Daily!F28)</f>
        <v/>
      </c>
      <c r="I28" s="43">
        <f>IF(C28="aFRR+",DAMAS_Daily!G28,DAMAS_Daily!H28)</f>
        <v/>
      </c>
      <c r="J28" s="45">
        <f>IF(C28="aFRR+",DAMAS_Daily!C28,DAMAS_Daily!D28)</f>
        <v/>
      </c>
      <c r="K28" s="45">
        <f>IF(C28="aFRR+",MIN(DAMAS_Daily!C28*market_share_C*acceptance_rate*stack_activation,power_mw*hours_per_day,capacity_mwh),MIN(DAMAS_Daily!D28*market_share_C*acceptance_rate*stack_activation,power_mw*hours_per_day,capacity_mwh))</f>
        <v/>
      </c>
      <c r="L28" s="42">
        <f>IF(K28&gt;=capacity_mwh-0.01,"yes","no")</f>
        <v/>
      </c>
      <c r="M28" s="23">
        <f>IF(C28="aFRR+",(MIN(DAMAS_Daily!C28*market_share_C*acceptance_rate*stack_activation,power_mw*hours_per_day,capacity_mwh))*DAMAS_Daily!E28*activation_mult_C,(MIN(DAMAS_Daily!D28*market_share_C*acceptance_rate*stack_activation,power_mw*hours_per_day,capacity_mwh))*DAMAS_Daily!F28*activation_mult_C)</f>
        <v/>
      </c>
      <c r="N28" s="24">
        <f>F28+M28</f>
        <v/>
      </c>
    </row>
    <row r="29">
      <c r="A29" s="41">
        <f>DAMAS_Daily!A29</f>
        <v/>
      </c>
      <c r="B29" s="42">
        <f>DAMAS_Daily!B29</f>
        <v/>
      </c>
      <c r="C29" s="42">
        <f>IF((power_mw*hours_per_day*damas_afrr_up*capacity_mult_C*stack_capacity*acceptance_rate+(MIN(DAMAS_Daily!C29*market_share_C*acceptance_rate*stack_activation,power_mw*hours_per_day,capacity_mwh))*DAMAS_Daily!E29*activation_mult_C)&gt;=(power_mw*hours_per_day*damas_afrr_down*capacity_mult_C*stack_capacity*acceptance_rate+(MIN(DAMAS_Daily!D29*market_share_C*acceptance_rate*stack_activation,power_mw*hours_per_day,capacity_mwh))*DAMAS_Daily!F29*activation_mult_C),"aFRR+","aFRR-")</f>
        <v/>
      </c>
      <c r="D29" s="43">
        <f>IF(C29="aFRR+",damas_afrr_up*capacity_mult_C,damas_afrr_down*capacity_mult_C)</f>
        <v/>
      </c>
      <c r="E29" s="44">
        <f>acceptance_rate</f>
        <v/>
      </c>
      <c r="F29" s="23">
        <f>IF(C29="aFRR+",power_mw*hours_per_day*damas_afrr_up*capacity_mult_C*stack_capacity*acceptance_rate,power_mw*hours_per_day*damas_afrr_down*capacity_mult_C*stack_capacity*acceptance_rate)</f>
        <v/>
      </c>
      <c r="G29" s="42">
        <f>IF(C29="aFRR+",DAMAS_Daily!I29,DAMAS_Daily!J29)</f>
        <v/>
      </c>
      <c r="H29" s="43">
        <f>IF(C29="aFRR+",DAMAS_Daily!E29,DAMAS_Daily!F29)</f>
        <v/>
      </c>
      <c r="I29" s="43">
        <f>IF(C29="aFRR+",DAMAS_Daily!G29,DAMAS_Daily!H29)</f>
        <v/>
      </c>
      <c r="J29" s="45">
        <f>IF(C29="aFRR+",DAMAS_Daily!C29,DAMAS_Daily!D29)</f>
        <v/>
      </c>
      <c r="K29" s="45">
        <f>IF(C29="aFRR+",MIN(DAMAS_Daily!C29*market_share_C*acceptance_rate*stack_activation,power_mw*hours_per_day,capacity_mwh),MIN(DAMAS_Daily!D29*market_share_C*acceptance_rate*stack_activation,power_mw*hours_per_day,capacity_mwh))</f>
        <v/>
      </c>
      <c r="L29" s="42">
        <f>IF(K29&gt;=capacity_mwh-0.01,"yes","no")</f>
        <v/>
      </c>
      <c r="M29" s="23">
        <f>IF(C29="aFRR+",(MIN(DAMAS_Daily!C29*market_share_C*acceptance_rate*stack_activation,power_mw*hours_per_day,capacity_mwh))*DAMAS_Daily!E29*activation_mult_C,(MIN(DAMAS_Daily!D29*market_share_C*acceptance_rate*stack_activation,power_mw*hours_per_day,capacity_mwh))*DAMAS_Daily!F29*activation_mult_C)</f>
        <v/>
      </c>
      <c r="N29" s="24">
        <f>F29+M29</f>
        <v/>
      </c>
    </row>
    <row r="30">
      <c r="A30" s="41">
        <f>DAMAS_Daily!A30</f>
        <v/>
      </c>
      <c r="B30" s="42">
        <f>DAMAS_Daily!B30</f>
        <v/>
      </c>
      <c r="C30" s="42">
        <f>IF((power_mw*hours_per_day*damas_afrr_up*capacity_mult_C*stack_capacity*acceptance_rate+(MIN(DAMAS_Daily!C30*market_share_C*acceptance_rate*stack_activation,power_mw*hours_per_day,capacity_mwh))*DAMAS_Daily!E30*activation_mult_C)&gt;=(power_mw*hours_per_day*damas_afrr_down*capacity_mult_C*stack_capacity*acceptance_rate+(MIN(DAMAS_Daily!D30*market_share_C*acceptance_rate*stack_activation,power_mw*hours_per_day,capacity_mwh))*DAMAS_Daily!F30*activation_mult_C),"aFRR+","aFRR-")</f>
        <v/>
      </c>
      <c r="D30" s="43">
        <f>IF(C30="aFRR+",damas_afrr_up*capacity_mult_C,damas_afrr_down*capacity_mult_C)</f>
        <v/>
      </c>
      <c r="E30" s="44">
        <f>acceptance_rate</f>
        <v/>
      </c>
      <c r="F30" s="23">
        <f>IF(C30="aFRR+",power_mw*hours_per_day*damas_afrr_up*capacity_mult_C*stack_capacity*acceptance_rate,power_mw*hours_per_day*damas_afrr_down*capacity_mult_C*stack_capacity*acceptance_rate)</f>
        <v/>
      </c>
      <c r="G30" s="42">
        <f>IF(C30="aFRR+",DAMAS_Daily!I30,DAMAS_Daily!J30)</f>
        <v/>
      </c>
      <c r="H30" s="43">
        <f>IF(C30="aFRR+",DAMAS_Daily!E30,DAMAS_Daily!F30)</f>
        <v/>
      </c>
      <c r="I30" s="43">
        <f>IF(C30="aFRR+",DAMAS_Daily!G30,DAMAS_Daily!H30)</f>
        <v/>
      </c>
      <c r="J30" s="45">
        <f>IF(C30="aFRR+",DAMAS_Daily!C30,DAMAS_Daily!D30)</f>
        <v/>
      </c>
      <c r="K30" s="45">
        <f>IF(C30="aFRR+",MIN(DAMAS_Daily!C30*market_share_C*acceptance_rate*stack_activation,power_mw*hours_per_day,capacity_mwh),MIN(DAMAS_Daily!D30*market_share_C*acceptance_rate*stack_activation,power_mw*hours_per_day,capacity_mwh))</f>
        <v/>
      </c>
      <c r="L30" s="42">
        <f>IF(K30&gt;=capacity_mwh-0.01,"yes","no")</f>
        <v/>
      </c>
      <c r="M30" s="23">
        <f>IF(C30="aFRR+",(MIN(DAMAS_Daily!C30*market_share_C*acceptance_rate*stack_activation,power_mw*hours_per_day,capacity_mwh))*DAMAS_Daily!E30*activation_mult_C,(MIN(DAMAS_Daily!D30*market_share_C*acceptance_rate*stack_activation,power_mw*hours_per_day,capacity_mwh))*DAMAS_Daily!F30*activation_mult_C)</f>
        <v/>
      </c>
      <c r="N30" s="24">
        <f>F30+M30</f>
        <v/>
      </c>
    </row>
    <row r="31">
      <c r="A31" s="41">
        <f>DAMAS_Daily!A31</f>
        <v/>
      </c>
      <c r="B31" s="42">
        <f>DAMAS_Daily!B31</f>
        <v/>
      </c>
      <c r="C31" s="42">
        <f>IF((power_mw*hours_per_day*damas_afrr_up*capacity_mult_C*stack_capacity*acceptance_rate+(MIN(DAMAS_Daily!C31*market_share_C*acceptance_rate*stack_activation,power_mw*hours_per_day,capacity_mwh))*DAMAS_Daily!E31*activation_mult_C)&gt;=(power_mw*hours_per_day*damas_afrr_down*capacity_mult_C*stack_capacity*acceptance_rate+(MIN(DAMAS_Daily!D31*market_share_C*acceptance_rate*stack_activation,power_mw*hours_per_day,capacity_mwh))*DAMAS_Daily!F31*activation_mult_C),"aFRR+","aFRR-")</f>
        <v/>
      </c>
      <c r="D31" s="43">
        <f>IF(C31="aFRR+",damas_afrr_up*capacity_mult_C,damas_afrr_down*capacity_mult_C)</f>
        <v/>
      </c>
      <c r="E31" s="44">
        <f>acceptance_rate</f>
        <v/>
      </c>
      <c r="F31" s="23">
        <f>IF(C31="aFRR+",power_mw*hours_per_day*damas_afrr_up*capacity_mult_C*stack_capacity*acceptance_rate,power_mw*hours_per_day*damas_afrr_down*capacity_mult_C*stack_capacity*acceptance_rate)</f>
        <v/>
      </c>
      <c r="G31" s="42">
        <f>IF(C31="aFRR+",DAMAS_Daily!I31,DAMAS_Daily!J31)</f>
        <v/>
      </c>
      <c r="H31" s="43">
        <f>IF(C31="aFRR+",DAMAS_Daily!E31,DAMAS_Daily!F31)</f>
        <v/>
      </c>
      <c r="I31" s="43">
        <f>IF(C31="aFRR+",DAMAS_Daily!G31,DAMAS_Daily!H31)</f>
        <v/>
      </c>
      <c r="J31" s="45">
        <f>IF(C31="aFRR+",DAMAS_Daily!C31,DAMAS_Daily!D31)</f>
        <v/>
      </c>
      <c r="K31" s="45">
        <f>IF(C31="aFRR+",MIN(DAMAS_Daily!C31*market_share_C*acceptance_rate*stack_activation,power_mw*hours_per_day,capacity_mwh),MIN(DAMAS_Daily!D31*market_share_C*acceptance_rate*stack_activation,power_mw*hours_per_day,capacity_mwh))</f>
        <v/>
      </c>
      <c r="L31" s="42">
        <f>IF(K31&gt;=capacity_mwh-0.01,"yes","no")</f>
        <v/>
      </c>
      <c r="M31" s="23">
        <f>IF(C31="aFRR+",(MIN(DAMAS_Daily!C31*market_share_C*acceptance_rate*stack_activation,power_mw*hours_per_day,capacity_mwh))*DAMAS_Daily!E31*activation_mult_C,(MIN(DAMAS_Daily!D31*market_share_C*acceptance_rate*stack_activation,power_mw*hours_per_day,capacity_mwh))*DAMAS_Daily!F31*activation_mult_C)</f>
        <v/>
      </c>
      <c r="N31" s="24">
        <f>F31+M31</f>
        <v/>
      </c>
    </row>
    <row r="32">
      <c r="A32" s="41">
        <f>DAMAS_Daily!A32</f>
        <v/>
      </c>
      <c r="B32" s="42">
        <f>DAMAS_Daily!B32</f>
        <v/>
      </c>
      <c r="C32" s="42">
        <f>IF((power_mw*hours_per_day*damas_afrr_up*capacity_mult_C*stack_capacity*acceptance_rate+(MIN(DAMAS_Daily!C32*market_share_C*acceptance_rate*stack_activation,power_mw*hours_per_day,capacity_mwh))*DAMAS_Daily!E32*activation_mult_C)&gt;=(power_mw*hours_per_day*damas_afrr_down*capacity_mult_C*stack_capacity*acceptance_rate+(MIN(DAMAS_Daily!D32*market_share_C*acceptance_rate*stack_activation,power_mw*hours_per_day,capacity_mwh))*DAMAS_Daily!F32*activation_mult_C),"aFRR+","aFRR-")</f>
        <v/>
      </c>
      <c r="D32" s="43">
        <f>IF(C32="aFRR+",damas_afrr_up*capacity_mult_C,damas_afrr_down*capacity_mult_C)</f>
        <v/>
      </c>
      <c r="E32" s="44">
        <f>acceptance_rate</f>
        <v/>
      </c>
      <c r="F32" s="23">
        <f>IF(C32="aFRR+",power_mw*hours_per_day*damas_afrr_up*capacity_mult_C*stack_capacity*acceptance_rate,power_mw*hours_per_day*damas_afrr_down*capacity_mult_C*stack_capacity*acceptance_rate)</f>
        <v/>
      </c>
      <c r="G32" s="42">
        <f>IF(C32="aFRR+",DAMAS_Daily!I32,DAMAS_Daily!J32)</f>
        <v/>
      </c>
      <c r="H32" s="43">
        <f>IF(C32="aFRR+",DAMAS_Daily!E32,DAMAS_Daily!F32)</f>
        <v/>
      </c>
      <c r="I32" s="43">
        <f>IF(C32="aFRR+",DAMAS_Daily!G32,DAMAS_Daily!H32)</f>
        <v/>
      </c>
      <c r="J32" s="45">
        <f>IF(C32="aFRR+",DAMAS_Daily!C32,DAMAS_Daily!D32)</f>
        <v/>
      </c>
      <c r="K32" s="45">
        <f>IF(C32="aFRR+",MIN(DAMAS_Daily!C32*market_share_C*acceptance_rate*stack_activation,power_mw*hours_per_day,capacity_mwh),MIN(DAMAS_Daily!D32*market_share_C*acceptance_rate*stack_activation,power_mw*hours_per_day,capacity_mwh))</f>
        <v/>
      </c>
      <c r="L32" s="42">
        <f>IF(K32&gt;=capacity_mwh-0.01,"yes","no")</f>
        <v/>
      </c>
      <c r="M32" s="23">
        <f>IF(C32="aFRR+",(MIN(DAMAS_Daily!C32*market_share_C*acceptance_rate*stack_activation,power_mw*hours_per_day,capacity_mwh))*DAMAS_Daily!E32*activation_mult_C,(MIN(DAMAS_Daily!D32*market_share_C*acceptance_rate*stack_activation,power_mw*hours_per_day,capacity_mwh))*DAMAS_Daily!F32*activation_mult_C)</f>
        <v/>
      </c>
      <c r="N32" s="24">
        <f>F32+M32</f>
        <v/>
      </c>
    </row>
    <row r="33">
      <c r="A33" s="41">
        <f>DAMAS_Daily!A33</f>
        <v/>
      </c>
      <c r="B33" s="42">
        <f>DAMAS_Daily!B33</f>
        <v/>
      </c>
      <c r="C33" s="42">
        <f>IF((power_mw*hours_per_day*damas_afrr_up*capacity_mult_C*stack_capacity*acceptance_rate+(MIN(DAMAS_Daily!C33*market_share_C*acceptance_rate*stack_activation,power_mw*hours_per_day,capacity_mwh))*DAMAS_Daily!E33*activation_mult_C)&gt;=(power_mw*hours_per_day*damas_afrr_down*capacity_mult_C*stack_capacity*acceptance_rate+(MIN(DAMAS_Daily!D33*market_share_C*acceptance_rate*stack_activation,power_mw*hours_per_day,capacity_mwh))*DAMAS_Daily!F33*activation_mult_C),"aFRR+","aFRR-")</f>
        <v/>
      </c>
      <c r="D33" s="43">
        <f>IF(C33="aFRR+",damas_afrr_up*capacity_mult_C,damas_afrr_down*capacity_mult_C)</f>
        <v/>
      </c>
      <c r="E33" s="44">
        <f>acceptance_rate</f>
        <v/>
      </c>
      <c r="F33" s="23">
        <f>IF(C33="aFRR+",power_mw*hours_per_day*damas_afrr_up*capacity_mult_C*stack_capacity*acceptance_rate,power_mw*hours_per_day*damas_afrr_down*capacity_mult_C*stack_capacity*acceptance_rate)</f>
        <v/>
      </c>
      <c r="G33" s="42">
        <f>IF(C33="aFRR+",DAMAS_Daily!I33,DAMAS_Daily!J33)</f>
        <v/>
      </c>
      <c r="H33" s="43">
        <f>IF(C33="aFRR+",DAMAS_Daily!E33,DAMAS_Daily!F33)</f>
        <v/>
      </c>
      <c r="I33" s="43">
        <f>IF(C33="aFRR+",DAMAS_Daily!G33,DAMAS_Daily!H33)</f>
        <v/>
      </c>
      <c r="J33" s="45">
        <f>IF(C33="aFRR+",DAMAS_Daily!C33,DAMAS_Daily!D33)</f>
        <v/>
      </c>
      <c r="K33" s="45">
        <f>IF(C33="aFRR+",MIN(DAMAS_Daily!C33*market_share_C*acceptance_rate*stack_activation,power_mw*hours_per_day,capacity_mwh),MIN(DAMAS_Daily!D33*market_share_C*acceptance_rate*stack_activation,power_mw*hours_per_day,capacity_mwh))</f>
        <v/>
      </c>
      <c r="L33" s="42">
        <f>IF(K33&gt;=capacity_mwh-0.01,"yes","no")</f>
        <v/>
      </c>
      <c r="M33" s="23">
        <f>IF(C33="aFRR+",(MIN(DAMAS_Daily!C33*market_share_C*acceptance_rate*stack_activation,power_mw*hours_per_day,capacity_mwh))*DAMAS_Daily!E33*activation_mult_C,(MIN(DAMAS_Daily!D33*market_share_C*acceptance_rate*stack_activation,power_mw*hours_per_day,capacity_mwh))*DAMAS_Daily!F33*activation_mult_C)</f>
        <v/>
      </c>
      <c r="N33" s="24">
        <f>F33+M33</f>
        <v/>
      </c>
    </row>
    <row r="34">
      <c r="A34" s="41">
        <f>DAMAS_Daily!A34</f>
        <v/>
      </c>
      <c r="B34" s="42">
        <f>DAMAS_Daily!B34</f>
        <v/>
      </c>
      <c r="C34" s="42">
        <f>IF((power_mw*hours_per_day*damas_afrr_up*capacity_mult_C*stack_capacity*acceptance_rate+(MIN(DAMAS_Daily!C34*market_share_C*acceptance_rate*stack_activation,power_mw*hours_per_day,capacity_mwh))*DAMAS_Daily!E34*activation_mult_C)&gt;=(power_mw*hours_per_day*damas_afrr_down*capacity_mult_C*stack_capacity*acceptance_rate+(MIN(DAMAS_Daily!D34*market_share_C*acceptance_rate*stack_activation,power_mw*hours_per_day,capacity_mwh))*DAMAS_Daily!F34*activation_mult_C),"aFRR+","aFRR-")</f>
        <v/>
      </c>
      <c r="D34" s="43">
        <f>IF(C34="aFRR+",damas_afrr_up*capacity_mult_C,damas_afrr_down*capacity_mult_C)</f>
        <v/>
      </c>
      <c r="E34" s="44">
        <f>acceptance_rate</f>
        <v/>
      </c>
      <c r="F34" s="23">
        <f>IF(C34="aFRR+",power_mw*hours_per_day*damas_afrr_up*capacity_mult_C*stack_capacity*acceptance_rate,power_mw*hours_per_day*damas_afrr_down*capacity_mult_C*stack_capacity*acceptance_rate)</f>
        <v/>
      </c>
      <c r="G34" s="42">
        <f>IF(C34="aFRR+",DAMAS_Daily!I34,DAMAS_Daily!J34)</f>
        <v/>
      </c>
      <c r="H34" s="43">
        <f>IF(C34="aFRR+",DAMAS_Daily!E34,DAMAS_Daily!F34)</f>
        <v/>
      </c>
      <c r="I34" s="43">
        <f>IF(C34="aFRR+",DAMAS_Daily!G34,DAMAS_Daily!H34)</f>
        <v/>
      </c>
      <c r="J34" s="45">
        <f>IF(C34="aFRR+",DAMAS_Daily!C34,DAMAS_Daily!D34)</f>
        <v/>
      </c>
      <c r="K34" s="45">
        <f>IF(C34="aFRR+",MIN(DAMAS_Daily!C34*market_share_C*acceptance_rate*stack_activation,power_mw*hours_per_day,capacity_mwh),MIN(DAMAS_Daily!D34*market_share_C*acceptance_rate*stack_activation,power_mw*hours_per_day,capacity_mwh))</f>
        <v/>
      </c>
      <c r="L34" s="42">
        <f>IF(K34&gt;=capacity_mwh-0.01,"yes","no")</f>
        <v/>
      </c>
      <c r="M34" s="23">
        <f>IF(C34="aFRR+",(MIN(DAMAS_Daily!C34*market_share_C*acceptance_rate*stack_activation,power_mw*hours_per_day,capacity_mwh))*DAMAS_Daily!E34*activation_mult_C,(MIN(DAMAS_Daily!D34*market_share_C*acceptance_rate*stack_activation,power_mw*hours_per_day,capacity_mwh))*DAMAS_Daily!F34*activation_mult_C)</f>
        <v/>
      </c>
      <c r="N34" s="24">
        <f>F34+M34</f>
        <v/>
      </c>
    </row>
    <row r="35">
      <c r="A35" s="41">
        <f>DAMAS_Daily!A35</f>
        <v/>
      </c>
      <c r="B35" s="42">
        <f>DAMAS_Daily!B35</f>
        <v/>
      </c>
      <c r="C35" s="42">
        <f>IF((power_mw*hours_per_day*damas_afrr_up*capacity_mult_C*stack_capacity*acceptance_rate+(MIN(DAMAS_Daily!C35*market_share_C*acceptance_rate*stack_activation,power_mw*hours_per_day,capacity_mwh))*DAMAS_Daily!E35*activation_mult_C)&gt;=(power_mw*hours_per_day*damas_afrr_down*capacity_mult_C*stack_capacity*acceptance_rate+(MIN(DAMAS_Daily!D35*market_share_C*acceptance_rate*stack_activation,power_mw*hours_per_day,capacity_mwh))*DAMAS_Daily!F35*activation_mult_C),"aFRR+","aFRR-")</f>
        <v/>
      </c>
      <c r="D35" s="43">
        <f>IF(C35="aFRR+",damas_afrr_up*capacity_mult_C,damas_afrr_down*capacity_mult_C)</f>
        <v/>
      </c>
      <c r="E35" s="44">
        <f>acceptance_rate</f>
        <v/>
      </c>
      <c r="F35" s="23">
        <f>IF(C35="aFRR+",power_mw*hours_per_day*damas_afrr_up*capacity_mult_C*stack_capacity*acceptance_rate,power_mw*hours_per_day*damas_afrr_down*capacity_mult_C*stack_capacity*acceptance_rate)</f>
        <v/>
      </c>
      <c r="G35" s="42">
        <f>IF(C35="aFRR+",DAMAS_Daily!I35,DAMAS_Daily!J35)</f>
        <v/>
      </c>
      <c r="H35" s="43">
        <f>IF(C35="aFRR+",DAMAS_Daily!E35,DAMAS_Daily!F35)</f>
        <v/>
      </c>
      <c r="I35" s="43">
        <f>IF(C35="aFRR+",DAMAS_Daily!G35,DAMAS_Daily!H35)</f>
        <v/>
      </c>
      <c r="J35" s="45">
        <f>IF(C35="aFRR+",DAMAS_Daily!C35,DAMAS_Daily!D35)</f>
        <v/>
      </c>
      <c r="K35" s="45">
        <f>IF(C35="aFRR+",MIN(DAMAS_Daily!C35*market_share_C*acceptance_rate*stack_activation,power_mw*hours_per_day,capacity_mwh),MIN(DAMAS_Daily!D35*market_share_C*acceptance_rate*stack_activation,power_mw*hours_per_day,capacity_mwh))</f>
        <v/>
      </c>
      <c r="L35" s="42">
        <f>IF(K35&gt;=capacity_mwh-0.01,"yes","no")</f>
        <v/>
      </c>
      <c r="M35" s="23">
        <f>IF(C35="aFRR+",(MIN(DAMAS_Daily!C35*market_share_C*acceptance_rate*stack_activation,power_mw*hours_per_day,capacity_mwh))*DAMAS_Daily!E35*activation_mult_C,(MIN(DAMAS_Daily!D35*market_share_C*acceptance_rate*stack_activation,power_mw*hours_per_day,capacity_mwh))*DAMAS_Daily!F35*activation_mult_C)</f>
        <v/>
      </c>
      <c r="N35" s="24">
        <f>F35+M35</f>
        <v/>
      </c>
    </row>
    <row r="36">
      <c r="A36" s="41">
        <f>DAMAS_Daily!A36</f>
        <v/>
      </c>
      <c r="B36" s="42">
        <f>DAMAS_Daily!B36</f>
        <v/>
      </c>
      <c r="C36" s="42">
        <f>IF((power_mw*hours_per_day*damas_afrr_up*capacity_mult_C*stack_capacity*acceptance_rate+(MIN(DAMAS_Daily!C36*market_share_C*acceptance_rate*stack_activation,power_mw*hours_per_day,capacity_mwh))*DAMAS_Daily!E36*activation_mult_C)&gt;=(power_mw*hours_per_day*damas_afrr_down*capacity_mult_C*stack_capacity*acceptance_rate+(MIN(DAMAS_Daily!D36*market_share_C*acceptance_rate*stack_activation,power_mw*hours_per_day,capacity_mwh))*DAMAS_Daily!F36*activation_mult_C),"aFRR+","aFRR-")</f>
        <v/>
      </c>
      <c r="D36" s="43">
        <f>IF(C36="aFRR+",damas_afrr_up*capacity_mult_C,damas_afrr_down*capacity_mult_C)</f>
        <v/>
      </c>
      <c r="E36" s="44">
        <f>acceptance_rate</f>
        <v/>
      </c>
      <c r="F36" s="23">
        <f>IF(C36="aFRR+",power_mw*hours_per_day*damas_afrr_up*capacity_mult_C*stack_capacity*acceptance_rate,power_mw*hours_per_day*damas_afrr_down*capacity_mult_C*stack_capacity*acceptance_rate)</f>
        <v/>
      </c>
      <c r="G36" s="42">
        <f>IF(C36="aFRR+",DAMAS_Daily!I36,DAMAS_Daily!J36)</f>
        <v/>
      </c>
      <c r="H36" s="43">
        <f>IF(C36="aFRR+",DAMAS_Daily!E36,DAMAS_Daily!F36)</f>
        <v/>
      </c>
      <c r="I36" s="43">
        <f>IF(C36="aFRR+",DAMAS_Daily!G36,DAMAS_Daily!H36)</f>
        <v/>
      </c>
      <c r="J36" s="45">
        <f>IF(C36="aFRR+",DAMAS_Daily!C36,DAMAS_Daily!D36)</f>
        <v/>
      </c>
      <c r="K36" s="45">
        <f>IF(C36="aFRR+",MIN(DAMAS_Daily!C36*market_share_C*acceptance_rate*stack_activation,power_mw*hours_per_day,capacity_mwh),MIN(DAMAS_Daily!D36*market_share_C*acceptance_rate*stack_activation,power_mw*hours_per_day,capacity_mwh))</f>
        <v/>
      </c>
      <c r="L36" s="42">
        <f>IF(K36&gt;=capacity_mwh-0.01,"yes","no")</f>
        <v/>
      </c>
      <c r="M36" s="23">
        <f>IF(C36="aFRR+",(MIN(DAMAS_Daily!C36*market_share_C*acceptance_rate*stack_activation,power_mw*hours_per_day,capacity_mwh))*DAMAS_Daily!E36*activation_mult_C,(MIN(DAMAS_Daily!D36*market_share_C*acceptance_rate*stack_activation,power_mw*hours_per_day,capacity_mwh))*DAMAS_Daily!F36*activation_mult_C)</f>
        <v/>
      </c>
      <c r="N36" s="24">
        <f>F36+M36</f>
        <v/>
      </c>
    </row>
    <row r="37">
      <c r="A37" s="41">
        <f>DAMAS_Daily!A37</f>
        <v/>
      </c>
      <c r="B37" s="42">
        <f>DAMAS_Daily!B37</f>
        <v/>
      </c>
      <c r="C37" s="42">
        <f>IF((power_mw*hours_per_day*damas_afrr_up*capacity_mult_C*stack_capacity*acceptance_rate+(MIN(DAMAS_Daily!C37*market_share_C*acceptance_rate*stack_activation,power_mw*hours_per_day,capacity_mwh))*DAMAS_Daily!E37*activation_mult_C)&gt;=(power_mw*hours_per_day*damas_afrr_down*capacity_mult_C*stack_capacity*acceptance_rate+(MIN(DAMAS_Daily!D37*market_share_C*acceptance_rate*stack_activation,power_mw*hours_per_day,capacity_mwh))*DAMAS_Daily!F37*activation_mult_C),"aFRR+","aFRR-")</f>
        <v/>
      </c>
      <c r="D37" s="43">
        <f>IF(C37="aFRR+",damas_afrr_up*capacity_mult_C,damas_afrr_down*capacity_mult_C)</f>
        <v/>
      </c>
      <c r="E37" s="44">
        <f>acceptance_rate</f>
        <v/>
      </c>
      <c r="F37" s="23">
        <f>IF(C37="aFRR+",power_mw*hours_per_day*damas_afrr_up*capacity_mult_C*stack_capacity*acceptance_rate,power_mw*hours_per_day*damas_afrr_down*capacity_mult_C*stack_capacity*acceptance_rate)</f>
        <v/>
      </c>
      <c r="G37" s="42">
        <f>IF(C37="aFRR+",DAMAS_Daily!I37,DAMAS_Daily!J37)</f>
        <v/>
      </c>
      <c r="H37" s="43">
        <f>IF(C37="aFRR+",DAMAS_Daily!E37,DAMAS_Daily!F37)</f>
        <v/>
      </c>
      <c r="I37" s="43">
        <f>IF(C37="aFRR+",DAMAS_Daily!G37,DAMAS_Daily!H37)</f>
        <v/>
      </c>
      <c r="J37" s="45">
        <f>IF(C37="aFRR+",DAMAS_Daily!C37,DAMAS_Daily!D37)</f>
        <v/>
      </c>
      <c r="K37" s="45">
        <f>IF(C37="aFRR+",MIN(DAMAS_Daily!C37*market_share_C*acceptance_rate*stack_activation,power_mw*hours_per_day,capacity_mwh),MIN(DAMAS_Daily!D37*market_share_C*acceptance_rate*stack_activation,power_mw*hours_per_day,capacity_mwh))</f>
        <v/>
      </c>
      <c r="L37" s="42">
        <f>IF(K37&gt;=capacity_mwh-0.01,"yes","no")</f>
        <v/>
      </c>
      <c r="M37" s="23">
        <f>IF(C37="aFRR+",(MIN(DAMAS_Daily!C37*market_share_C*acceptance_rate*stack_activation,power_mw*hours_per_day,capacity_mwh))*DAMAS_Daily!E37*activation_mult_C,(MIN(DAMAS_Daily!D37*market_share_C*acceptance_rate*stack_activation,power_mw*hours_per_day,capacity_mwh))*DAMAS_Daily!F37*activation_mult_C)</f>
        <v/>
      </c>
      <c r="N37" s="24">
        <f>F37+M37</f>
        <v/>
      </c>
    </row>
    <row r="38">
      <c r="A38" s="41">
        <f>DAMAS_Daily!A38</f>
        <v/>
      </c>
      <c r="B38" s="42">
        <f>DAMAS_Daily!B38</f>
        <v/>
      </c>
      <c r="C38" s="42">
        <f>IF((power_mw*hours_per_day*damas_afrr_up*capacity_mult_C*stack_capacity*acceptance_rate+(MIN(DAMAS_Daily!C38*market_share_C*acceptance_rate*stack_activation,power_mw*hours_per_day,capacity_mwh))*DAMAS_Daily!E38*activation_mult_C)&gt;=(power_mw*hours_per_day*damas_afrr_down*capacity_mult_C*stack_capacity*acceptance_rate+(MIN(DAMAS_Daily!D38*market_share_C*acceptance_rate*stack_activation,power_mw*hours_per_day,capacity_mwh))*DAMAS_Daily!F38*activation_mult_C),"aFRR+","aFRR-")</f>
        <v/>
      </c>
      <c r="D38" s="43">
        <f>IF(C38="aFRR+",damas_afrr_up*capacity_mult_C,damas_afrr_down*capacity_mult_C)</f>
        <v/>
      </c>
      <c r="E38" s="44">
        <f>acceptance_rate</f>
        <v/>
      </c>
      <c r="F38" s="23">
        <f>IF(C38="aFRR+",power_mw*hours_per_day*damas_afrr_up*capacity_mult_C*stack_capacity*acceptance_rate,power_mw*hours_per_day*damas_afrr_down*capacity_mult_C*stack_capacity*acceptance_rate)</f>
        <v/>
      </c>
      <c r="G38" s="42">
        <f>IF(C38="aFRR+",DAMAS_Daily!I38,DAMAS_Daily!J38)</f>
        <v/>
      </c>
      <c r="H38" s="43">
        <f>IF(C38="aFRR+",DAMAS_Daily!E38,DAMAS_Daily!F38)</f>
        <v/>
      </c>
      <c r="I38" s="43">
        <f>IF(C38="aFRR+",DAMAS_Daily!G38,DAMAS_Daily!H38)</f>
        <v/>
      </c>
      <c r="J38" s="45">
        <f>IF(C38="aFRR+",DAMAS_Daily!C38,DAMAS_Daily!D38)</f>
        <v/>
      </c>
      <c r="K38" s="45">
        <f>IF(C38="aFRR+",MIN(DAMAS_Daily!C38*market_share_C*acceptance_rate*stack_activation,power_mw*hours_per_day,capacity_mwh),MIN(DAMAS_Daily!D38*market_share_C*acceptance_rate*stack_activation,power_mw*hours_per_day,capacity_mwh))</f>
        <v/>
      </c>
      <c r="L38" s="42">
        <f>IF(K38&gt;=capacity_mwh-0.01,"yes","no")</f>
        <v/>
      </c>
      <c r="M38" s="23">
        <f>IF(C38="aFRR+",(MIN(DAMAS_Daily!C38*market_share_C*acceptance_rate*stack_activation,power_mw*hours_per_day,capacity_mwh))*DAMAS_Daily!E38*activation_mult_C,(MIN(DAMAS_Daily!D38*market_share_C*acceptance_rate*stack_activation,power_mw*hours_per_day,capacity_mwh))*DAMAS_Daily!F38*activation_mult_C)</f>
        <v/>
      </c>
      <c r="N38" s="24">
        <f>F38+M38</f>
        <v/>
      </c>
    </row>
    <row r="39">
      <c r="A39" s="41">
        <f>DAMAS_Daily!A39</f>
        <v/>
      </c>
      <c r="B39" s="42">
        <f>DAMAS_Daily!B39</f>
        <v/>
      </c>
      <c r="C39" s="42">
        <f>IF((power_mw*hours_per_day*damas_afrr_up*capacity_mult_C*stack_capacity*acceptance_rate+(MIN(DAMAS_Daily!C39*market_share_C*acceptance_rate*stack_activation,power_mw*hours_per_day,capacity_mwh))*DAMAS_Daily!E39*activation_mult_C)&gt;=(power_mw*hours_per_day*damas_afrr_down*capacity_mult_C*stack_capacity*acceptance_rate+(MIN(DAMAS_Daily!D39*market_share_C*acceptance_rate*stack_activation,power_mw*hours_per_day,capacity_mwh))*DAMAS_Daily!F39*activation_mult_C),"aFRR+","aFRR-")</f>
        <v/>
      </c>
      <c r="D39" s="43">
        <f>IF(C39="aFRR+",damas_afrr_up*capacity_mult_C,damas_afrr_down*capacity_mult_C)</f>
        <v/>
      </c>
      <c r="E39" s="44">
        <f>acceptance_rate</f>
        <v/>
      </c>
      <c r="F39" s="23">
        <f>IF(C39="aFRR+",power_mw*hours_per_day*damas_afrr_up*capacity_mult_C*stack_capacity*acceptance_rate,power_mw*hours_per_day*damas_afrr_down*capacity_mult_C*stack_capacity*acceptance_rate)</f>
        <v/>
      </c>
      <c r="G39" s="42">
        <f>IF(C39="aFRR+",DAMAS_Daily!I39,DAMAS_Daily!J39)</f>
        <v/>
      </c>
      <c r="H39" s="43">
        <f>IF(C39="aFRR+",DAMAS_Daily!E39,DAMAS_Daily!F39)</f>
        <v/>
      </c>
      <c r="I39" s="43">
        <f>IF(C39="aFRR+",DAMAS_Daily!G39,DAMAS_Daily!H39)</f>
        <v/>
      </c>
      <c r="J39" s="45">
        <f>IF(C39="aFRR+",DAMAS_Daily!C39,DAMAS_Daily!D39)</f>
        <v/>
      </c>
      <c r="K39" s="45">
        <f>IF(C39="aFRR+",MIN(DAMAS_Daily!C39*market_share_C*acceptance_rate*stack_activation,power_mw*hours_per_day,capacity_mwh),MIN(DAMAS_Daily!D39*market_share_C*acceptance_rate*stack_activation,power_mw*hours_per_day,capacity_mwh))</f>
        <v/>
      </c>
      <c r="L39" s="42">
        <f>IF(K39&gt;=capacity_mwh-0.01,"yes","no")</f>
        <v/>
      </c>
      <c r="M39" s="23">
        <f>IF(C39="aFRR+",(MIN(DAMAS_Daily!C39*market_share_C*acceptance_rate*stack_activation,power_mw*hours_per_day,capacity_mwh))*DAMAS_Daily!E39*activation_mult_C,(MIN(DAMAS_Daily!D39*market_share_C*acceptance_rate*stack_activation,power_mw*hours_per_day,capacity_mwh))*DAMAS_Daily!F39*activation_mult_C)</f>
        <v/>
      </c>
      <c r="N39" s="24">
        <f>F39+M39</f>
        <v/>
      </c>
    </row>
    <row r="40">
      <c r="A40" s="41">
        <f>DAMAS_Daily!A40</f>
        <v/>
      </c>
      <c r="B40" s="42">
        <f>DAMAS_Daily!B40</f>
        <v/>
      </c>
      <c r="C40" s="42">
        <f>IF((power_mw*hours_per_day*damas_afrr_up*capacity_mult_C*stack_capacity*acceptance_rate+(MIN(DAMAS_Daily!C40*market_share_C*acceptance_rate*stack_activation,power_mw*hours_per_day,capacity_mwh))*DAMAS_Daily!E40*activation_mult_C)&gt;=(power_mw*hours_per_day*damas_afrr_down*capacity_mult_C*stack_capacity*acceptance_rate+(MIN(DAMAS_Daily!D40*market_share_C*acceptance_rate*stack_activation,power_mw*hours_per_day,capacity_mwh))*DAMAS_Daily!F40*activation_mult_C),"aFRR+","aFRR-")</f>
        <v/>
      </c>
      <c r="D40" s="43">
        <f>IF(C40="aFRR+",damas_afrr_up*capacity_mult_C,damas_afrr_down*capacity_mult_C)</f>
        <v/>
      </c>
      <c r="E40" s="44">
        <f>acceptance_rate</f>
        <v/>
      </c>
      <c r="F40" s="23">
        <f>IF(C40="aFRR+",power_mw*hours_per_day*damas_afrr_up*capacity_mult_C*stack_capacity*acceptance_rate,power_mw*hours_per_day*damas_afrr_down*capacity_mult_C*stack_capacity*acceptance_rate)</f>
        <v/>
      </c>
      <c r="G40" s="42">
        <f>IF(C40="aFRR+",DAMAS_Daily!I40,DAMAS_Daily!J40)</f>
        <v/>
      </c>
      <c r="H40" s="43">
        <f>IF(C40="aFRR+",DAMAS_Daily!E40,DAMAS_Daily!F40)</f>
        <v/>
      </c>
      <c r="I40" s="43">
        <f>IF(C40="aFRR+",DAMAS_Daily!G40,DAMAS_Daily!H40)</f>
        <v/>
      </c>
      <c r="J40" s="45">
        <f>IF(C40="aFRR+",DAMAS_Daily!C40,DAMAS_Daily!D40)</f>
        <v/>
      </c>
      <c r="K40" s="45">
        <f>IF(C40="aFRR+",MIN(DAMAS_Daily!C40*market_share_C*acceptance_rate*stack_activation,power_mw*hours_per_day,capacity_mwh),MIN(DAMAS_Daily!D40*market_share_C*acceptance_rate*stack_activation,power_mw*hours_per_day,capacity_mwh))</f>
        <v/>
      </c>
      <c r="L40" s="42">
        <f>IF(K40&gt;=capacity_mwh-0.01,"yes","no")</f>
        <v/>
      </c>
      <c r="M40" s="23">
        <f>IF(C40="aFRR+",(MIN(DAMAS_Daily!C40*market_share_C*acceptance_rate*stack_activation,power_mw*hours_per_day,capacity_mwh))*DAMAS_Daily!E40*activation_mult_C,(MIN(DAMAS_Daily!D40*market_share_C*acceptance_rate*stack_activation,power_mw*hours_per_day,capacity_mwh))*DAMAS_Daily!F40*activation_mult_C)</f>
        <v/>
      </c>
      <c r="N40" s="24">
        <f>F40+M40</f>
        <v/>
      </c>
    </row>
    <row r="41">
      <c r="A41" s="41">
        <f>DAMAS_Daily!A41</f>
        <v/>
      </c>
      <c r="B41" s="42">
        <f>DAMAS_Daily!B41</f>
        <v/>
      </c>
      <c r="C41" s="42">
        <f>IF((power_mw*hours_per_day*damas_afrr_up*capacity_mult_C*stack_capacity*acceptance_rate+(MIN(DAMAS_Daily!C41*market_share_C*acceptance_rate*stack_activation,power_mw*hours_per_day,capacity_mwh))*DAMAS_Daily!E41*activation_mult_C)&gt;=(power_mw*hours_per_day*damas_afrr_down*capacity_mult_C*stack_capacity*acceptance_rate+(MIN(DAMAS_Daily!D41*market_share_C*acceptance_rate*stack_activation,power_mw*hours_per_day,capacity_mwh))*DAMAS_Daily!F41*activation_mult_C),"aFRR+","aFRR-")</f>
        <v/>
      </c>
      <c r="D41" s="43">
        <f>IF(C41="aFRR+",damas_afrr_up*capacity_mult_C,damas_afrr_down*capacity_mult_C)</f>
        <v/>
      </c>
      <c r="E41" s="44">
        <f>acceptance_rate</f>
        <v/>
      </c>
      <c r="F41" s="23">
        <f>IF(C41="aFRR+",power_mw*hours_per_day*damas_afrr_up*capacity_mult_C*stack_capacity*acceptance_rate,power_mw*hours_per_day*damas_afrr_down*capacity_mult_C*stack_capacity*acceptance_rate)</f>
        <v/>
      </c>
      <c r="G41" s="42">
        <f>IF(C41="aFRR+",DAMAS_Daily!I41,DAMAS_Daily!J41)</f>
        <v/>
      </c>
      <c r="H41" s="43">
        <f>IF(C41="aFRR+",DAMAS_Daily!E41,DAMAS_Daily!F41)</f>
        <v/>
      </c>
      <c r="I41" s="43">
        <f>IF(C41="aFRR+",DAMAS_Daily!G41,DAMAS_Daily!H41)</f>
        <v/>
      </c>
      <c r="J41" s="45">
        <f>IF(C41="aFRR+",DAMAS_Daily!C41,DAMAS_Daily!D41)</f>
        <v/>
      </c>
      <c r="K41" s="45">
        <f>IF(C41="aFRR+",MIN(DAMAS_Daily!C41*market_share_C*acceptance_rate*stack_activation,power_mw*hours_per_day,capacity_mwh),MIN(DAMAS_Daily!D41*market_share_C*acceptance_rate*stack_activation,power_mw*hours_per_day,capacity_mwh))</f>
        <v/>
      </c>
      <c r="L41" s="42">
        <f>IF(K41&gt;=capacity_mwh-0.01,"yes","no")</f>
        <v/>
      </c>
      <c r="M41" s="23">
        <f>IF(C41="aFRR+",(MIN(DAMAS_Daily!C41*market_share_C*acceptance_rate*stack_activation,power_mw*hours_per_day,capacity_mwh))*DAMAS_Daily!E41*activation_mult_C,(MIN(DAMAS_Daily!D41*market_share_C*acceptance_rate*stack_activation,power_mw*hours_per_day,capacity_mwh))*DAMAS_Daily!F41*activation_mult_C)</f>
        <v/>
      </c>
      <c r="N41" s="24">
        <f>F41+M41</f>
        <v/>
      </c>
    </row>
    <row r="42">
      <c r="A42" s="41">
        <f>DAMAS_Daily!A42</f>
        <v/>
      </c>
      <c r="B42" s="42">
        <f>DAMAS_Daily!B42</f>
        <v/>
      </c>
      <c r="C42" s="42">
        <f>IF((power_mw*hours_per_day*damas_afrr_up*capacity_mult_C*stack_capacity*acceptance_rate+(MIN(DAMAS_Daily!C42*market_share_C*acceptance_rate*stack_activation,power_mw*hours_per_day,capacity_mwh))*DAMAS_Daily!E42*activation_mult_C)&gt;=(power_mw*hours_per_day*damas_afrr_down*capacity_mult_C*stack_capacity*acceptance_rate+(MIN(DAMAS_Daily!D42*market_share_C*acceptance_rate*stack_activation,power_mw*hours_per_day,capacity_mwh))*DAMAS_Daily!F42*activation_mult_C),"aFRR+","aFRR-")</f>
        <v/>
      </c>
      <c r="D42" s="43">
        <f>IF(C42="aFRR+",damas_afrr_up*capacity_mult_C,damas_afrr_down*capacity_mult_C)</f>
        <v/>
      </c>
      <c r="E42" s="44">
        <f>acceptance_rate</f>
        <v/>
      </c>
      <c r="F42" s="23">
        <f>IF(C42="aFRR+",power_mw*hours_per_day*damas_afrr_up*capacity_mult_C*stack_capacity*acceptance_rate,power_mw*hours_per_day*damas_afrr_down*capacity_mult_C*stack_capacity*acceptance_rate)</f>
        <v/>
      </c>
      <c r="G42" s="42">
        <f>IF(C42="aFRR+",DAMAS_Daily!I42,DAMAS_Daily!J42)</f>
        <v/>
      </c>
      <c r="H42" s="43">
        <f>IF(C42="aFRR+",DAMAS_Daily!E42,DAMAS_Daily!F42)</f>
        <v/>
      </c>
      <c r="I42" s="43">
        <f>IF(C42="aFRR+",DAMAS_Daily!G42,DAMAS_Daily!H42)</f>
        <v/>
      </c>
      <c r="J42" s="45">
        <f>IF(C42="aFRR+",DAMAS_Daily!C42,DAMAS_Daily!D42)</f>
        <v/>
      </c>
      <c r="K42" s="45">
        <f>IF(C42="aFRR+",MIN(DAMAS_Daily!C42*market_share_C*acceptance_rate*stack_activation,power_mw*hours_per_day,capacity_mwh),MIN(DAMAS_Daily!D42*market_share_C*acceptance_rate*stack_activation,power_mw*hours_per_day,capacity_mwh))</f>
        <v/>
      </c>
      <c r="L42" s="42">
        <f>IF(K42&gt;=capacity_mwh-0.01,"yes","no")</f>
        <v/>
      </c>
      <c r="M42" s="23">
        <f>IF(C42="aFRR+",(MIN(DAMAS_Daily!C42*market_share_C*acceptance_rate*stack_activation,power_mw*hours_per_day,capacity_mwh))*DAMAS_Daily!E42*activation_mult_C,(MIN(DAMAS_Daily!D42*market_share_C*acceptance_rate*stack_activation,power_mw*hours_per_day,capacity_mwh))*DAMAS_Daily!F42*activation_mult_C)</f>
        <v/>
      </c>
      <c r="N42" s="24">
        <f>F42+M42</f>
        <v/>
      </c>
    </row>
    <row r="43">
      <c r="A43" s="41">
        <f>DAMAS_Daily!A43</f>
        <v/>
      </c>
      <c r="B43" s="42">
        <f>DAMAS_Daily!B43</f>
        <v/>
      </c>
      <c r="C43" s="42">
        <f>IF((power_mw*hours_per_day*damas_afrr_up*capacity_mult_C*stack_capacity*acceptance_rate+(MIN(DAMAS_Daily!C43*market_share_C*acceptance_rate*stack_activation,power_mw*hours_per_day,capacity_mwh))*DAMAS_Daily!E43*activation_mult_C)&gt;=(power_mw*hours_per_day*damas_afrr_down*capacity_mult_C*stack_capacity*acceptance_rate+(MIN(DAMAS_Daily!D43*market_share_C*acceptance_rate*stack_activation,power_mw*hours_per_day,capacity_mwh))*DAMAS_Daily!F43*activation_mult_C),"aFRR+","aFRR-")</f>
        <v/>
      </c>
      <c r="D43" s="43">
        <f>IF(C43="aFRR+",damas_afrr_up*capacity_mult_C,damas_afrr_down*capacity_mult_C)</f>
        <v/>
      </c>
      <c r="E43" s="44">
        <f>acceptance_rate</f>
        <v/>
      </c>
      <c r="F43" s="23">
        <f>IF(C43="aFRR+",power_mw*hours_per_day*damas_afrr_up*capacity_mult_C*stack_capacity*acceptance_rate,power_mw*hours_per_day*damas_afrr_down*capacity_mult_C*stack_capacity*acceptance_rate)</f>
        <v/>
      </c>
      <c r="G43" s="42">
        <f>IF(C43="aFRR+",DAMAS_Daily!I43,DAMAS_Daily!J43)</f>
        <v/>
      </c>
      <c r="H43" s="43">
        <f>IF(C43="aFRR+",DAMAS_Daily!E43,DAMAS_Daily!F43)</f>
        <v/>
      </c>
      <c r="I43" s="43">
        <f>IF(C43="aFRR+",DAMAS_Daily!G43,DAMAS_Daily!H43)</f>
        <v/>
      </c>
      <c r="J43" s="45">
        <f>IF(C43="aFRR+",DAMAS_Daily!C43,DAMAS_Daily!D43)</f>
        <v/>
      </c>
      <c r="K43" s="45">
        <f>IF(C43="aFRR+",MIN(DAMAS_Daily!C43*market_share_C*acceptance_rate*stack_activation,power_mw*hours_per_day,capacity_mwh),MIN(DAMAS_Daily!D43*market_share_C*acceptance_rate*stack_activation,power_mw*hours_per_day,capacity_mwh))</f>
        <v/>
      </c>
      <c r="L43" s="42">
        <f>IF(K43&gt;=capacity_mwh-0.01,"yes","no")</f>
        <v/>
      </c>
      <c r="M43" s="23">
        <f>IF(C43="aFRR+",(MIN(DAMAS_Daily!C43*market_share_C*acceptance_rate*stack_activation,power_mw*hours_per_day,capacity_mwh))*DAMAS_Daily!E43*activation_mult_C,(MIN(DAMAS_Daily!D43*market_share_C*acceptance_rate*stack_activation,power_mw*hours_per_day,capacity_mwh))*DAMAS_Daily!F43*activation_mult_C)</f>
        <v/>
      </c>
      <c r="N43" s="24">
        <f>F43+M43</f>
        <v/>
      </c>
    </row>
    <row r="44">
      <c r="A44" s="41">
        <f>DAMAS_Daily!A44</f>
        <v/>
      </c>
      <c r="B44" s="42">
        <f>DAMAS_Daily!B44</f>
        <v/>
      </c>
      <c r="C44" s="42">
        <f>IF((power_mw*hours_per_day*damas_afrr_up*capacity_mult_C*stack_capacity*acceptance_rate+(MIN(DAMAS_Daily!C44*market_share_C*acceptance_rate*stack_activation,power_mw*hours_per_day,capacity_mwh))*DAMAS_Daily!E44*activation_mult_C)&gt;=(power_mw*hours_per_day*damas_afrr_down*capacity_mult_C*stack_capacity*acceptance_rate+(MIN(DAMAS_Daily!D44*market_share_C*acceptance_rate*stack_activation,power_mw*hours_per_day,capacity_mwh))*DAMAS_Daily!F44*activation_mult_C),"aFRR+","aFRR-")</f>
        <v/>
      </c>
      <c r="D44" s="43">
        <f>IF(C44="aFRR+",damas_afrr_up*capacity_mult_C,damas_afrr_down*capacity_mult_C)</f>
        <v/>
      </c>
      <c r="E44" s="44">
        <f>acceptance_rate</f>
        <v/>
      </c>
      <c r="F44" s="23">
        <f>IF(C44="aFRR+",power_mw*hours_per_day*damas_afrr_up*capacity_mult_C*stack_capacity*acceptance_rate,power_mw*hours_per_day*damas_afrr_down*capacity_mult_C*stack_capacity*acceptance_rate)</f>
        <v/>
      </c>
      <c r="G44" s="42">
        <f>IF(C44="aFRR+",DAMAS_Daily!I44,DAMAS_Daily!J44)</f>
        <v/>
      </c>
      <c r="H44" s="43">
        <f>IF(C44="aFRR+",DAMAS_Daily!E44,DAMAS_Daily!F44)</f>
        <v/>
      </c>
      <c r="I44" s="43">
        <f>IF(C44="aFRR+",DAMAS_Daily!G44,DAMAS_Daily!H44)</f>
        <v/>
      </c>
      <c r="J44" s="45">
        <f>IF(C44="aFRR+",DAMAS_Daily!C44,DAMAS_Daily!D44)</f>
        <v/>
      </c>
      <c r="K44" s="45">
        <f>IF(C44="aFRR+",MIN(DAMAS_Daily!C44*market_share_C*acceptance_rate*stack_activation,power_mw*hours_per_day,capacity_mwh),MIN(DAMAS_Daily!D44*market_share_C*acceptance_rate*stack_activation,power_mw*hours_per_day,capacity_mwh))</f>
        <v/>
      </c>
      <c r="L44" s="42">
        <f>IF(K44&gt;=capacity_mwh-0.01,"yes","no")</f>
        <v/>
      </c>
      <c r="M44" s="23">
        <f>IF(C44="aFRR+",(MIN(DAMAS_Daily!C44*market_share_C*acceptance_rate*stack_activation,power_mw*hours_per_day,capacity_mwh))*DAMAS_Daily!E44*activation_mult_C,(MIN(DAMAS_Daily!D44*market_share_C*acceptance_rate*stack_activation,power_mw*hours_per_day,capacity_mwh))*DAMAS_Daily!F44*activation_mult_C)</f>
        <v/>
      </c>
      <c r="N44" s="24">
        <f>F44+M44</f>
        <v/>
      </c>
    </row>
    <row r="45">
      <c r="A45" s="41">
        <f>DAMAS_Daily!A45</f>
        <v/>
      </c>
      <c r="B45" s="42">
        <f>DAMAS_Daily!B45</f>
        <v/>
      </c>
      <c r="C45" s="42">
        <f>IF((power_mw*hours_per_day*damas_afrr_up*capacity_mult_C*stack_capacity*acceptance_rate+(MIN(DAMAS_Daily!C45*market_share_C*acceptance_rate*stack_activation,power_mw*hours_per_day,capacity_mwh))*DAMAS_Daily!E45*activation_mult_C)&gt;=(power_mw*hours_per_day*damas_afrr_down*capacity_mult_C*stack_capacity*acceptance_rate+(MIN(DAMAS_Daily!D45*market_share_C*acceptance_rate*stack_activation,power_mw*hours_per_day,capacity_mwh))*DAMAS_Daily!F45*activation_mult_C),"aFRR+","aFRR-")</f>
        <v/>
      </c>
      <c r="D45" s="43">
        <f>IF(C45="aFRR+",damas_afrr_up*capacity_mult_C,damas_afrr_down*capacity_mult_C)</f>
        <v/>
      </c>
      <c r="E45" s="44">
        <f>acceptance_rate</f>
        <v/>
      </c>
      <c r="F45" s="23">
        <f>IF(C45="aFRR+",power_mw*hours_per_day*damas_afrr_up*capacity_mult_C*stack_capacity*acceptance_rate,power_mw*hours_per_day*damas_afrr_down*capacity_mult_C*stack_capacity*acceptance_rate)</f>
        <v/>
      </c>
      <c r="G45" s="42">
        <f>IF(C45="aFRR+",DAMAS_Daily!I45,DAMAS_Daily!J45)</f>
        <v/>
      </c>
      <c r="H45" s="43">
        <f>IF(C45="aFRR+",DAMAS_Daily!E45,DAMAS_Daily!F45)</f>
        <v/>
      </c>
      <c r="I45" s="43">
        <f>IF(C45="aFRR+",DAMAS_Daily!G45,DAMAS_Daily!H45)</f>
        <v/>
      </c>
      <c r="J45" s="45">
        <f>IF(C45="aFRR+",DAMAS_Daily!C45,DAMAS_Daily!D45)</f>
        <v/>
      </c>
      <c r="K45" s="45">
        <f>IF(C45="aFRR+",MIN(DAMAS_Daily!C45*market_share_C*acceptance_rate*stack_activation,power_mw*hours_per_day,capacity_mwh),MIN(DAMAS_Daily!D45*market_share_C*acceptance_rate*stack_activation,power_mw*hours_per_day,capacity_mwh))</f>
        <v/>
      </c>
      <c r="L45" s="42">
        <f>IF(K45&gt;=capacity_mwh-0.01,"yes","no")</f>
        <v/>
      </c>
      <c r="M45" s="23">
        <f>IF(C45="aFRR+",(MIN(DAMAS_Daily!C45*market_share_C*acceptance_rate*stack_activation,power_mw*hours_per_day,capacity_mwh))*DAMAS_Daily!E45*activation_mult_C,(MIN(DAMAS_Daily!D45*market_share_C*acceptance_rate*stack_activation,power_mw*hours_per_day,capacity_mwh))*DAMAS_Daily!F45*activation_mult_C)</f>
        <v/>
      </c>
      <c r="N45" s="24">
        <f>F45+M45</f>
        <v/>
      </c>
    </row>
    <row r="46">
      <c r="A46" s="41">
        <f>DAMAS_Daily!A46</f>
        <v/>
      </c>
      <c r="B46" s="42">
        <f>DAMAS_Daily!B46</f>
        <v/>
      </c>
      <c r="C46" s="42">
        <f>IF((power_mw*hours_per_day*damas_afrr_up*capacity_mult_C*stack_capacity*acceptance_rate+(MIN(DAMAS_Daily!C46*market_share_C*acceptance_rate*stack_activation,power_mw*hours_per_day,capacity_mwh))*DAMAS_Daily!E46*activation_mult_C)&gt;=(power_mw*hours_per_day*damas_afrr_down*capacity_mult_C*stack_capacity*acceptance_rate+(MIN(DAMAS_Daily!D46*market_share_C*acceptance_rate*stack_activation,power_mw*hours_per_day,capacity_mwh))*DAMAS_Daily!F46*activation_mult_C),"aFRR+","aFRR-")</f>
        <v/>
      </c>
      <c r="D46" s="43">
        <f>IF(C46="aFRR+",damas_afrr_up*capacity_mult_C,damas_afrr_down*capacity_mult_C)</f>
        <v/>
      </c>
      <c r="E46" s="44">
        <f>acceptance_rate</f>
        <v/>
      </c>
      <c r="F46" s="23">
        <f>IF(C46="aFRR+",power_mw*hours_per_day*damas_afrr_up*capacity_mult_C*stack_capacity*acceptance_rate,power_mw*hours_per_day*damas_afrr_down*capacity_mult_C*stack_capacity*acceptance_rate)</f>
        <v/>
      </c>
      <c r="G46" s="42">
        <f>IF(C46="aFRR+",DAMAS_Daily!I46,DAMAS_Daily!J46)</f>
        <v/>
      </c>
      <c r="H46" s="43">
        <f>IF(C46="aFRR+",DAMAS_Daily!E46,DAMAS_Daily!F46)</f>
        <v/>
      </c>
      <c r="I46" s="43">
        <f>IF(C46="aFRR+",DAMAS_Daily!G46,DAMAS_Daily!H46)</f>
        <v/>
      </c>
      <c r="J46" s="45">
        <f>IF(C46="aFRR+",DAMAS_Daily!C46,DAMAS_Daily!D46)</f>
        <v/>
      </c>
      <c r="K46" s="45">
        <f>IF(C46="aFRR+",MIN(DAMAS_Daily!C46*market_share_C*acceptance_rate*stack_activation,power_mw*hours_per_day,capacity_mwh),MIN(DAMAS_Daily!D46*market_share_C*acceptance_rate*stack_activation,power_mw*hours_per_day,capacity_mwh))</f>
        <v/>
      </c>
      <c r="L46" s="42">
        <f>IF(K46&gt;=capacity_mwh-0.01,"yes","no")</f>
        <v/>
      </c>
      <c r="M46" s="23">
        <f>IF(C46="aFRR+",(MIN(DAMAS_Daily!C46*market_share_C*acceptance_rate*stack_activation,power_mw*hours_per_day,capacity_mwh))*DAMAS_Daily!E46*activation_mult_C,(MIN(DAMAS_Daily!D46*market_share_C*acceptance_rate*stack_activation,power_mw*hours_per_day,capacity_mwh))*DAMAS_Daily!F46*activation_mult_C)</f>
        <v/>
      </c>
      <c r="N46" s="24">
        <f>F46+M46</f>
        <v/>
      </c>
    </row>
    <row r="47">
      <c r="A47" s="41">
        <f>DAMAS_Daily!A47</f>
        <v/>
      </c>
      <c r="B47" s="42">
        <f>DAMAS_Daily!B47</f>
        <v/>
      </c>
      <c r="C47" s="42">
        <f>IF((power_mw*hours_per_day*damas_afrr_up*capacity_mult_C*stack_capacity*acceptance_rate+(MIN(DAMAS_Daily!C47*market_share_C*acceptance_rate*stack_activation,power_mw*hours_per_day,capacity_mwh))*DAMAS_Daily!E47*activation_mult_C)&gt;=(power_mw*hours_per_day*damas_afrr_down*capacity_mult_C*stack_capacity*acceptance_rate+(MIN(DAMAS_Daily!D47*market_share_C*acceptance_rate*stack_activation,power_mw*hours_per_day,capacity_mwh))*DAMAS_Daily!F47*activation_mult_C),"aFRR+","aFRR-")</f>
        <v/>
      </c>
      <c r="D47" s="43">
        <f>IF(C47="aFRR+",damas_afrr_up*capacity_mult_C,damas_afrr_down*capacity_mult_C)</f>
        <v/>
      </c>
      <c r="E47" s="44">
        <f>acceptance_rate</f>
        <v/>
      </c>
      <c r="F47" s="23">
        <f>IF(C47="aFRR+",power_mw*hours_per_day*damas_afrr_up*capacity_mult_C*stack_capacity*acceptance_rate,power_mw*hours_per_day*damas_afrr_down*capacity_mult_C*stack_capacity*acceptance_rate)</f>
        <v/>
      </c>
      <c r="G47" s="42">
        <f>IF(C47="aFRR+",DAMAS_Daily!I47,DAMAS_Daily!J47)</f>
        <v/>
      </c>
      <c r="H47" s="43">
        <f>IF(C47="aFRR+",DAMAS_Daily!E47,DAMAS_Daily!F47)</f>
        <v/>
      </c>
      <c r="I47" s="43">
        <f>IF(C47="aFRR+",DAMAS_Daily!G47,DAMAS_Daily!H47)</f>
        <v/>
      </c>
      <c r="J47" s="45">
        <f>IF(C47="aFRR+",DAMAS_Daily!C47,DAMAS_Daily!D47)</f>
        <v/>
      </c>
      <c r="K47" s="45">
        <f>IF(C47="aFRR+",MIN(DAMAS_Daily!C47*market_share_C*acceptance_rate*stack_activation,power_mw*hours_per_day,capacity_mwh),MIN(DAMAS_Daily!D47*market_share_C*acceptance_rate*stack_activation,power_mw*hours_per_day,capacity_mwh))</f>
        <v/>
      </c>
      <c r="L47" s="42">
        <f>IF(K47&gt;=capacity_mwh-0.01,"yes","no")</f>
        <v/>
      </c>
      <c r="M47" s="23">
        <f>IF(C47="aFRR+",(MIN(DAMAS_Daily!C47*market_share_C*acceptance_rate*stack_activation,power_mw*hours_per_day,capacity_mwh))*DAMAS_Daily!E47*activation_mult_C,(MIN(DAMAS_Daily!D47*market_share_C*acceptance_rate*stack_activation,power_mw*hours_per_day,capacity_mwh))*DAMAS_Daily!F47*activation_mult_C)</f>
        <v/>
      </c>
      <c r="N47" s="24">
        <f>F47+M47</f>
        <v/>
      </c>
    </row>
    <row r="48">
      <c r="A48" s="41">
        <f>DAMAS_Daily!A48</f>
        <v/>
      </c>
      <c r="B48" s="42">
        <f>DAMAS_Daily!B48</f>
        <v/>
      </c>
      <c r="C48" s="42">
        <f>IF((power_mw*hours_per_day*damas_afrr_up*capacity_mult_C*stack_capacity*acceptance_rate+(MIN(DAMAS_Daily!C48*market_share_C*acceptance_rate*stack_activation,power_mw*hours_per_day,capacity_mwh))*DAMAS_Daily!E48*activation_mult_C)&gt;=(power_mw*hours_per_day*damas_afrr_down*capacity_mult_C*stack_capacity*acceptance_rate+(MIN(DAMAS_Daily!D48*market_share_C*acceptance_rate*stack_activation,power_mw*hours_per_day,capacity_mwh))*DAMAS_Daily!F48*activation_mult_C),"aFRR+","aFRR-")</f>
        <v/>
      </c>
      <c r="D48" s="43">
        <f>IF(C48="aFRR+",damas_afrr_up*capacity_mult_C,damas_afrr_down*capacity_mult_C)</f>
        <v/>
      </c>
      <c r="E48" s="44">
        <f>acceptance_rate</f>
        <v/>
      </c>
      <c r="F48" s="23">
        <f>IF(C48="aFRR+",power_mw*hours_per_day*damas_afrr_up*capacity_mult_C*stack_capacity*acceptance_rate,power_mw*hours_per_day*damas_afrr_down*capacity_mult_C*stack_capacity*acceptance_rate)</f>
        <v/>
      </c>
      <c r="G48" s="42">
        <f>IF(C48="aFRR+",DAMAS_Daily!I48,DAMAS_Daily!J48)</f>
        <v/>
      </c>
      <c r="H48" s="43">
        <f>IF(C48="aFRR+",DAMAS_Daily!E48,DAMAS_Daily!F48)</f>
        <v/>
      </c>
      <c r="I48" s="43">
        <f>IF(C48="aFRR+",DAMAS_Daily!G48,DAMAS_Daily!H48)</f>
        <v/>
      </c>
      <c r="J48" s="45">
        <f>IF(C48="aFRR+",DAMAS_Daily!C48,DAMAS_Daily!D48)</f>
        <v/>
      </c>
      <c r="K48" s="45">
        <f>IF(C48="aFRR+",MIN(DAMAS_Daily!C48*market_share_C*acceptance_rate*stack_activation,power_mw*hours_per_day,capacity_mwh),MIN(DAMAS_Daily!D48*market_share_C*acceptance_rate*stack_activation,power_mw*hours_per_day,capacity_mwh))</f>
        <v/>
      </c>
      <c r="L48" s="42">
        <f>IF(K48&gt;=capacity_mwh-0.01,"yes","no")</f>
        <v/>
      </c>
      <c r="M48" s="23">
        <f>IF(C48="aFRR+",(MIN(DAMAS_Daily!C48*market_share_C*acceptance_rate*stack_activation,power_mw*hours_per_day,capacity_mwh))*DAMAS_Daily!E48*activation_mult_C,(MIN(DAMAS_Daily!D48*market_share_C*acceptance_rate*stack_activation,power_mw*hours_per_day,capacity_mwh))*DAMAS_Daily!F48*activation_mult_C)</f>
        <v/>
      </c>
      <c r="N48" s="24">
        <f>F48+M48</f>
        <v/>
      </c>
    </row>
    <row r="49">
      <c r="A49" s="41">
        <f>DAMAS_Daily!A49</f>
        <v/>
      </c>
      <c r="B49" s="42">
        <f>DAMAS_Daily!B49</f>
        <v/>
      </c>
      <c r="C49" s="42">
        <f>IF((power_mw*hours_per_day*damas_afrr_up*capacity_mult_C*stack_capacity*acceptance_rate+(MIN(DAMAS_Daily!C49*market_share_C*acceptance_rate*stack_activation,power_mw*hours_per_day,capacity_mwh))*DAMAS_Daily!E49*activation_mult_C)&gt;=(power_mw*hours_per_day*damas_afrr_down*capacity_mult_C*stack_capacity*acceptance_rate+(MIN(DAMAS_Daily!D49*market_share_C*acceptance_rate*stack_activation,power_mw*hours_per_day,capacity_mwh))*DAMAS_Daily!F49*activation_mult_C),"aFRR+","aFRR-")</f>
        <v/>
      </c>
      <c r="D49" s="43">
        <f>IF(C49="aFRR+",damas_afrr_up*capacity_mult_C,damas_afrr_down*capacity_mult_C)</f>
        <v/>
      </c>
      <c r="E49" s="44">
        <f>acceptance_rate</f>
        <v/>
      </c>
      <c r="F49" s="23">
        <f>IF(C49="aFRR+",power_mw*hours_per_day*damas_afrr_up*capacity_mult_C*stack_capacity*acceptance_rate,power_mw*hours_per_day*damas_afrr_down*capacity_mult_C*stack_capacity*acceptance_rate)</f>
        <v/>
      </c>
      <c r="G49" s="42">
        <f>IF(C49="aFRR+",DAMAS_Daily!I49,DAMAS_Daily!J49)</f>
        <v/>
      </c>
      <c r="H49" s="43">
        <f>IF(C49="aFRR+",DAMAS_Daily!E49,DAMAS_Daily!F49)</f>
        <v/>
      </c>
      <c r="I49" s="43">
        <f>IF(C49="aFRR+",DAMAS_Daily!G49,DAMAS_Daily!H49)</f>
        <v/>
      </c>
      <c r="J49" s="45">
        <f>IF(C49="aFRR+",DAMAS_Daily!C49,DAMAS_Daily!D49)</f>
        <v/>
      </c>
      <c r="K49" s="45">
        <f>IF(C49="aFRR+",MIN(DAMAS_Daily!C49*market_share_C*acceptance_rate*stack_activation,power_mw*hours_per_day,capacity_mwh),MIN(DAMAS_Daily!D49*market_share_C*acceptance_rate*stack_activation,power_mw*hours_per_day,capacity_mwh))</f>
        <v/>
      </c>
      <c r="L49" s="42">
        <f>IF(K49&gt;=capacity_mwh-0.01,"yes","no")</f>
        <v/>
      </c>
      <c r="M49" s="23">
        <f>IF(C49="aFRR+",(MIN(DAMAS_Daily!C49*market_share_C*acceptance_rate*stack_activation,power_mw*hours_per_day,capacity_mwh))*DAMAS_Daily!E49*activation_mult_C,(MIN(DAMAS_Daily!D49*market_share_C*acceptance_rate*stack_activation,power_mw*hours_per_day,capacity_mwh))*DAMAS_Daily!F49*activation_mult_C)</f>
        <v/>
      </c>
      <c r="N49" s="24">
        <f>F49+M49</f>
        <v/>
      </c>
    </row>
    <row r="50">
      <c r="A50" s="41">
        <f>DAMAS_Daily!A50</f>
        <v/>
      </c>
      <c r="B50" s="42">
        <f>DAMAS_Daily!B50</f>
        <v/>
      </c>
      <c r="C50" s="42">
        <f>IF((power_mw*hours_per_day*damas_afrr_up*capacity_mult_C*stack_capacity*acceptance_rate+(MIN(DAMAS_Daily!C50*market_share_C*acceptance_rate*stack_activation,power_mw*hours_per_day,capacity_mwh))*DAMAS_Daily!E50*activation_mult_C)&gt;=(power_mw*hours_per_day*damas_afrr_down*capacity_mult_C*stack_capacity*acceptance_rate+(MIN(DAMAS_Daily!D50*market_share_C*acceptance_rate*stack_activation,power_mw*hours_per_day,capacity_mwh))*DAMAS_Daily!F50*activation_mult_C),"aFRR+","aFRR-")</f>
        <v/>
      </c>
      <c r="D50" s="43">
        <f>IF(C50="aFRR+",damas_afrr_up*capacity_mult_C,damas_afrr_down*capacity_mult_C)</f>
        <v/>
      </c>
      <c r="E50" s="44">
        <f>acceptance_rate</f>
        <v/>
      </c>
      <c r="F50" s="23">
        <f>IF(C50="aFRR+",power_mw*hours_per_day*damas_afrr_up*capacity_mult_C*stack_capacity*acceptance_rate,power_mw*hours_per_day*damas_afrr_down*capacity_mult_C*stack_capacity*acceptance_rate)</f>
        <v/>
      </c>
      <c r="G50" s="42">
        <f>IF(C50="aFRR+",DAMAS_Daily!I50,DAMAS_Daily!J50)</f>
        <v/>
      </c>
      <c r="H50" s="43">
        <f>IF(C50="aFRR+",DAMAS_Daily!E50,DAMAS_Daily!F50)</f>
        <v/>
      </c>
      <c r="I50" s="43">
        <f>IF(C50="aFRR+",DAMAS_Daily!G50,DAMAS_Daily!H50)</f>
        <v/>
      </c>
      <c r="J50" s="45">
        <f>IF(C50="aFRR+",DAMAS_Daily!C50,DAMAS_Daily!D50)</f>
        <v/>
      </c>
      <c r="K50" s="45">
        <f>IF(C50="aFRR+",MIN(DAMAS_Daily!C50*market_share_C*acceptance_rate*stack_activation,power_mw*hours_per_day,capacity_mwh),MIN(DAMAS_Daily!D50*market_share_C*acceptance_rate*stack_activation,power_mw*hours_per_day,capacity_mwh))</f>
        <v/>
      </c>
      <c r="L50" s="42">
        <f>IF(K50&gt;=capacity_mwh-0.01,"yes","no")</f>
        <v/>
      </c>
      <c r="M50" s="23">
        <f>IF(C50="aFRR+",(MIN(DAMAS_Daily!C50*market_share_C*acceptance_rate*stack_activation,power_mw*hours_per_day,capacity_mwh))*DAMAS_Daily!E50*activation_mult_C,(MIN(DAMAS_Daily!D50*market_share_C*acceptance_rate*stack_activation,power_mw*hours_per_day,capacity_mwh))*DAMAS_Daily!F50*activation_mult_C)</f>
        <v/>
      </c>
      <c r="N50" s="24">
        <f>F50+M50</f>
        <v/>
      </c>
    </row>
    <row r="51">
      <c r="A51" s="41">
        <f>DAMAS_Daily!A51</f>
        <v/>
      </c>
      <c r="B51" s="42">
        <f>DAMAS_Daily!B51</f>
        <v/>
      </c>
      <c r="C51" s="42">
        <f>IF((power_mw*hours_per_day*damas_afrr_up*capacity_mult_C*stack_capacity*acceptance_rate+(MIN(DAMAS_Daily!C51*market_share_C*acceptance_rate*stack_activation,power_mw*hours_per_day,capacity_mwh))*DAMAS_Daily!E51*activation_mult_C)&gt;=(power_mw*hours_per_day*damas_afrr_down*capacity_mult_C*stack_capacity*acceptance_rate+(MIN(DAMAS_Daily!D51*market_share_C*acceptance_rate*stack_activation,power_mw*hours_per_day,capacity_mwh))*DAMAS_Daily!F51*activation_mult_C),"aFRR+","aFRR-")</f>
        <v/>
      </c>
      <c r="D51" s="43">
        <f>IF(C51="aFRR+",damas_afrr_up*capacity_mult_C,damas_afrr_down*capacity_mult_C)</f>
        <v/>
      </c>
      <c r="E51" s="44">
        <f>acceptance_rate</f>
        <v/>
      </c>
      <c r="F51" s="23">
        <f>IF(C51="aFRR+",power_mw*hours_per_day*damas_afrr_up*capacity_mult_C*stack_capacity*acceptance_rate,power_mw*hours_per_day*damas_afrr_down*capacity_mult_C*stack_capacity*acceptance_rate)</f>
        <v/>
      </c>
      <c r="G51" s="42">
        <f>IF(C51="aFRR+",DAMAS_Daily!I51,DAMAS_Daily!J51)</f>
        <v/>
      </c>
      <c r="H51" s="43">
        <f>IF(C51="aFRR+",DAMAS_Daily!E51,DAMAS_Daily!F51)</f>
        <v/>
      </c>
      <c r="I51" s="43">
        <f>IF(C51="aFRR+",DAMAS_Daily!G51,DAMAS_Daily!H51)</f>
        <v/>
      </c>
      <c r="J51" s="45">
        <f>IF(C51="aFRR+",DAMAS_Daily!C51,DAMAS_Daily!D51)</f>
        <v/>
      </c>
      <c r="K51" s="45">
        <f>IF(C51="aFRR+",MIN(DAMAS_Daily!C51*market_share_C*acceptance_rate*stack_activation,power_mw*hours_per_day,capacity_mwh),MIN(DAMAS_Daily!D51*market_share_C*acceptance_rate*stack_activation,power_mw*hours_per_day,capacity_mwh))</f>
        <v/>
      </c>
      <c r="L51" s="42">
        <f>IF(K51&gt;=capacity_mwh-0.01,"yes","no")</f>
        <v/>
      </c>
      <c r="M51" s="23">
        <f>IF(C51="aFRR+",(MIN(DAMAS_Daily!C51*market_share_C*acceptance_rate*stack_activation,power_mw*hours_per_day,capacity_mwh))*DAMAS_Daily!E51*activation_mult_C,(MIN(DAMAS_Daily!D51*market_share_C*acceptance_rate*stack_activation,power_mw*hours_per_day,capacity_mwh))*DAMAS_Daily!F51*activation_mult_C)</f>
        <v/>
      </c>
      <c r="N51" s="24">
        <f>F51+M51</f>
        <v/>
      </c>
    </row>
    <row r="52">
      <c r="A52" s="41">
        <f>DAMAS_Daily!A52</f>
        <v/>
      </c>
      <c r="B52" s="42">
        <f>DAMAS_Daily!B52</f>
        <v/>
      </c>
      <c r="C52" s="42">
        <f>IF((power_mw*hours_per_day*damas_afrr_up*capacity_mult_C*stack_capacity*acceptance_rate+(MIN(DAMAS_Daily!C52*market_share_C*acceptance_rate*stack_activation,power_mw*hours_per_day,capacity_mwh))*DAMAS_Daily!E52*activation_mult_C)&gt;=(power_mw*hours_per_day*damas_afrr_down*capacity_mult_C*stack_capacity*acceptance_rate+(MIN(DAMAS_Daily!D52*market_share_C*acceptance_rate*stack_activation,power_mw*hours_per_day,capacity_mwh))*DAMAS_Daily!F52*activation_mult_C),"aFRR+","aFRR-")</f>
        <v/>
      </c>
      <c r="D52" s="43">
        <f>IF(C52="aFRR+",damas_afrr_up*capacity_mult_C,damas_afrr_down*capacity_mult_C)</f>
        <v/>
      </c>
      <c r="E52" s="44">
        <f>acceptance_rate</f>
        <v/>
      </c>
      <c r="F52" s="23">
        <f>IF(C52="aFRR+",power_mw*hours_per_day*damas_afrr_up*capacity_mult_C*stack_capacity*acceptance_rate,power_mw*hours_per_day*damas_afrr_down*capacity_mult_C*stack_capacity*acceptance_rate)</f>
        <v/>
      </c>
      <c r="G52" s="42">
        <f>IF(C52="aFRR+",DAMAS_Daily!I52,DAMAS_Daily!J52)</f>
        <v/>
      </c>
      <c r="H52" s="43">
        <f>IF(C52="aFRR+",DAMAS_Daily!E52,DAMAS_Daily!F52)</f>
        <v/>
      </c>
      <c r="I52" s="43">
        <f>IF(C52="aFRR+",DAMAS_Daily!G52,DAMAS_Daily!H52)</f>
        <v/>
      </c>
      <c r="J52" s="45">
        <f>IF(C52="aFRR+",DAMAS_Daily!C52,DAMAS_Daily!D52)</f>
        <v/>
      </c>
      <c r="K52" s="45">
        <f>IF(C52="aFRR+",MIN(DAMAS_Daily!C52*market_share_C*acceptance_rate*stack_activation,power_mw*hours_per_day,capacity_mwh),MIN(DAMAS_Daily!D52*market_share_C*acceptance_rate*stack_activation,power_mw*hours_per_day,capacity_mwh))</f>
        <v/>
      </c>
      <c r="L52" s="42">
        <f>IF(K52&gt;=capacity_mwh-0.01,"yes","no")</f>
        <v/>
      </c>
      <c r="M52" s="23">
        <f>IF(C52="aFRR+",(MIN(DAMAS_Daily!C52*market_share_C*acceptance_rate*stack_activation,power_mw*hours_per_day,capacity_mwh))*DAMAS_Daily!E52*activation_mult_C,(MIN(DAMAS_Daily!D52*market_share_C*acceptance_rate*stack_activation,power_mw*hours_per_day,capacity_mwh))*DAMAS_Daily!F52*activation_mult_C)</f>
        <v/>
      </c>
      <c r="N52" s="24">
        <f>F52+M52</f>
        <v/>
      </c>
    </row>
    <row r="53">
      <c r="A53" s="41">
        <f>DAMAS_Daily!A53</f>
        <v/>
      </c>
      <c r="B53" s="42">
        <f>DAMAS_Daily!B53</f>
        <v/>
      </c>
      <c r="C53" s="42">
        <f>IF((power_mw*hours_per_day*damas_afrr_up*capacity_mult_C*stack_capacity*acceptance_rate+(MIN(DAMAS_Daily!C53*market_share_C*acceptance_rate*stack_activation,power_mw*hours_per_day,capacity_mwh))*DAMAS_Daily!E53*activation_mult_C)&gt;=(power_mw*hours_per_day*damas_afrr_down*capacity_mult_C*stack_capacity*acceptance_rate+(MIN(DAMAS_Daily!D53*market_share_C*acceptance_rate*stack_activation,power_mw*hours_per_day,capacity_mwh))*DAMAS_Daily!F53*activation_mult_C),"aFRR+","aFRR-")</f>
        <v/>
      </c>
      <c r="D53" s="43">
        <f>IF(C53="aFRR+",damas_afrr_up*capacity_mult_C,damas_afrr_down*capacity_mult_C)</f>
        <v/>
      </c>
      <c r="E53" s="44">
        <f>acceptance_rate</f>
        <v/>
      </c>
      <c r="F53" s="23">
        <f>IF(C53="aFRR+",power_mw*hours_per_day*damas_afrr_up*capacity_mult_C*stack_capacity*acceptance_rate,power_mw*hours_per_day*damas_afrr_down*capacity_mult_C*stack_capacity*acceptance_rate)</f>
        <v/>
      </c>
      <c r="G53" s="42">
        <f>IF(C53="aFRR+",DAMAS_Daily!I53,DAMAS_Daily!J53)</f>
        <v/>
      </c>
      <c r="H53" s="43">
        <f>IF(C53="aFRR+",DAMAS_Daily!E53,DAMAS_Daily!F53)</f>
        <v/>
      </c>
      <c r="I53" s="43">
        <f>IF(C53="aFRR+",DAMAS_Daily!G53,DAMAS_Daily!H53)</f>
        <v/>
      </c>
      <c r="J53" s="45">
        <f>IF(C53="aFRR+",DAMAS_Daily!C53,DAMAS_Daily!D53)</f>
        <v/>
      </c>
      <c r="K53" s="45">
        <f>IF(C53="aFRR+",MIN(DAMAS_Daily!C53*market_share_C*acceptance_rate*stack_activation,power_mw*hours_per_day,capacity_mwh),MIN(DAMAS_Daily!D53*market_share_C*acceptance_rate*stack_activation,power_mw*hours_per_day,capacity_mwh))</f>
        <v/>
      </c>
      <c r="L53" s="42">
        <f>IF(K53&gt;=capacity_mwh-0.01,"yes","no")</f>
        <v/>
      </c>
      <c r="M53" s="23">
        <f>IF(C53="aFRR+",(MIN(DAMAS_Daily!C53*market_share_C*acceptance_rate*stack_activation,power_mw*hours_per_day,capacity_mwh))*DAMAS_Daily!E53*activation_mult_C,(MIN(DAMAS_Daily!D53*market_share_C*acceptance_rate*stack_activation,power_mw*hours_per_day,capacity_mwh))*DAMAS_Daily!F53*activation_mult_C)</f>
        <v/>
      </c>
      <c r="N53" s="24">
        <f>F53+M53</f>
        <v/>
      </c>
    </row>
    <row r="54">
      <c r="A54" s="41">
        <f>DAMAS_Daily!A54</f>
        <v/>
      </c>
      <c r="B54" s="42">
        <f>DAMAS_Daily!B54</f>
        <v/>
      </c>
      <c r="C54" s="42">
        <f>IF((power_mw*hours_per_day*damas_afrr_up*capacity_mult_C*stack_capacity*acceptance_rate+(MIN(DAMAS_Daily!C54*market_share_C*acceptance_rate*stack_activation,power_mw*hours_per_day,capacity_mwh))*DAMAS_Daily!E54*activation_mult_C)&gt;=(power_mw*hours_per_day*damas_afrr_down*capacity_mult_C*stack_capacity*acceptance_rate+(MIN(DAMAS_Daily!D54*market_share_C*acceptance_rate*stack_activation,power_mw*hours_per_day,capacity_mwh))*DAMAS_Daily!F54*activation_mult_C),"aFRR+","aFRR-")</f>
        <v/>
      </c>
      <c r="D54" s="43">
        <f>IF(C54="aFRR+",damas_afrr_up*capacity_mult_C,damas_afrr_down*capacity_mult_C)</f>
        <v/>
      </c>
      <c r="E54" s="44">
        <f>acceptance_rate</f>
        <v/>
      </c>
      <c r="F54" s="23">
        <f>IF(C54="aFRR+",power_mw*hours_per_day*damas_afrr_up*capacity_mult_C*stack_capacity*acceptance_rate,power_mw*hours_per_day*damas_afrr_down*capacity_mult_C*stack_capacity*acceptance_rate)</f>
        <v/>
      </c>
      <c r="G54" s="42">
        <f>IF(C54="aFRR+",DAMAS_Daily!I54,DAMAS_Daily!J54)</f>
        <v/>
      </c>
      <c r="H54" s="43">
        <f>IF(C54="aFRR+",DAMAS_Daily!E54,DAMAS_Daily!F54)</f>
        <v/>
      </c>
      <c r="I54" s="43">
        <f>IF(C54="aFRR+",DAMAS_Daily!G54,DAMAS_Daily!H54)</f>
        <v/>
      </c>
      <c r="J54" s="45">
        <f>IF(C54="aFRR+",DAMAS_Daily!C54,DAMAS_Daily!D54)</f>
        <v/>
      </c>
      <c r="K54" s="45">
        <f>IF(C54="aFRR+",MIN(DAMAS_Daily!C54*market_share_C*acceptance_rate*stack_activation,power_mw*hours_per_day,capacity_mwh),MIN(DAMAS_Daily!D54*market_share_C*acceptance_rate*stack_activation,power_mw*hours_per_day,capacity_mwh))</f>
        <v/>
      </c>
      <c r="L54" s="42">
        <f>IF(K54&gt;=capacity_mwh-0.01,"yes","no")</f>
        <v/>
      </c>
      <c r="M54" s="23">
        <f>IF(C54="aFRR+",(MIN(DAMAS_Daily!C54*market_share_C*acceptance_rate*stack_activation,power_mw*hours_per_day,capacity_mwh))*DAMAS_Daily!E54*activation_mult_C,(MIN(DAMAS_Daily!D54*market_share_C*acceptance_rate*stack_activation,power_mw*hours_per_day,capacity_mwh))*DAMAS_Daily!F54*activation_mult_C)</f>
        <v/>
      </c>
      <c r="N54" s="24">
        <f>F54+M54</f>
        <v/>
      </c>
    </row>
    <row r="55">
      <c r="A55" s="41">
        <f>DAMAS_Daily!A55</f>
        <v/>
      </c>
      <c r="B55" s="42">
        <f>DAMAS_Daily!B55</f>
        <v/>
      </c>
      <c r="C55" s="42">
        <f>IF((power_mw*hours_per_day*damas_afrr_up*capacity_mult_C*stack_capacity*acceptance_rate+(MIN(DAMAS_Daily!C55*market_share_C*acceptance_rate*stack_activation,power_mw*hours_per_day,capacity_mwh))*DAMAS_Daily!E55*activation_mult_C)&gt;=(power_mw*hours_per_day*damas_afrr_down*capacity_mult_C*stack_capacity*acceptance_rate+(MIN(DAMAS_Daily!D55*market_share_C*acceptance_rate*stack_activation,power_mw*hours_per_day,capacity_mwh))*DAMAS_Daily!F55*activation_mult_C),"aFRR+","aFRR-")</f>
        <v/>
      </c>
      <c r="D55" s="43">
        <f>IF(C55="aFRR+",damas_afrr_up*capacity_mult_C,damas_afrr_down*capacity_mult_C)</f>
        <v/>
      </c>
      <c r="E55" s="44">
        <f>acceptance_rate</f>
        <v/>
      </c>
      <c r="F55" s="23">
        <f>IF(C55="aFRR+",power_mw*hours_per_day*damas_afrr_up*capacity_mult_C*stack_capacity*acceptance_rate,power_mw*hours_per_day*damas_afrr_down*capacity_mult_C*stack_capacity*acceptance_rate)</f>
        <v/>
      </c>
      <c r="G55" s="42">
        <f>IF(C55="aFRR+",DAMAS_Daily!I55,DAMAS_Daily!J55)</f>
        <v/>
      </c>
      <c r="H55" s="43">
        <f>IF(C55="aFRR+",DAMAS_Daily!E55,DAMAS_Daily!F55)</f>
        <v/>
      </c>
      <c r="I55" s="43">
        <f>IF(C55="aFRR+",DAMAS_Daily!G55,DAMAS_Daily!H55)</f>
        <v/>
      </c>
      <c r="J55" s="45">
        <f>IF(C55="aFRR+",DAMAS_Daily!C55,DAMAS_Daily!D55)</f>
        <v/>
      </c>
      <c r="K55" s="45">
        <f>IF(C55="aFRR+",MIN(DAMAS_Daily!C55*market_share_C*acceptance_rate*stack_activation,power_mw*hours_per_day,capacity_mwh),MIN(DAMAS_Daily!D55*market_share_C*acceptance_rate*stack_activation,power_mw*hours_per_day,capacity_mwh))</f>
        <v/>
      </c>
      <c r="L55" s="42">
        <f>IF(K55&gt;=capacity_mwh-0.01,"yes","no")</f>
        <v/>
      </c>
      <c r="M55" s="23">
        <f>IF(C55="aFRR+",(MIN(DAMAS_Daily!C55*market_share_C*acceptance_rate*stack_activation,power_mw*hours_per_day,capacity_mwh))*DAMAS_Daily!E55*activation_mult_C,(MIN(DAMAS_Daily!D55*market_share_C*acceptance_rate*stack_activation,power_mw*hours_per_day,capacity_mwh))*DAMAS_Daily!F55*activation_mult_C)</f>
        <v/>
      </c>
      <c r="N55" s="24">
        <f>F55+M55</f>
        <v/>
      </c>
    </row>
    <row r="56">
      <c r="A56" s="41">
        <f>DAMAS_Daily!A56</f>
        <v/>
      </c>
      <c r="B56" s="42">
        <f>DAMAS_Daily!B56</f>
        <v/>
      </c>
      <c r="C56" s="42">
        <f>IF((power_mw*hours_per_day*damas_afrr_up*capacity_mult_C*stack_capacity*acceptance_rate+(MIN(DAMAS_Daily!C56*market_share_C*acceptance_rate*stack_activation,power_mw*hours_per_day,capacity_mwh))*DAMAS_Daily!E56*activation_mult_C)&gt;=(power_mw*hours_per_day*damas_afrr_down*capacity_mult_C*stack_capacity*acceptance_rate+(MIN(DAMAS_Daily!D56*market_share_C*acceptance_rate*stack_activation,power_mw*hours_per_day,capacity_mwh))*DAMAS_Daily!F56*activation_mult_C),"aFRR+","aFRR-")</f>
        <v/>
      </c>
      <c r="D56" s="43">
        <f>IF(C56="aFRR+",damas_afrr_up*capacity_mult_C,damas_afrr_down*capacity_mult_C)</f>
        <v/>
      </c>
      <c r="E56" s="44">
        <f>acceptance_rate</f>
        <v/>
      </c>
      <c r="F56" s="23">
        <f>IF(C56="aFRR+",power_mw*hours_per_day*damas_afrr_up*capacity_mult_C*stack_capacity*acceptance_rate,power_mw*hours_per_day*damas_afrr_down*capacity_mult_C*stack_capacity*acceptance_rate)</f>
        <v/>
      </c>
      <c r="G56" s="42">
        <f>IF(C56="aFRR+",DAMAS_Daily!I56,DAMAS_Daily!J56)</f>
        <v/>
      </c>
      <c r="H56" s="43">
        <f>IF(C56="aFRR+",DAMAS_Daily!E56,DAMAS_Daily!F56)</f>
        <v/>
      </c>
      <c r="I56" s="43">
        <f>IF(C56="aFRR+",DAMAS_Daily!G56,DAMAS_Daily!H56)</f>
        <v/>
      </c>
      <c r="J56" s="45">
        <f>IF(C56="aFRR+",DAMAS_Daily!C56,DAMAS_Daily!D56)</f>
        <v/>
      </c>
      <c r="K56" s="45">
        <f>IF(C56="aFRR+",MIN(DAMAS_Daily!C56*market_share_C*acceptance_rate*stack_activation,power_mw*hours_per_day,capacity_mwh),MIN(DAMAS_Daily!D56*market_share_C*acceptance_rate*stack_activation,power_mw*hours_per_day,capacity_mwh))</f>
        <v/>
      </c>
      <c r="L56" s="42">
        <f>IF(K56&gt;=capacity_mwh-0.01,"yes","no")</f>
        <v/>
      </c>
      <c r="M56" s="23">
        <f>IF(C56="aFRR+",(MIN(DAMAS_Daily!C56*market_share_C*acceptance_rate*stack_activation,power_mw*hours_per_day,capacity_mwh))*DAMAS_Daily!E56*activation_mult_C,(MIN(DAMAS_Daily!D56*market_share_C*acceptance_rate*stack_activation,power_mw*hours_per_day,capacity_mwh))*DAMAS_Daily!F56*activation_mult_C)</f>
        <v/>
      </c>
      <c r="N56" s="24">
        <f>F56+M56</f>
        <v/>
      </c>
    </row>
    <row r="57">
      <c r="A57" s="41">
        <f>DAMAS_Daily!A57</f>
        <v/>
      </c>
      <c r="B57" s="42">
        <f>DAMAS_Daily!B57</f>
        <v/>
      </c>
      <c r="C57" s="42">
        <f>IF((power_mw*hours_per_day*damas_afrr_up*capacity_mult_C*stack_capacity*acceptance_rate+(MIN(DAMAS_Daily!C57*market_share_C*acceptance_rate*stack_activation,power_mw*hours_per_day,capacity_mwh))*DAMAS_Daily!E57*activation_mult_C)&gt;=(power_mw*hours_per_day*damas_afrr_down*capacity_mult_C*stack_capacity*acceptance_rate+(MIN(DAMAS_Daily!D57*market_share_C*acceptance_rate*stack_activation,power_mw*hours_per_day,capacity_mwh))*DAMAS_Daily!F57*activation_mult_C),"aFRR+","aFRR-")</f>
        <v/>
      </c>
      <c r="D57" s="43">
        <f>IF(C57="aFRR+",damas_afrr_up*capacity_mult_C,damas_afrr_down*capacity_mult_C)</f>
        <v/>
      </c>
      <c r="E57" s="44">
        <f>acceptance_rate</f>
        <v/>
      </c>
      <c r="F57" s="23">
        <f>IF(C57="aFRR+",power_mw*hours_per_day*damas_afrr_up*capacity_mult_C*stack_capacity*acceptance_rate,power_mw*hours_per_day*damas_afrr_down*capacity_mult_C*stack_capacity*acceptance_rate)</f>
        <v/>
      </c>
      <c r="G57" s="42">
        <f>IF(C57="aFRR+",DAMAS_Daily!I57,DAMAS_Daily!J57)</f>
        <v/>
      </c>
      <c r="H57" s="43">
        <f>IF(C57="aFRR+",DAMAS_Daily!E57,DAMAS_Daily!F57)</f>
        <v/>
      </c>
      <c r="I57" s="43">
        <f>IF(C57="aFRR+",DAMAS_Daily!G57,DAMAS_Daily!H57)</f>
        <v/>
      </c>
      <c r="J57" s="45">
        <f>IF(C57="aFRR+",DAMAS_Daily!C57,DAMAS_Daily!D57)</f>
        <v/>
      </c>
      <c r="K57" s="45">
        <f>IF(C57="aFRR+",MIN(DAMAS_Daily!C57*market_share_C*acceptance_rate*stack_activation,power_mw*hours_per_day,capacity_mwh),MIN(DAMAS_Daily!D57*market_share_C*acceptance_rate*stack_activation,power_mw*hours_per_day,capacity_mwh))</f>
        <v/>
      </c>
      <c r="L57" s="42">
        <f>IF(K57&gt;=capacity_mwh-0.01,"yes","no")</f>
        <v/>
      </c>
      <c r="M57" s="23">
        <f>IF(C57="aFRR+",(MIN(DAMAS_Daily!C57*market_share_C*acceptance_rate*stack_activation,power_mw*hours_per_day,capacity_mwh))*DAMAS_Daily!E57*activation_mult_C,(MIN(DAMAS_Daily!D57*market_share_C*acceptance_rate*stack_activation,power_mw*hours_per_day,capacity_mwh))*DAMAS_Daily!F57*activation_mult_C)</f>
        <v/>
      </c>
      <c r="N57" s="24">
        <f>F57+M57</f>
        <v/>
      </c>
    </row>
    <row r="58">
      <c r="A58" s="41">
        <f>DAMAS_Daily!A58</f>
        <v/>
      </c>
      <c r="B58" s="42">
        <f>DAMAS_Daily!B58</f>
        <v/>
      </c>
      <c r="C58" s="42">
        <f>IF((power_mw*hours_per_day*damas_afrr_up*capacity_mult_C*stack_capacity*acceptance_rate+(MIN(DAMAS_Daily!C58*market_share_C*acceptance_rate*stack_activation,power_mw*hours_per_day,capacity_mwh))*DAMAS_Daily!E58*activation_mult_C)&gt;=(power_mw*hours_per_day*damas_afrr_down*capacity_mult_C*stack_capacity*acceptance_rate+(MIN(DAMAS_Daily!D58*market_share_C*acceptance_rate*stack_activation,power_mw*hours_per_day,capacity_mwh))*DAMAS_Daily!F58*activation_mult_C),"aFRR+","aFRR-")</f>
        <v/>
      </c>
      <c r="D58" s="43">
        <f>IF(C58="aFRR+",damas_afrr_up*capacity_mult_C,damas_afrr_down*capacity_mult_C)</f>
        <v/>
      </c>
      <c r="E58" s="44">
        <f>acceptance_rate</f>
        <v/>
      </c>
      <c r="F58" s="23">
        <f>IF(C58="aFRR+",power_mw*hours_per_day*damas_afrr_up*capacity_mult_C*stack_capacity*acceptance_rate,power_mw*hours_per_day*damas_afrr_down*capacity_mult_C*stack_capacity*acceptance_rate)</f>
        <v/>
      </c>
      <c r="G58" s="42">
        <f>IF(C58="aFRR+",DAMAS_Daily!I58,DAMAS_Daily!J58)</f>
        <v/>
      </c>
      <c r="H58" s="43">
        <f>IF(C58="aFRR+",DAMAS_Daily!E58,DAMAS_Daily!F58)</f>
        <v/>
      </c>
      <c r="I58" s="43">
        <f>IF(C58="aFRR+",DAMAS_Daily!G58,DAMAS_Daily!H58)</f>
        <v/>
      </c>
      <c r="J58" s="45">
        <f>IF(C58="aFRR+",DAMAS_Daily!C58,DAMAS_Daily!D58)</f>
        <v/>
      </c>
      <c r="K58" s="45">
        <f>IF(C58="aFRR+",MIN(DAMAS_Daily!C58*market_share_C*acceptance_rate*stack_activation,power_mw*hours_per_day,capacity_mwh),MIN(DAMAS_Daily!D58*market_share_C*acceptance_rate*stack_activation,power_mw*hours_per_day,capacity_mwh))</f>
        <v/>
      </c>
      <c r="L58" s="42">
        <f>IF(K58&gt;=capacity_mwh-0.01,"yes","no")</f>
        <v/>
      </c>
      <c r="M58" s="23">
        <f>IF(C58="aFRR+",(MIN(DAMAS_Daily!C58*market_share_C*acceptance_rate*stack_activation,power_mw*hours_per_day,capacity_mwh))*DAMAS_Daily!E58*activation_mult_C,(MIN(DAMAS_Daily!D58*market_share_C*acceptance_rate*stack_activation,power_mw*hours_per_day,capacity_mwh))*DAMAS_Daily!F58*activation_mult_C)</f>
        <v/>
      </c>
      <c r="N58" s="24">
        <f>F58+M58</f>
        <v/>
      </c>
    </row>
    <row r="59">
      <c r="A59" s="41">
        <f>DAMAS_Daily!A59</f>
        <v/>
      </c>
      <c r="B59" s="42">
        <f>DAMAS_Daily!B59</f>
        <v/>
      </c>
      <c r="C59" s="42">
        <f>IF((power_mw*hours_per_day*damas_afrr_up*capacity_mult_C*stack_capacity*acceptance_rate+(MIN(DAMAS_Daily!C59*market_share_C*acceptance_rate*stack_activation,power_mw*hours_per_day,capacity_mwh))*DAMAS_Daily!E59*activation_mult_C)&gt;=(power_mw*hours_per_day*damas_afrr_down*capacity_mult_C*stack_capacity*acceptance_rate+(MIN(DAMAS_Daily!D59*market_share_C*acceptance_rate*stack_activation,power_mw*hours_per_day,capacity_mwh))*DAMAS_Daily!F59*activation_mult_C),"aFRR+","aFRR-")</f>
        <v/>
      </c>
      <c r="D59" s="43">
        <f>IF(C59="aFRR+",damas_afrr_up*capacity_mult_C,damas_afrr_down*capacity_mult_C)</f>
        <v/>
      </c>
      <c r="E59" s="44">
        <f>acceptance_rate</f>
        <v/>
      </c>
      <c r="F59" s="23">
        <f>IF(C59="aFRR+",power_mw*hours_per_day*damas_afrr_up*capacity_mult_C*stack_capacity*acceptance_rate,power_mw*hours_per_day*damas_afrr_down*capacity_mult_C*stack_capacity*acceptance_rate)</f>
        <v/>
      </c>
      <c r="G59" s="42">
        <f>IF(C59="aFRR+",DAMAS_Daily!I59,DAMAS_Daily!J59)</f>
        <v/>
      </c>
      <c r="H59" s="43">
        <f>IF(C59="aFRR+",DAMAS_Daily!E59,DAMAS_Daily!F59)</f>
        <v/>
      </c>
      <c r="I59" s="43">
        <f>IF(C59="aFRR+",DAMAS_Daily!G59,DAMAS_Daily!H59)</f>
        <v/>
      </c>
      <c r="J59" s="45">
        <f>IF(C59="aFRR+",DAMAS_Daily!C59,DAMAS_Daily!D59)</f>
        <v/>
      </c>
      <c r="K59" s="45">
        <f>IF(C59="aFRR+",MIN(DAMAS_Daily!C59*market_share_C*acceptance_rate*stack_activation,power_mw*hours_per_day,capacity_mwh),MIN(DAMAS_Daily!D59*market_share_C*acceptance_rate*stack_activation,power_mw*hours_per_day,capacity_mwh))</f>
        <v/>
      </c>
      <c r="L59" s="42">
        <f>IF(K59&gt;=capacity_mwh-0.01,"yes","no")</f>
        <v/>
      </c>
      <c r="M59" s="23">
        <f>IF(C59="aFRR+",(MIN(DAMAS_Daily!C59*market_share_C*acceptance_rate*stack_activation,power_mw*hours_per_day,capacity_mwh))*DAMAS_Daily!E59*activation_mult_C,(MIN(DAMAS_Daily!D59*market_share_C*acceptance_rate*stack_activation,power_mw*hours_per_day,capacity_mwh))*DAMAS_Daily!F59*activation_mult_C)</f>
        <v/>
      </c>
      <c r="N59" s="24">
        <f>F59+M59</f>
        <v/>
      </c>
    </row>
    <row r="60">
      <c r="A60" s="41">
        <f>DAMAS_Daily!A60</f>
        <v/>
      </c>
      <c r="B60" s="42">
        <f>DAMAS_Daily!B60</f>
        <v/>
      </c>
      <c r="C60" s="42">
        <f>IF((power_mw*hours_per_day*damas_afrr_up*capacity_mult_C*stack_capacity*acceptance_rate+(MIN(DAMAS_Daily!C60*market_share_C*acceptance_rate*stack_activation,power_mw*hours_per_day,capacity_mwh))*DAMAS_Daily!E60*activation_mult_C)&gt;=(power_mw*hours_per_day*damas_afrr_down*capacity_mult_C*stack_capacity*acceptance_rate+(MIN(DAMAS_Daily!D60*market_share_C*acceptance_rate*stack_activation,power_mw*hours_per_day,capacity_mwh))*DAMAS_Daily!F60*activation_mult_C),"aFRR+","aFRR-")</f>
        <v/>
      </c>
      <c r="D60" s="43">
        <f>IF(C60="aFRR+",damas_afrr_up*capacity_mult_C,damas_afrr_down*capacity_mult_C)</f>
        <v/>
      </c>
      <c r="E60" s="44">
        <f>acceptance_rate</f>
        <v/>
      </c>
      <c r="F60" s="23">
        <f>IF(C60="aFRR+",power_mw*hours_per_day*damas_afrr_up*capacity_mult_C*stack_capacity*acceptance_rate,power_mw*hours_per_day*damas_afrr_down*capacity_mult_C*stack_capacity*acceptance_rate)</f>
        <v/>
      </c>
      <c r="G60" s="42">
        <f>IF(C60="aFRR+",DAMAS_Daily!I60,DAMAS_Daily!J60)</f>
        <v/>
      </c>
      <c r="H60" s="43">
        <f>IF(C60="aFRR+",DAMAS_Daily!E60,DAMAS_Daily!F60)</f>
        <v/>
      </c>
      <c r="I60" s="43">
        <f>IF(C60="aFRR+",DAMAS_Daily!G60,DAMAS_Daily!H60)</f>
        <v/>
      </c>
      <c r="J60" s="45">
        <f>IF(C60="aFRR+",DAMAS_Daily!C60,DAMAS_Daily!D60)</f>
        <v/>
      </c>
      <c r="K60" s="45">
        <f>IF(C60="aFRR+",MIN(DAMAS_Daily!C60*market_share_C*acceptance_rate*stack_activation,power_mw*hours_per_day,capacity_mwh),MIN(DAMAS_Daily!D60*market_share_C*acceptance_rate*stack_activation,power_mw*hours_per_day,capacity_mwh))</f>
        <v/>
      </c>
      <c r="L60" s="42">
        <f>IF(K60&gt;=capacity_mwh-0.01,"yes","no")</f>
        <v/>
      </c>
      <c r="M60" s="23">
        <f>IF(C60="aFRR+",(MIN(DAMAS_Daily!C60*market_share_C*acceptance_rate*stack_activation,power_mw*hours_per_day,capacity_mwh))*DAMAS_Daily!E60*activation_mult_C,(MIN(DAMAS_Daily!D60*market_share_C*acceptance_rate*stack_activation,power_mw*hours_per_day,capacity_mwh))*DAMAS_Daily!F60*activation_mult_C)</f>
        <v/>
      </c>
      <c r="N60" s="24">
        <f>F60+M60</f>
        <v/>
      </c>
    </row>
    <row r="61">
      <c r="A61" s="41">
        <f>DAMAS_Daily!A61</f>
        <v/>
      </c>
      <c r="B61" s="42">
        <f>DAMAS_Daily!B61</f>
        <v/>
      </c>
      <c r="C61" s="42">
        <f>IF((power_mw*hours_per_day*damas_afrr_up*capacity_mult_C*stack_capacity*acceptance_rate+(MIN(DAMAS_Daily!C61*market_share_C*acceptance_rate*stack_activation,power_mw*hours_per_day,capacity_mwh))*DAMAS_Daily!E61*activation_mult_C)&gt;=(power_mw*hours_per_day*damas_afrr_down*capacity_mult_C*stack_capacity*acceptance_rate+(MIN(DAMAS_Daily!D61*market_share_C*acceptance_rate*stack_activation,power_mw*hours_per_day,capacity_mwh))*DAMAS_Daily!F61*activation_mult_C),"aFRR+","aFRR-")</f>
        <v/>
      </c>
      <c r="D61" s="43">
        <f>IF(C61="aFRR+",damas_afrr_up*capacity_mult_C,damas_afrr_down*capacity_mult_C)</f>
        <v/>
      </c>
      <c r="E61" s="44">
        <f>acceptance_rate</f>
        <v/>
      </c>
      <c r="F61" s="23">
        <f>IF(C61="aFRR+",power_mw*hours_per_day*damas_afrr_up*capacity_mult_C*stack_capacity*acceptance_rate,power_mw*hours_per_day*damas_afrr_down*capacity_mult_C*stack_capacity*acceptance_rate)</f>
        <v/>
      </c>
      <c r="G61" s="42">
        <f>IF(C61="aFRR+",DAMAS_Daily!I61,DAMAS_Daily!J61)</f>
        <v/>
      </c>
      <c r="H61" s="43">
        <f>IF(C61="aFRR+",DAMAS_Daily!E61,DAMAS_Daily!F61)</f>
        <v/>
      </c>
      <c r="I61" s="43">
        <f>IF(C61="aFRR+",DAMAS_Daily!G61,DAMAS_Daily!H61)</f>
        <v/>
      </c>
      <c r="J61" s="45">
        <f>IF(C61="aFRR+",DAMAS_Daily!C61,DAMAS_Daily!D61)</f>
        <v/>
      </c>
      <c r="K61" s="45">
        <f>IF(C61="aFRR+",MIN(DAMAS_Daily!C61*market_share_C*acceptance_rate*stack_activation,power_mw*hours_per_day,capacity_mwh),MIN(DAMAS_Daily!D61*market_share_C*acceptance_rate*stack_activation,power_mw*hours_per_day,capacity_mwh))</f>
        <v/>
      </c>
      <c r="L61" s="42">
        <f>IF(K61&gt;=capacity_mwh-0.01,"yes","no")</f>
        <v/>
      </c>
      <c r="M61" s="23">
        <f>IF(C61="aFRR+",(MIN(DAMAS_Daily!C61*market_share_C*acceptance_rate*stack_activation,power_mw*hours_per_day,capacity_mwh))*DAMAS_Daily!E61*activation_mult_C,(MIN(DAMAS_Daily!D61*market_share_C*acceptance_rate*stack_activation,power_mw*hours_per_day,capacity_mwh))*DAMAS_Daily!F61*activation_mult_C)</f>
        <v/>
      </c>
      <c r="N61" s="24">
        <f>F61+M61</f>
        <v/>
      </c>
    </row>
    <row r="62">
      <c r="A62" s="41">
        <f>DAMAS_Daily!A62</f>
        <v/>
      </c>
      <c r="B62" s="42">
        <f>DAMAS_Daily!B62</f>
        <v/>
      </c>
      <c r="C62" s="42">
        <f>IF((power_mw*hours_per_day*damas_afrr_up*capacity_mult_C*stack_capacity*acceptance_rate+(MIN(DAMAS_Daily!C62*market_share_C*acceptance_rate*stack_activation,power_mw*hours_per_day,capacity_mwh))*DAMAS_Daily!E62*activation_mult_C)&gt;=(power_mw*hours_per_day*damas_afrr_down*capacity_mult_C*stack_capacity*acceptance_rate+(MIN(DAMAS_Daily!D62*market_share_C*acceptance_rate*stack_activation,power_mw*hours_per_day,capacity_mwh))*DAMAS_Daily!F62*activation_mult_C),"aFRR+","aFRR-")</f>
        <v/>
      </c>
      <c r="D62" s="43">
        <f>IF(C62="aFRR+",damas_afrr_up*capacity_mult_C,damas_afrr_down*capacity_mult_C)</f>
        <v/>
      </c>
      <c r="E62" s="44">
        <f>acceptance_rate</f>
        <v/>
      </c>
      <c r="F62" s="23">
        <f>IF(C62="aFRR+",power_mw*hours_per_day*damas_afrr_up*capacity_mult_C*stack_capacity*acceptance_rate,power_mw*hours_per_day*damas_afrr_down*capacity_mult_C*stack_capacity*acceptance_rate)</f>
        <v/>
      </c>
      <c r="G62" s="42">
        <f>IF(C62="aFRR+",DAMAS_Daily!I62,DAMAS_Daily!J62)</f>
        <v/>
      </c>
      <c r="H62" s="43">
        <f>IF(C62="aFRR+",DAMAS_Daily!E62,DAMAS_Daily!F62)</f>
        <v/>
      </c>
      <c r="I62" s="43">
        <f>IF(C62="aFRR+",DAMAS_Daily!G62,DAMAS_Daily!H62)</f>
        <v/>
      </c>
      <c r="J62" s="45">
        <f>IF(C62="aFRR+",DAMAS_Daily!C62,DAMAS_Daily!D62)</f>
        <v/>
      </c>
      <c r="K62" s="45">
        <f>IF(C62="aFRR+",MIN(DAMAS_Daily!C62*market_share_C*acceptance_rate*stack_activation,power_mw*hours_per_day,capacity_mwh),MIN(DAMAS_Daily!D62*market_share_C*acceptance_rate*stack_activation,power_mw*hours_per_day,capacity_mwh))</f>
        <v/>
      </c>
      <c r="L62" s="42">
        <f>IF(K62&gt;=capacity_mwh-0.01,"yes","no")</f>
        <v/>
      </c>
      <c r="M62" s="23">
        <f>IF(C62="aFRR+",(MIN(DAMAS_Daily!C62*market_share_C*acceptance_rate*stack_activation,power_mw*hours_per_day,capacity_mwh))*DAMAS_Daily!E62*activation_mult_C,(MIN(DAMAS_Daily!D62*market_share_C*acceptance_rate*stack_activation,power_mw*hours_per_day,capacity_mwh))*DAMAS_Daily!F62*activation_mult_C)</f>
        <v/>
      </c>
      <c r="N62" s="24">
        <f>F62+M62</f>
        <v/>
      </c>
    </row>
    <row r="63">
      <c r="A63" s="41">
        <f>DAMAS_Daily!A63</f>
        <v/>
      </c>
      <c r="B63" s="42">
        <f>DAMAS_Daily!B63</f>
        <v/>
      </c>
      <c r="C63" s="42">
        <f>IF((power_mw*hours_per_day*damas_afrr_up*capacity_mult_C*stack_capacity*acceptance_rate+(MIN(DAMAS_Daily!C63*market_share_C*acceptance_rate*stack_activation,power_mw*hours_per_day,capacity_mwh))*DAMAS_Daily!E63*activation_mult_C)&gt;=(power_mw*hours_per_day*damas_afrr_down*capacity_mult_C*stack_capacity*acceptance_rate+(MIN(DAMAS_Daily!D63*market_share_C*acceptance_rate*stack_activation,power_mw*hours_per_day,capacity_mwh))*DAMAS_Daily!F63*activation_mult_C),"aFRR+","aFRR-")</f>
        <v/>
      </c>
      <c r="D63" s="43">
        <f>IF(C63="aFRR+",damas_afrr_up*capacity_mult_C,damas_afrr_down*capacity_mult_C)</f>
        <v/>
      </c>
      <c r="E63" s="44">
        <f>acceptance_rate</f>
        <v/>
      </c>
      <c r="F63" s="23">
        <f>IF(C63="aFRR+",power_mw*hours_per_day*damas_afrr_up*capacity_mult_C*stack_capacity*acceptance_rate,power_mw*hours_per_day*damas_afrr_down*capacity_mult_C*stack_capacity*acceptance_rate)</f>
        <v/>
      </c>
      <c r="G63" s="42">
        <f>IF(C63="aFRR+",DAMAS_Daily!I63,DAMAS_Daily!J63)</f>
        <v/>
      </c>
      <c r="H63" s="43">
        <f>IF(C63="aFRR+",DAMAS_Daily!E63,DAMAS_Daily!F63)</f>
        <v/>
      </c>
      <c r="I63" s="43">
        <f>IF(C63="aFRR+",DAMAS_Daily!G63,DAMAS_Daily!H63)</f>
        <v/>
      </c>
      <c r="J63" s="45">
        <f>IF(C63="aFRR+",DAMAS_Daily!C63,DAMAS_Daily!D63)</f>
        <v/>
      </c>
      <c r="K63" s="45">
        <f>IF(C63="aFRR+",MIN(DAMAS_Daily!C63*market_share_C*acceptance_rate*stack_activation,power_mw*hours_per_day,capacity_mwh),MIN(DAMAS_Daily!D63*market_share_C*acceptance_rate*stack_activation,power_mw*hours_per_day,capacity_mwh))</f>
        <v/>
      </c>
      <c r="L63" s="42">
        <f>IF(K63&gt;=capacity_mwh-0.01,"yes","no")</f>
        <v/>
      </c>
      <c r="M63" s="23">
        <f>IF(C63="aFRR+",(MIN(DAMAS_Daily!C63*market_share_C*acceptance_rate*stack_activation,power_mw*hours_per_day,capacity_mwh))*DAMAS_Daily!E63*activation_mult_C,(MIN(DAMAS_Daily!D63*market_share_C*acceptance_rate*stack_activation,power_mw*hours_per_day,capacity_mwh))*DAMAS_Daily!F63*activation_mult_C)</f>
        <v/>
      </c>
      <c r="N63" s="24">
        <f>F63+M63</f>
        <v/>
      </c>
    </row>
    <row r="64">
      <c r="A64" s="41">
        <f>DAMAS_Daily!A64</f>
        <v/>
      </c>
      <c r="B64" s="42">
        <f>DAMAS_Daily!B64</f>
        <v/>
      </c>
      <c r="C64" s="42">
        <f>IF((power_mw*hours_per_day*damas_afrr_up*capacity_mult_C*stack_capacity*acceptance_rate+(MIN(DAMAS_Daily!C64*market_share_C*acceptance_rate*stack_activation,power_mw*hours_per_day,capacity_mwh))*DAMAS_Daily!E64*activation_mult_C)&gt;=(power_mw*hours_per_day*damas_afrr_down*capacity_mult_C*stack_capacity*acceptance_rate+(MIN(DAMAS_Daily!D64*market_share_C*acceptance_rate*stack_activation,power_mw*hours_per_day,capacity_mwh))*DAMAS_Daily!F64*activation_mult_C),"aFRR+","aFRR-")</f>
        <v/>
      </c>
      <c r="D64" s="43">
        <f>IF(C64="aFRR+",damas_afrr_up*capacity_mult_C,damas_afrr_down*capacity_mult_C)</f>
        <v/>
      </c>
      <c r="E64" s="44">
        <f>acceptance_rate</f>
        <v/>
      </c>
      <c r="F64" s="23">
        <f>IF(C64="aFRR+",power_mw*hours_per_day*damas_afrr_up*capacity_mult_C*stack_capacity*acceptance_rate,power_mw*hours_per_day*damas_afrr_down*capacity_mult_C*stack_capacity*acceptance_rate)</f>
        <v/>
      </c>
      <c r="G64" s="42">
        <f>IF(C64="aFRR+",DAMAS_Daily!I64,DAMAS_Daily!J64)</f>
        <v/>
      </c>
      <c r="H64" s="43">
        <f>IF(C64="aFRR+",DAMAS_Daily!E64,DAMAS_Daily!F64)</f>
        <v/>
      </c>
      <c r="I64" s="43">
        <f>IF(C64="aFRR+",DAMAS_Daily!G64,DAMAS_Daily!H64)</f>
        <v/>
      </c>
      <c r="J64" s="45">
        <f>IF(C64="aFRR+",DAMAS_Daily!C64,DAMAS_Daily!D64)</f>
        <v/>
      </c>
      <c r="K64" s="45">
        <f>IF(C64="aFRR+",MIN(DAMAS_Daily!C64*market_share_C*acceptance_rate*stack_activation,power_mw*hours_per_day,capacity_mwh),MIN(DAMAS_Daily!D64*market_share_C*acceptance_rate*stack_activation,power_mw*hours_per_day,capacity_mwh))</f>
        <v/>
      </c>
      <c r="L64" s="42">
        <f>IF(K64&gt;=capacity_mwh-0.01,"yes","no")</f>
        <v/>
      </c>
      <c r="M64" s="23">
        <f>IF(C64="aFRR+",(MIN(DAMAS_Daily!C64*market_share_C*acceptance_rate*stack_activation,power_mw*hours_per_day,capacity_mwh))*DAMAS_Daily!E64*activation_mult_C,(MIN(DAMAS_Daily!D64*market_share_C*acceptance_rate*stack_activation,power_mw*hours_per_day,capacity_mwh))*DAMAS_Daily!F64*activation_mult_C)</f>
        <v/>
      </c>
      <c r="N64" s="24">
        <f>F64+M64</f>
        <v/>
      </c>
    </row>
    <row r="65">
      <c r="A65" s="41">
        <f>DAMAS_Daily!A65</f>
        <v/>
      </c>
      <c r="B65" s="42">
        <f>DAMAS_Daily!B65</f>
        <v/>
      </c>
      <c r="C65" s="42">
        <f>IF((power_mw*hours_per_day*damas_afrr_up*capacity_mult_C*stack_capacity*acceptance_rate+(MIN(DAMAS_Daily!C65*market_share_C*acceptance_rate*stack_activation,power_mw*hours_per_day,capacity_mwh))*DAMAS_Daily!E65*activation_mult_C)&gt;=(power_mw*hours_per_day*damas_afrr_down*capacity_mult_C*stack_capacity*acceptance_rate+(MIN(DAMAS_Daily!D65*market_share_C*acceptance_rate*stack_activation,power_mw*hours_per_day,capacity_mwh))*DAMAS_Daily!F65*activation_mult_C),"aFRR+","aFRR-")</f>
        <v/>
      </c>
      <c r="D65" s="43">
        <f>IF(C65="aFRR+",damas_afrr_up*capacity_mult_C,damas_afrr_down*capacity_mult_C)</f>
        <v/>
      </c>
      <c r="E65" s="44">
        <f>acceptance_rate</f>
        <v/>
      </c>
      <c r="F65" s="23">
        <f>IF(C65="aFRR+",power_mw*hours_per_day*damas_afrr_up*capacity_mult_C*stack_capacity*acceptance_rate,power_mw*hours_per_day*damas_afrr_down*capacity_mult_C*stack_capacity*acceptance_rate)</f>
        <v/>
      </c>
      <c r="G65" s="42">
        <f>IF(C65="aFRR+",DAMAS_Daily!I65,DAMAS_Daily!J65)</f>
        <v/>
      </c>
      <c r="H65" s="43">
        <f>IF(C65="aFRR+",DAMAS_Daily!E65,DAMAS_Daily!F65)</f>
        <v/>
      </c>
      <c r="I65" s="43">
        <f>IF(C65="aFRR+",DAMAS_Daily!G65,DAMAS_Daily!H65)</f>
        <v/>
      </c>
      <c r="J65" s="45">
        <f>IF(C65="aFRR+",DAMAS_Daily!C65,DAMAS_Daily!D65)</f>
        <v/>
      </c>
      <c r="K65" s="45">
        <f>IF(C65="aFRR+",MIN(DAMAS_Daily!C65*market_share_C*acceptance_rate*stack_activation,power_mw*hours_per_day,capacity_mwh),MIN(DAMAS_Daily!D65*market_share_C*acceptance_rate*stack_activation,power_mw*hours_per_day,capacity_mwh))</f>
        <v/>
      </c>
      <c r="L65" s="42">
        <f>IF(K65&gt;=capacity_mwh-0.01,"yes","no")</f>
        <v/>
      </c>
      <c r="M65" s="23">
        <f>IF(C65="aFRR+",(MIN(DAMAS_Daily!C65*market_share_C*acceptance_rate*stack_activation,power_mw*hours_per_day,capacity_mwh))*DAMAS_Daily!E65*activation_mult_C,(MIN(DAMAS_Daily!D65*market_share_C*acceptance_rate*stack_activation,power_mw*hours_per_day,capacity_mwh))*DAMAS_Daily!F65*activation_mult_C)</f>
        <v/>
      </c>
      <c r="N65" s="24">
        <f>F65+M65</f>
        <v/>
      </c>
    </row>
    <row r="66">
      <c r="A66" s="41">
        <f>DAMAS_Daily!A66</f>
        <v/>
      </c>
      <c r="B66" s="42">
        <f>DAMAS_Daily!B66</f>
        <v/>
      </c>
      <c r="C66" s="42">
        <f>IF((power_mw*hours_per_day*damas_afrr_up*capacity_mult_C*stack_capacity*acceptance_rate+(MIN(DAMAS_Daily!C66*market_share_C*acceptance_rate*stack_activation,power_mw*hours_per_day,capacity_mwh))*DAMAS_Daily!E66*activation_mult_C)&gt;=(power_mw*hours_per_day*damas_afrr_down*capacity_mult_C*stack_capacity*acceptance_rate+(MIN(DAMAS_Daily!D66*market_share_C*acceptance_rate*stack_activation,power_mw*hours_per_day,capacity_mwh))*DAMAS_Daily!F66*activation_mult_C),"aFRR+","aFRR-")</f>
        <v/>
      </c>
      <c r="D66" s="43">
        <f>IF(C66="aFRR+",damas_afrr_up*capacity_mult_C,damas_afrr_down*capacity_mult_C)</f>
        <v/>
      </c>
      <c r="E66" s="44">
        <f>acceptance_rate</f>
        <v/>
      </c>
      <c r="F66" s="23">
        <f>IF(C66="aFRR+",power_mw*hours_per_day*damas_afrr_up*capacity_mult_C*stack_capacity*acceptance_rate,power_mw*hours_per_day*damas_afrr_down*capacity_mult_C*stack_capacity*acceptance_rate)</f>
        <v/>
      </c>
      <c r="G66" s="42">
        <f>IF(C66="aFRR+",DAMAS_Daily!I66,DAMAS_Daily!J66)</f>
        <v/>
      </c>
      <c r="H66" s="43">
        <f>IF(C66="aFRR+",DAMAS_Daily!E66,DAMAS_Daily!F66)</f>
        <v/>
      </c>
      <c r="I66" s="43">
        <f>IF(C66="aFRR+",DAMAS_Daily!G66,DAMAS_Daily!H66)</f>
        <v/>
      </c>
      <c r="J66" s="45">
        <f>IF(C66="aFRR+",DAMAS_Daily!C66,DAMAS_Daily!D66)</f>
        <v/>
      </c>
      <c r="K66" s="45">
        <f>IF(C66="aFRR+",MIN(DAMAS_Daily!C66*market_share_C*acceptance_rate*stack_activation,power_mw*hours_per_day,capacity_mwh),MIN(DAMAS_Daily!D66*market_share_C*acceptance_rate*stack_activation,power_mw*hours_per_day,capacity_mwh))</f>
        <v/>
      </c>
      <c r="L66" s="42">
        <f>IF(K66&gt;=capacity_mwh-0.01,"yes","no")</f>
        <v/>
      </c>
      <c r="M66" s="23">
        <f>IF(C66="aFRR+",(MIN(DAMAS_Daily!C66*market_share_C*acceptance_rate*stack_activation,power_mw*hours_per_day,capacity_mwh))*DAMAS_Daily!E66*activation_mult_C,(MIN(DAMAS_Daily!D66*market_share_C*acceptance_rate*stack_activation,power_mw*hours_per_day,capacity_mwh))*DAMAS_Daily!F66*activation_mult_C)</f>
        <v/>
      </c>
      <c r="N66" s="24">
        <f>F66+M66</f>
        <v/>
      </c>
    </row>
    <row r="67">
      <c r="A67" s="41">
        <f>DAMAS_Daily!A67</f>
        <v/>
      </c>
      <c r="B67" s="42">
        <f>DAMAS_Daily!B67</f>
        <v/>
      </c>
      <c r="C67" s="42">
        <f>IF((power_mw*hours_per_day*damas_afrr_up*capacity_mult_C*stack_capacity*acceptance_rate+(MIN(DAMAS_Daily!C67*market_share_C*acceptance_rate*stack_activation,power_mw*hours_per_day,capacity_mwh))*DAMAS_Daily!E67*activation_mult_C)&gt;=(power_mw*hours_per_day*damas_afrr_down*capacity_mult_C*stack_capacity*acceptance_rate+(MIN(DAMAS_Daily!D67*market_share_C*acceptance_rate*stack_activation,power_mw*hours_per_day,capacity_mwh))*DAMAS_Daily!F67*activation_mult_C),"aFRR+","aFRR-")</f>
        <v/>
      </c>
      <c r="D67" s="43">
        <f>IF(C67="aFRR+",damas_afrr_up*capacity_mult_C,damas_afrr_down*capacity_mult_C)</f>
        <v/>
      </c>
      <c r="E67" s="44">
        <f>acceptance_rate</f>
        <v/>
      </c>
      <c r="F67" s="23">
        <f>IF(C67="aFRR+",power_mw*hours_per_day*damas_afrr_up*capacity_mult_C*stack_capacity*acceptance_rate,power_mw*hours_per_day*damas_afrr_down*capacity_mult_C*stack_capacity*acceptance_rate)</f>
        <v/>
      </c>
      <c r="G67" s="42">
        <f>IF(C67="aFRR+",DAMAS_Daily!I67,DAMAS_Daily!J67)</f>
        <v/>
      </c>
      <c r="H67" s="43">
        <f>IF(C67="aFRR+",DAMAS_Daily!E67,DAMAS_Daily!F67)</f>
        <v/>
      </c>
      <c r="I67" s="43">
        <f>IF(C67="aFRR+",DAMAS_Daily!G67,DAMAS_Daily!H67)</f>
        <v/>
      </c>
      <c r="J67" s="45">
        <f>IF(C67="aFRR+",DAMAS_Daily!C67,DAMAS_Daily!D67)</f>
        <v/>
      </c>
      <c r="K67" s="45">
        <f>IF(C67="aFRR+",MIN(DAMAS_Daily!C67*market_share_C*acceptance_rate*stack_activation,power_mw*hours_per_day,capacity_mwh),MIN(DAMAS_Daily!D67*market_share_C*acceptance_rate*stack_activation,power_mw*hours_per_day,capacity_mwh))</f>
        <v/>
      </c>
      <c r="L67" s="42">
        <f>IF(K67&gt;=capacity_mwh-0.01,"yes","no")</f>
        <v/>
      </c>
      <c r="M67" s="23">
        <f>IF(C67="aFRR+",(MIN(DAMAS_Daily!C67*market_share_C*acceptance_rate*stack_activation,power_mw*hours_per_day,capacity_mwh))*DAMAS_Daily!E67*activation_mult_C,(MIN(DAMAS_Daily!D67*market_share_C*acceptance_rate*stack_activation,power_mw*hours_per_day,capacity_mwh))*DAMAS_Daily!F67*activation_mult_C)</f>
        <v/>
      </c>
      <c r="N67" s="24">
        <f>F67+M67</f>
        <v/>
      </c>
    </row>
    <row r="68">
      <c r="A68" s="41">
        <f>DAMAS_Daily!A68</f>
        <v/>
      </c>
      <c r="B68" s="42">
        <f>DAMAS_Daily!B68</f>
        <v/>
      </c>
      <c r="C68" s="42">
        <f>IF((power_mw*hours_per_day*damas_afrr_up*capacity_mult_C*stack_capacity*acceptance_rate+(MIN(DAMAS_Daily!C68*market_share_C*acceptance_rate*stack_activation,power_mw*hours_per_day,capacity_mwh))*DAMAS_Daily!E68*activation_mult_C)&gt;=(power_mw*hours_per_day*damas_afrr_down*capacity_mult_C*stack_capacity*acceptance_rate+(MIN(DAMAS_Daily!D68*market_share_C*acceptance_rate*stack_activation,power_mw*hours_per_day,capacity_mwh))*DAMAS_Daily!F68*activation_mult_C),"aFRR+","aFRR-")</f>
        <v/>
      </c>
      <c r="D68" s="43">
        <f>IF(C68="aFRR+",damas_afrr_up*capacity_mult_C,damas_afrr_down*capacity_mult_C)</f>
        <v/>
      </c>
      <c r="E68" s="44">
        <f>acceptance_rate</f>
        <v/>
      </c>
      <c r="F68" s="23">
        <f>IF(C68="aFRR+",power_mw*hours_per_day*damas_afrr_up*capacity_mult_C*stack_capacity*acceptance_rate,power_mw*hours_per_day*damas_afrr_down*capacity_mult_C*stack_capacity*acceptance_rate)</f>
        <v/>
      </c>
      <c r="G68" s="42">
        <f>IF(C68="aFRR+",DAMAS_Daily!I68,DAMAS_Daily!J68)</f>
        <v/>
      </c>
      <c r="H68" s="43">
        <f>IF(C68="aFRR+",DAMAS_Daily!E68,DAMAS_Daily!F68)</f>
        <v/>
      </c>
      <c r="I68" s="43">
        <f>IF(C68="aFRR+",DAMAS_Daily!G68,DAMAS_Daily!H68)</f>
        <v/>
      </c>
      <c r="J68" s="45">
        <f>IF(C68="aFRR+",DAMAS_Daily!C68,DAMAS_Daily!D68)</f>
        <v/>
      </c>
      <c r="K68" s="45">
        <f>IF(C68="aFRR+",MIN(DAMAS_Daily!C68*market_share_C*acceptance_rate*stack_activation,power_mw*hours_per_day,capacity_mwh),MIN(DAMAS_Daily!D68*market_share_C*acceptance_rate*stack_activation,power_mw*hours_per_day,capacity_mwh))</f>
        <v/>
      </c>
      <c r="L68" s="42">
        <f>IF(K68&gt;=capacity_mwh-0.01,"yes","no")</f>
        <v/>
      </c>
      <c r="M68" s="23">
        <f>IF(C68="aFRR+",(MIN(DAMAS_Daily!C68*market_share_C*acceptance_rate*stack_activation,power_mw*hours_per_day,capacity_mwh))*DAMAS_Daily!E68*activation_mult_C,(MIN(DAMAS_Daily!D68*market_share_C*acceptance_rate*stack_activation,power_mw*hours_per_day,capacity_mwh))*DAMAS_Daily!F68*activation_mult_C)</f>
        <v/>
      </c>
      <c r="N68" s="24">
        <f>F68+M68</f>
        <v/>
      </c>
    </row>
    <row r="69">
      <c r="A69" s="41">
        <f>DAMAS_Daily!A69</f>
        <v/>
      </c>
      <c r="B69" s="42">
        <f>DAMAS_Daily!B69</f>
        <v/>
      </c>
      <c r="C69" s="42">
        <f>IF((power_mw*hours_per_day*damas_afrr_up*capacity_mult_C*stack_capacity*acceptance_rate+(MIN(DAMAS_Daily!C69*market_share_C*acceptance_rate*stack_activation,power_mw*hours_per_day,capacity_mwh))*DAMAS_Daily!E69*activation_mult_C)&gt;=(power_mw*hours_per_day*damas_afrr_down*capacity_mult_C*stack_capacity*acceptance_rate+(MIN(DAMAS_Daily!D69*market_share_C*acceptance_rate*stack_activation,power_mw*hours_per_day,capacity_mwh))*DAMAS_Daily!F69*activation_mult_C),"aFRR+","aFRR-")</f>
        <v/>
      </c>
      <c r="D69" s="43">
        <f>IF(C69="aFRR+",damas_afrr_up*capacity_mult_C,damas_afrr_down*capacity_mult_C)</f>
        <v/>
      </c>
      <c r="E69" s="44">
        <f>acceptance_rate</f>
        <v/>
      </c>
      <c r="F69" s="23">
        <f>IF(C69="aFRR+",power_mw*hours_per_day*damas_afrr_up*capacity_mult_C*stack_capacity*acceptance_rate,power_mw*hours_per_day*damas_afrr_down*capacity_mult_C*stack_capacity*acceptance_rate)</f>
        <v/>
      </c>
      <c r="G69" s="42">
        <f>IF(C69="aFRR+",DAMAS_Daily!I69,DAMAS_Daily!J69)</f>
        <v/>
      </c>
      <c r="H69" s="43">
        <f>IF(C69="aFRR+",DAMAS_Daily!E69,DAMAS_Daily!F69)</f>
        <v/>
      </c>
      <c r="I69" s="43">
        <f>IF(C69="aFRR+",DAMAS_Daily!G69,DAMAS_Daily!H69)</f>
        <v/>
      </c>
      <c r="J69" s="45">
        <f>IF(C69="aFRR+",DAMAS_Daily!C69,DAMAS_Daily!D69)</f>
        <v/>
      </c>
      <c r="K69" s="45">
        <f>IF(C69="aFRR+",MIN(DAMAS_Daily!C69*market_share_C*acceptance_rate*stack_activation,power_mw*hours_per_day,capacity_mwh),MIN(DAMAS_Daily!D69*market_share_C*acceptance_rate*stack_activation,power_mw*hours_per_day,capacity_mwh))</f>
        <v/>
      </c>
      <c r="L69" s="42">
        <f>IF(K69&gt;=capacity_mwh-0.01,"yes","no")</f>
        <v/>
      </c>
      <c r="M69" s="23">
        <f>IF(C69="aFRR+",(MIN(DAMAS_Daily!C69*market_share_C*acceptance_rate*stack_activation,power_mw*hours_per_day,capacity_mwh))*DAMAS_Daily!E69*activation_mult_C,(MIN(DAMAS_Daily!D69*market_share_C*acceptance_rate*stack_activation,power_mw*hours_per_day,capacity_mwh))*DAMAS_Daily!F69*activation_mult_C)</f>
        <v/>
      </c>
      <c r="N69" s="24">
        <f>F69+M69</f>
        <v/>
      </c>
    </row>
    <row r="70">
      <c r="A70" s="41">
        <f>DAMAS_Daily!A70</f>
        <v/>
      </c>
      <c r="B70" s="42">
        <f>DAMAS_Daily!B70</f>
        <v/>
      </c>
      <c r="C70" s="42">
        <f>IF((power_mw*hours_per_day*damas_afrr_up*capacity_mult_C*stack_capacity*acceptance_rate+(MIN(DAMAS_Daily!C70*market_share_C*acceptance_rate*stack_activation,power_mw*hours_per_day,capacity_mwh))*DAMAS_Daily!E70*activation_mult_C)&gt;=(power_mw*hours_per_day*damas_afrr_down*capacity_mult_C*stack_capacity*acceptance_rate+(MIN(DAMAS_Daily!D70*market_share_C*acceptance_rate*stack_activation,power_mw*hours_per_day,capacity_mwh))*DAMAS_Daily!F70*activation_mult_C),"aFRR+","aFRR-")</f>
        <v/>
      </c>
      <c r="D70" s="43">
        <f>IF(C70="aFRR+",damas_afrr_up*capacity_mult_C,damas_afrr_down*capacity_mult_C)</f>
        <v/>
      </c>
      <c r="E70" s="44">
        <f>acceptance_rate</f>
        <v/>
      </c>
      <c r="F70" s="23">
        <f>IF(C70="aFRR+",power_mw*hours_per_day*damas_afrr_up*capacity_mult_C*stack_capacity*acceptance_rate,power_mw*hours_per_day*damas_afrr_down*capacity_mult_C*stack_capacity*acceptance_rate)</f>
        <v/>
      </c>
      <c r="G70" s="42">
        <f>IF(C70="aFRR+",DAMAS_Daily!I70,DAMAS_Daily!J70)</f>
        <v/>
      </c>
      <c r="H70" s="43">
        <f>IF(C70="aFRR+",DAMAS_Daily!E70,DAMAS_Daily!F70)</f>
        <v/>
      </c>
      <c r="I70" s="43">
        <f>IF(C70="aFRR+",DAMAS_Daily!G70,DAMAS_Daily!H70)</f>
        <v/>
      </c>
      <c r="J70" s="45">
        <f>IF(C70="aFRR+",DAMAS_Daily!C70,DAMAS_Daily!D70)</f>
        <v/>
      </c>
      <c r="K70" s="45">
        <f>IF(C70="aFRR+",MIN(DAMAS_Daily!C70*market_share_C*acceptance_rate*stack_activation,power_mw*hours_per_day,capacity_mwh),MIN(DAMAS_Daily!D70*market_share_C*acceptance_rate*stack_activation,power_mw*hours_per_day,capacity_mwh))</f>
        <v/>
      </c>
      <c r="L70" s="42">
        <f>IF(K70&gt;=capacity_mwh-0.01,"yes","no")</f>
        <v/>
      </c>
      <c r="M70" s="23">
        <f>IF(C70="aFRR+",(MIN(DAMAS_Daily!C70*market_share_C*acceptance_rate*stack_activation,power_mw*hours_per_day,capacity_mwh))*DAMAS_Daily!E70*activation_mult_C,(MIN(DAMAS_Daily!D70*market_share_C*acceptance_rate*stack_activation,power_mw*hours_per_day,capacity_mwh))*DAMAS_Daily!F70*activation_mult_C)</f>
        <v/>
      </c>
      <c r="N70" s="24">
        <f>F70+M70</f>
        <v/>
      </c>
    </row>
    <row r="71">
      <c r="A71" s="41">
        <f>DAMAS_Daily!A71</f>
        <v/>
      </c>
      <c r="B71" s="42">
        <f>DAMAS_Daily!B71</f>
        <v/>
      </c>
      <c r="C71" s="42">
        <f>IF((power_mw*hours_per_day*damas_afrr_up*capacity_mult_C*stack_capacity*acceptance_rate+(MIN(DAMAS_Daily!C71*market_share_C*acceptance_rate*stack_activation,power_mw*hours_per_day,capacity_mwh))*DAMAS_Daily!E71*activation_mult_C)&gt;=(power_mw*hours_per_day*damas_afrr_down*capacity_mult_C*stack_capacity*acceptance_rate+(MIN(DAMAS_Daily!D71*market_share_C*acceptance_rate*stack_activation,power_mw*hours_per_day,capacity_mwh))*DAMAS_Daily!F71*activation_mult_C),"aFRR+","aFRR-")</f>
        <v/>
      </c>
      <c r="D71" s="43">
        <f>IF(C71="aFRR+",damas_afrr_up*capacity_mult_C,damas_afrr_down*capacity_mult_C)</f>
        <v/>
      </c>
      <c r="E71" s="44">
        <f>acceptance_rate</f>
        <v/>
      </c>
      <c r="F71" s="23">
        <f>IF(C71="aFRR+",power_mw*hours_per_day*damas_afrr_up*capacity_mult_C*stack_capacity*acceptance_rate,power_mw*hours_per_day*damas_afrr_down*capacity_mult_C*stack_capacity*acceptance_rate)</f>
        <v/>
      </c>
      <c r="G71" s="42">
        <f>IF(C71="aFRR+",DAMAS_Daily!I71,DAMAS_Daily!J71)</f>
        <v/>
      </c>
      <c r="H71" s="43">
        <f>IF(C71="aFRR+",DAMAS_Daily!E71,DAMAS_Daily!F71)</f>
        <v/>
      </c>
      <c r="I71" s="43">
        <f>IF(C71="aFRR+",DAMAS_Daily!G71,DAMAS_Daily!H71)</f>
        <v/>
      </c>
      <c r="J71" s="45">
        <f>IF(C71="aFRR+",DAMAS_Daily!C71,DAMAS_Daily!D71)</f>
        <v/>
      </c>
      <c r="K71" s="45">
        <f>IF(C71="aFRR+",MIN(DAMAS_Daily!C71*market_share_C*acceptance_rate*stack_activation,power_mw*hours_per_day,capacity_mwh),MIN(DAMAS_Daily!D71*market_share_C*acceptance_rate*stack_activation,power_mw*hours_per_day,capacity_mwh))</f>
        <v/>
      </c>
      <c r="L71" s="42">
        <f>IF(K71&gt;=capacity_mwh-0.01,"yes","no")</f>
        <v/>
      </c>
      <c r="M71" s="23">
        <f>IF(C71="aFRR+",(MIN(DAMAS_Daily!C71*market_share_C*acceptance_rate*stack_activation,power_mw*hours_per_day,capacity_mwh))*DAMAS_Daily!E71*activation_mult_C,(MIN(DAMAS_Daily!D71*market_share_C*acceptance_rate*stack_activation,power_mw*hours_per_day,capacity_mwh))*DAMAS_Daily!F71*activation_mult_C)</f>
        <v/>
      </c>
      <c r="N71" s="24">
        <f>F71+M71</f>
        <v/>
      </c>
    </row>
    <row r="72">
      <c r="A72" s="41">
        <f>DAMAS_Daily!A72</f>
        <v/>
      </c>
      <c r="B72" s="42">
        <f>DAMAS_Daily!B72</f>
        <v/>
      </c>
      <c r="C72" s="42">
        <f>IF((power_mw*hours_per_day*damas_afrr_up*capacity_mult_C*stack_capacity*acceptance_rate+(MIN(DAMAS_Daily!C72*market_share_C*acceptance_rate*stack_activation,power_mw*hours_per_day,capacity_mwh))*DAMAS_Daily!E72*activation_mult_C)&gt;=(power_mw*hours_per_day*damas_afrr_down*capacity_mult_C*stack_capacity*acceptance_rate+(MIN(DAMAS_Daily!D72*market_share_C*acceptance_rate*stack_activation,power_mw*hours_per_day,capacity_mwh))*DAMAS_Daily!F72*activation_mult_C),"aFRR+","aFRR-")</f>
        <v/>
      </c>
      <c r="D72" s="43">
        <f>IF(C72="aFRR+",damas_afrr_up*capacity_mult_C,damas_afrr_down*capacity_mult_C)</f>
        <v/>
      </c>
      <c r="E72" s="44">
        <f>acceptance_rate</f>
        <v/>
      </c>
      <c r="F72" s="23">
        <f>IF(C72="aFRR+",power_mw*hours_per_day*damas_afrr_up*capacity_mult_C*stack_capacity*acceptance_rate,power_mw*hours_per_day*damas_afrr_down*capacity_mult_C*stack_capacity*acceptance_rate)</f>
        <v/>
      </c>
      <c r="G72" s="42">
        <f>IF(C72="aFRR+",DAMAS_Daily!I72,DAMAS_Daily!J72)</f>
        <v/>
      </c>
      <c r="H72" s="43">
        <f>IF(C72="aFRR+",DAMAS_Daily!E72,DAMAS_Daily!F72)</f>
        <v/>
      </c>
      <c r="I72" s="43">
        <f>IF(C72="aFRR+",DAMAS_Daily!G72,DAMAS_Daily!H72)</f>
        <v/>
      </c>
      <c r="J72" s="45">
        <f>IF(C72="aFRR+",DAMAS_Daily!C72,DAMAS_Daily!D72)</f>
        <v/>
      </c>
      <c r="K72" s="45">
        <f>IF(C72="aFRR+",MIN(DAMAS_Daily!C72*market_share_C*acceptance_rate*stack_activation,power_mw*hours_per_day,capacity_mwh),MIN(DAMAS_Daily!D72*market_share_C*acceptance_rate*stack_activation,power_mw*hours_per_day,capacity_mwh))</f>
        <v/>
      </c>
      <c r="L72" s="42">
        <f>IF(K72&gt;=capacity_mwh-0.01,"yes","no")</f>
        <v/>
      </c>
      <c r="M72" s="23">
        <f>IF(C72="aFRR+",(MIN(DAMAS_Daily!C72*market_share_C*acceptance_rate*stack_activation,power_mw*hours_per_day,capacity_mwh))*DAMAS_Daily!E72*activation_mult_C,(MIN(DAMAS_Daily!D72*market_share_C*acceptance_rate*stack_activation,power_mw*hours_per_day,capacity_mwh))*DAMAS_Daily!F72*activation_mult_C)</f>
        <v/>
      </c>
      <c r="N72" s="24">
        <f>F72+M72</f>
        <v/>
      </c>
    </row>
    <row r="73">
      <c r="A73" s="41">
        <f>DAMAS_Daily!A73</f>
        <v/>
      </c>
      <c r="B73" s="42">
        <f>DAMAS_Daily!B73</f>
        <v/>
      </c>
      <c r="C73" s="42">
        <f>IF((power_mw*hours_per_day*damas_afrr_up*capacity_mult_C*stack_capacity*acceptance_rate+(MIN(DAMAS_Daily!C73*market_share_C*acceptance_rate*stack_activation,power_mw*hours_per_day,capacity_mwh))*DAMAS_Daily!E73*activation_mult_C)&gt;=(power_mw*hours_per_day*damas_afrr_down*capacity_mult_C*stack_capacity*acceptance_rate+(MIN(DAMAS_Daily!D73*market_share_C*acceptance_rate*stack_activation,power_mw*hours_per_day,capacity_mwh))*DAMAS_Daily!F73*activation_mult_C),"aFRR+","aFRR-")</f>
        <v/>
      </c>
      <c r="D73" s="43">
        <f>IF(C73="aFRR+",damas_afrr_up*capacity_mult_C,damas_afrr_down*capacity_mult_C)</f>
        <v/>
      </c>
      <c r="E73" s="44">
        <f>acceptance_rate</f>
        <v/>
      </c>
      <c r="F73" s="23">
        <f>IF(C73="aFRR+",power_mw*hours_per_day*damas_afrr_up*capacity_mult_C*stack_capacity*acceptance_rate,power_mw*hours_per_day*damas_afrr_down*capacity_mult_C*stack_capacity*acceptance_rate)</f>
        <v/>
      </c>
      <c r="G73" s="42">
        <f>IF(C73="aFRR+",DAMAS_Daily!I73,DAMAS_Daily!J73)</f>
        <v/>
      </c>
      <c r="H73" s="43">
        <f>IF(C73="aFRR+",DAMAS_Daily!E73,DAMAS_Daily!F73)</f>
        <v/>
      </c>
      <c r="I73" s="43">
        <f>IF(C73="aFRR+",DAMAS_Daily!G73,DAMAS_Daily!H73)</f>
        <v/>
      </c>
      <c r="J73" s="45">
        <f>IF(C73="aFRR+",DAMAS_Daily!C73,DAMAS_Daily!D73)</f>
        <v/>
      </c>
      <c r="K73" s="45">
        <f>IF(C73="aFRR+",MIN(DAMAS_Daily!C73*market_share_C*acceptance_rate*stack_activation,power_mw*hours_per_day,capacity_mwh),MIN(DAMAS_Daily!D73*market_share_C*acceptance_rate*stack_activation,power_mw*hours_per_day,capacity_mwh))</f>
        <v/>
      </c>
      <c r="L73" s="42">
        <f>IF(K73&gt;=capacity_mwh-0.01,"yes","no")</f>
        <v/>
      </c>
      <c r="M73" s="23">
        <f>IF(C73="aFRR+",(MIN(DAMAS_Daily!C73*market_share_C*acceptance_rate*stack_activation,power_mw*hours_per_day,capacity_mwh))*DAMAS_Daily!E73*activation_mult_C,(MIN(DAMAS_Daily!D73*market_share_C*acceptance_rate*stack_activation,power_mw*hours_per_day,capacity_mwh))*DAMAS_Daily!F73*activation_mult_C)</f>
        <v/>
      </c>
      <c r="N73" s="24">
        <f>F73+M73</f>
        <v/>
      </c>
    </row>
    <row r="74">
      <c r="A74" s="41">
        <f>DAMAS_Daily!A74</f>
        <v/>
      </c>
      <c r="B74" s="42">
        <f>DAMAS_Daily!B74</f>
        <v/>
      </c>
      <c r="C74" s="42">
        <f>IF((power_mw*hours_per_day*damas_afrr_up*capacity_mult_C*stack_capacity*acceptance_rate+(MIN(DAMAS_Daily!C74*market_share_C*acceptance_rate*stack_activation,power_mw*hours_per_day,capacity_mwh))*DAMAS_Daily!E74*activation_mult_C)&gt;=(power_mw*hours_per_day*damas_afrr_down*capacity_mult_C*stack_capacity*acceptance_rate+(MIN(DAMAS_Daily!D74*market_share_C*acceptance_rate*stack_activation,power_mw*hours_per_day,capacity_mwh))*DAMAS_Daily!F74*activation_mult_C),"aFRR+","aFRR-")</f>
        <v/>
      </c>
      <c r="D74" s="43">
        <f>IF(C74="aFRR+",damas_afrr_up*capacity_mult_C,damas_afrr_down*capacity_mult_C)</f>
        <v/>
      </c>
      <c r="E74" s="44">
        <f>acceptance_rate</f>
        <v/>
      </c>
      <c r="F74" s="23">
        <f>IF(C74="aFRR+",power_mw*hours_per_day*damas_afrr_up*capacity_mult_C*stack_capacity*acceptance_rate,power_mw*hours_per_day*damas_afrr_down*capacity_mult_C*stack_capacity*acceptance_rate)</f>
        <v/>
      </c>
      <c r="G74" s="42">
        <f>IF(C74="aFRR+",DAMAS_Daily!I74,DAMAS_Daily!J74)</f>
        <v/>
      </c>
      <c r="H74" s="43">
        <f>IF(C74="aFRR+",DAMAS_Daily!E74,DAMAS_Daily!F74)</f>
        <v/>
      </c>
      <c r="I74" s="43">
        <f>IF(C74="aFRR+",DAMAS_Daily!G74,DAMAS_Daily!H74)</f>
        <v/>
      </c>
      <c r="J74" s="45">
        <f>IF(C74="aFRR+",DAMAS_Daily!C74,DAMAS_Daily!D74)</f>
        <v/>
      </c>
      <c r="K74" s="45">
        <f>IF(C74="aFRR+",MIN(DAMAS_Daily!C74*market_share_C*acceptance_rate*stack_activation,power_mw*hours_per_day,capacity_mwh),MIN(DAMAS_Daily!D74*market_share_C*acceptance_rate*stack_activation,power_mw*hours_per_day,capacity_mwh))</f>
        <v/>
      </c>
      <c r="L74" s="42">
        <f>IF(K74&gt;=capacity_mwh-0.01,"yes","no")</f>
        <v/>
      </c>
      <c r="M74" s="23">
        <f>IF(C74="aFRR+",(MIN(DAMAS_Daily!C74*market_share_C*acceptance_rate*stack_activation,power_mw*hours_per_day,capacity_mwh))*DAMAS_Daily!E74*activation_mult_C,(MIN(DAMAS_Daily!D74*market_share_C*acceptance_rate*stack_activation,power_mw*hours_per_day,capacity_mwh))*DAMAS_Daily!F74*activation_mult_C)</f>
        <v/>
      </c>
      <c r="N74" s="24">
        <f>F74+M74</f>
        <v/>
      </c>
    </row>
    <row r="75">
      <c r="A75" s="41">
        <f>DAMAS_Daily!A75</f>
        <v/>
      </c>
      <c r="B75" s="42">
        <f>DAMAS_Daily!B75</f>
        <v/>
      </c>
      <c r="C75" s="42">
        <f>IF((power_mw*hours_per_day*damas_afrr_up*capacity_mult_C*stack_capacity*acceptance_rate+(MIN(DAMAS_Daily!C75*market_share_C*acceptance_rate*stack_activation,power_mw*hours_per_day,capacity_mwh))*DAMAS_Daily!E75*activation_mult_C)&gt;=(power_mw*hours_per_day*damas_afrr_down*capacity_mult_C*stack_capacity*acceptance_rate+(MIN(DAMAS_Daily!D75*market_share_C*acceptance_rate*stack_activation,power_mw*hours_per_day,capacity_mwh))*DAMAS_Daily!F75*activation_mult_C),"aFRR+","aFRR-")</f>
        <v/>
      </c>
      <c r="D75" s="43">
        <f>IF(C75="aFRR+",damas_afrr_up*capacity_mult_C,damas_afrr_down*capacity_mult_C)</f>
        <v/>
      </c>
      <c r="E75" s="44">
        <f>acceptance_rate</f>
        <v/>
      </c>
      <c r="F75" s="23">
        <f>IF(C75="aFRR+",power_mw*hours_per_day*damas_afrr_up*capacity_mult_C*stack_capacity*acceptance_rate,power_mw*hours_per_day*damas_afrr_down*capacity_mult_C*stack_capacity*acceptance_rate)</f>
        <v/>
      </c>
      <c r="G75" s="42">
        <f>IF(C75="aFRR+",DAMAS_Daily!I75,DAMAS_Daily!J75)</f>
        <v/>
      </c>
      <c r="H75" s="43">
        <f>IF(C75="aFRR+",DAMAS_Daily!E75,DAMAS_Daily!F75)</f>
        <v/>
      </c>
      <c r="I75" s="43">
        <f>IF(C75="aFRR+",DAMAS_Daily!G75,DAMAS_Daily!H75)</f>
        <v/>
      </c>
      <c r="J75" s="45">
        <f>IF(C75="aFRR+",DAMAS_Daily!C75,DAMAS_Daily!D75)</f>
        <v/>
      </c>
      <c r="K75" s="45">
        <f>IF(C75="aFRR+",MIN(DAMAS_Daily!C75*market_share_C*acceptance_rate*stack_activation,power_mw*hours_per_day,capacity_mwh),MIN(DAMAS_Daily!D75*market_share_C*acceptance_rate*stack_activation,power_mw*hours_per_day,capacity_mwh))</f>
        <v/>
      </c>
      <c r="L75" s="42">
        <f>IF(K75&gt;=capacity_mwh-0.01,"yes","no")</f>
        <v/>
      </c>
      <c r="M75" s="23">
        <f>IF(C75="aFRR+",(MIN(DAMAS_Daily!C75*market_share_C*acceptance_rate*stack_activation,power_mw*hours_per_day,capacity_mwh))*DAMAS_Daily!E75*activation_mult_C,(MIN(DAMAS_Daily!D75*market_share_C*acceptance_rate*stack_activation,power_mw*hours_per_day,capacity_mwh))*DAMAS_Daily!F75*activation_mult_C)</f>
        <v/>
      </c>
      <c r="N75" s="24">
        <f>F75+M75</f>
        <v/>
      </c>
    </row>
    <row r="76">
      <c r="A76" s="41">
        <f>DAMAS_Daily!A76</f>
        <v/>
      </c>
      <c r="B76" s="42">
        <f>DAMAS_Daily!B76</f>
        <v/>
      </c>
      <c r="C76" s="42">
        <f>IF((power_mw*hours_per_day*damas_afrr_up*capacity_mult_C*stack_capacity*acceptance_rate+(MIN(DAMAS_Daily!C76*market_share_C*acceptance_rate*stack_activation,power_mw*hours_per_day,capacity_mwh))*DAMAS_Daily!E76*activation_mult_C)&gt;=(power_mw*hours_per_day*damas_afrr_down*capacity_mult_C*stack_capacity*acceptance_rate+(MIN(DAMAS_Daily!D76*market_share_C*acceptance_rate*stack_activation,power_mw*hours_per_day,capacity_mwh))*DAMAS_Daily!F76*activation_mult_C),"aFRR+","aFRR-")</f>
        <v/>
      </c>
      <c r="D76" s="43">
        <f>IF(C76="aFRR+",damas_afrr_up*capacity_mult_C,damas_afrr_down*capacity_mult_C)</f>
        <v/>
      </c>
      <c r="E76" s="44">
        <f>acceptance_rate</f>
        <v/>
      </c>
      <c r="F76" s="23">
        <f>IF(C76="aFRR+",power_mw*hours_per_day*damas_afrr_up*capacity_mult_C*stack_capacity*acceptance_rate,power_mw*hours_per_day*damas_afrr_down*capacity_mult_C*stack_capacity*acceptance_rate)</f>
        <v/>
      </c>
      <c r="G76" s="42">
        <f>IF(C76="aFRR+",DAMAS_Daily!I76,DAMAS_Daily!J76)</f>
        <v/>
      </c>
      <c r="H76" s="43">
        <f>IF(C76="aFRR+",DAMAS_Daily!E76,DAMAS_Daily!F76)</f>
        <v/>
      </c>
      <c r="I76" s="43">
        <f>IF(C76="aFRR+",DAMAS_Daily!G76,DAMAS_Daily!H76)</f>
        <v/>
      </c>
      <c r="J76" s="45">
        <f>IF(C76="aFRR+",DAMAS_Daily!C76,DAMAS_Daily!D76)</f>
        <v/>
      </c>
      <c r="K76" s="45">
        <f>IF(C76="aFRR+",MIN(DAMAS_Daily!C76*market_share_C*acceptance_rate*stack_activation,power_mw*hours_per_day,capacity_mwh),MIN(DAMAS_Daily!D76*market_share_C*acceptance_rate*stack_activation,power_mw*hours_per_day,capacity_mwh))</f>
        <v/>
      </c>
      <c r="L76" s="42">
        <f>IF(K76&gt;=capacity_mwh-0.01,"yes","no")</f>
        <v/>
      </c>
      <c r="M76" s="23">
        <f>IF(C76="aFRR+",(MIN(DAMAS_Daily!C76*market_share_C*acceptance_rate*stack_activation,power_mw*hours_per_day,capacity_mwh))*DAMAS_Daily!E76*activation_mult_C,(MIN(DAMAS_Daily!D76*market_share_C*acceptance_rate*stack_activation,power_mw*hours_per_day,capacity_mwh))*DAMAS_Daily!F76*activation_mult_C)</f>
        <v/>
      </c>
      <c r="N76" s="24">
        <f>F76+M76</f>
        <v/>
      </c>
    </row>
    <row r="77">
      <c r="A77" s="41">
        <f>DAMAS_Daily!A77</f>
        <v/>
      </c>
      <c r="B77" s="42">
        <f>DAMAS_Daily!B77</f>
        <v/>
      </c>
      <c r="C77" s="42">
        <f>IF((power_mw*hours_per_day*damas_afrr_up*capacity_mult_C*stack_capacity*acceptance_rate+(MIN(DAMAS_Daily!C77*market_share_C*acceptance_rate*stack_activation,power_mw*hours_per_day,capacity_mwh))*DAMAS_Daily!E77*activation_mult_C)&gt;=(power_mw*hours_per_day*damas_afrr_down*capacity_mult_C*stack_capacity*acceptance_rate+(MIN(DAMAS_Daily!D77*market_share_C*acceptance_rate*stack_activation,power_mw*hours_per_day,capacity_mwh))*DAMAS_Daily!F77*activation_mult_C),"aFRR+","aFRR-")</f>
        <v/>
      </c>
      <c r="D77" s="43">
        <f>IF(C77="aFRR+",damas_afrr_up*capacity_mult_C,damas_afrr_down*capacity_mult_C)</f>
        <v/>
      </c>
      <c r="E77" s="44">
        <f>acceptance_rate</f>
        <v/>
      </c>
      <c r="F77" s="23">
        <f>IF(C77="aFRR+",power_mw*hours_per_day*damas_afrr_up*capacity_mult_C*stack_capacity*acceptance_rate,power_mw*hours_per_day*damas_afrr_down*capacity_mult_C*stack_capacity*acceptance_rate)</f>
        <v/>
      </c>
      <c r="G77" s="42">
        <f>IF(C77="aFRR+",DAMAS_Daily!I77,DAMAS_Daily!J77)</f>
        <v/>
      </c>
      <c r="H77" s="43">
        <f>IF(C77="aFRR+",DAMAS_Daily!E77,DAMAS_Daily!F77)</f>
        <v/>
      </c>
      <c r="I77" s="43">
        <f>IF(C77="aFRR+",DAMAS_Daily!G77,DAMAS_Daily!H77)</f>
        <v/>
      </c>
      <c r="J77" s="45">
        <f>IF(C77="aFRR+",DAMAS_Daily!C77,DAMAS_Daily!D77)</f>
        <v/>
      </c>
      <c r="K77" s="45">
        <f>IF(C77="aFRR+",MIN(DAMAS_Daily!C77*market_share_C*acceptance_rate*stack_activation,power_mw*hours_per_day,capacity_mwh),MIN(DAMAS_Daily!D77*market_share_C*acceptance_rate*stack_activation,power_mw*hours_per_day,capacity_mwh))</f>
        <v/>
      </c>
      <c r="L77" s="42">
        <f>IF(K77&gt;=capacity_mwh-0.01,"yes","no")</f>
        <v/>
      </c>
      <c r="M77" s="23">
        <f>IF(C77="aFRR+",(MIN(DAMAS_Daily!C77*market_share_C*acceptance_rate*stack_activation,power_mw*hours_per_day,capacity_mwh))*DAMAS_Daily!E77*activation_mult_C,(MIN(DAMAS_Daily!D77*market_share_C*acceptance_rate*stack_activation,power_mw*hours_per_day,capacity_mwh))*DAMAS_Daily!F77*activation_mult_C)</f>
        <v/>
      </c>
      <c r="N77" s="24">
        <f>F77+M77</f>
        <v/>
      </c>
    </row>
    <row r="78">
      <c r="A78" s="41">
        <f>DAMAS_Daily!A78</f>
        <v/>
      </c>
      <c r="B78" s="42">
        <f>DAMAS_Daily!B78</f>
        <v/>
      </c>
      <c r="C78" s="42">
        <f>IF((power_mw*hours_per_day*damas_afrr_up*capacity_mult_C*stack_capacity*acceptance_rate+(MIN(DAMAS_Daily!C78*market_share_C*acceptance_rate*stack_activation,power_mw*hours_per_day,capacity_mwh))*DAMAS_Daily!E78*activation_mult_C)&gt;=(power_mw*hours_per_day*damas_afrr_down*capacity_mult_C*stack_capacity*acceptance_rate+(MIN(DAMAS_Daily!D78*market_share_C*acceptance_rate*stack_activation,power_mw*hours_per_day,capacity_mwh))*DAMAS_Daily!F78*activation_mult_C),"aFRR+","aFRR-")</f>
        <v/>
      </c>
      <c r="D78" s="43">
        <f>IF(C78="aFRR+",damas_afrr_up*capacity_mult_C,damas_afrr_down*capacity_mult_C)</f>
        <v/>
      </c>
      <c r="E78" s="44">
        <f>acceptance_rate</f>
        <v/>
      </c>
      <c r="F78" s="23">
        <f>IF(C78="aFRR+",power_mw*hours_per_day*damas_afrr_up*capacity_mult_C*stack_capacity*acceptance_rate,power_mw*hours_per_day*damas_afrr_down*capacity_mult_C*stack_capacity*acceptance_rate)</f>
        <v/>
      </c>
      <c r="G78" s="42">
        <f>IF(C78="aFRR+",DAMAS_Daily!I78,DAMAS_Daily!J78)</f>
        <v/>
      </c>
      <c r="H78" s="43">
        <f>IF(C78="aFRR+",DAMAS_Daily!E78,DAMAS_Daily!F78)</f>
        <v/>
      </c>
      <c r="I78" s="43">
        <f>IF(C78="aFRR+",DAMAS_Daily!G78,DAMAS_Daily!H78)</f>
        <v/>
      </c>
      <c r="J78" s="45">
        <f>IF(C78="aFRR+",DAMAS_Daily!C78,DAMAS_Daily!D78)</f>
        <v/>
      </c>
      <c r="K78" s="45">
        <f>IF(C78="aFRR+",MIN(DAMAS_Daily!C78*market_share_C*acceptance_rate*stack_activation,power_mw*hours_per_day,capacity_mwh),MIN(DAMAS_Daily!D78*market_share_C*acceptance_rate*stack_activation,power_mw*hours_per_day,capacity_mwh))</f>
        <v/>
      </c>
      <c r="L78" s="42">
        <f>IF(K78&gt;=capacity_mwh-0.01,"yes","no")</f>
        <v/>
      </c>
      <c r="M78" s="23">
        <f>IF(C78="aFRR+",(MIN(DAMAS_Daily!C78*market_share_C*acceptance_rate*stack_activation,power_mw*hours_per_day,capacity_mwh))*DAMAS_Daily!E78*activation_mult_C,(MIN(DAMAS_Daily!D78*market_share_C*acceptance_rate*stack_activation,power_mw*hours_per_day,capacity_mwh))*DAMAS_Daily!F78*activation_mult_C)</f>
        <v/>
      </c>
      <c r="N78" s="24">
        <f>F78+M78</f>
        <v/>
      </c>
    </row>
    <row r="79">
      <c r="A79" s="41">
        <f>DAMAS_Daily!A79</f>
        <v/>
      </c>
      <c r="B79" s="42">
        <f>DAMAS_Daily!B79</f>
        <v/>
      </c>
      <c r="C79" s="42">
        <f>IF((power_mw*hours_per_day*damas_afrr_up*capacity_mult_C*stack_capacity*acceptance_rate+(MIN(DAMAS_Daily!C79*market_share_C*acceptance_rate*stack_activation,power_mw*hours_per_day,capacity_mwh))*DAMAS_Daily!E79*activation_mult_C)&gt;=(power_mw*hours_per_day*damas_afrr_down*capacity_mult_C*stack_capacity*acceptance_rate+(MIN(DAMAS_Daily!D79*market_share_C*acceptance_rate*stack_activation,power_mw*hours_per_day,capacity_mwh))*DAMAS_Daily!F79*activation_mult_C),"aFRR+","aFRR-")</f>
        <v/>
      </c>
      <c r="D79" s="43">
        <f>IF(C79="aFRR+",damas_afrr_up*capacity_mult_C,damas_afrr_down*capacity_mult_C)</f>
        <v/>
      </c>
      <c r="E79" s="44">
        <f>acceptance_rate</f>
        <v/>
      </c>
      <c r="F79" s="23">
        <f>IF(C79="aFRR+",power_mw*hours_per_day*damas_afrr_up*capacity_mult_C*stack_capacity*acceptance_rate,power_mw*hours_per_day*damas_afrr_down*capacity_mult_C*stack_capacity*acceptance_rate)</f>
        <v/>
      </c>
      <c r="G79" s="42">
        <f>IF(C79="aFRR+",DAMAS_Daily!I79,DAMAS_Daily!J79)</f>
        <v/>
      </c>
      <c r="H79" s="43">
        <f>IF(C79="aFRR+",DAMAS_Daily!E79,DAMAS_Daily!F79)</f>
        <v/>
      </c>
      <c r="I79" s="43">
        <f>IF(C79="aFRR+",DAMAS_Daily!G79,DAMAS_Daily!H79)</f>
        <v/>
      </c>
      <c r="J79" s="45">
        <f>IF(C79="aFRR+",DAMAS_Daily!C79,DAMAS_Daily!D79)</f>
        <v/>
      </c>
      <c r="K79" s="45">
        <f>IF(C79="aFRR+",MIN(DAMAS_Daily!C79*market_share_C*acceptance_rate*stack_activation,power_mw*hours_per_day,capacity_mwh),MIN(DAMAS_Daily!D79*market_share_C*acceptance_rate*stack_activation,power_mw*hours_per_day,capacity_mwh))</f>
        <v/>
      </c>
      <c r="L79" s="42">
        <f>IF(K79&gt;=capacity_mwh-0.01,"yes","no")</f>
        <v/>
      </c>
      <c r="M79" s="23">
        <f>IF(C79="aFRR+",(MIN(DAMAS_Daily!C79*market_share_C*acceptance_rate*stack_activation,power_mw*hours_per_day,capacity_mwh))*DAMAS_Daily!E79*activation_mult_C,(MIN(DAMAS_Daily!D79*market_share_C*acceptance_rate*stack_activation,power_mw*hours_per_day,capacity_mwh))*DAMAS_Daily!F79*activation_mult_C)</f>
        <v/>
      </c>
      <c r="N79" s="24">
        <f>F79+M79</f>
        <v/>
      </c>
    </row>
    <row r="80">
      <c r="A80" s="41">
        <f>DAMAS_Daily!A80</f>
        <v/>
      </c>
      <c r="B80" s="42">
        <f>DAMAS_Daily!B80</f>
        <v/>
      </c>
      <c r="C80" s="42">
        <f>IF((power_mw*hours_per_day*damas_afrr_up*capacity_mult_C*stack_capacity*acceptance_rate+(MIN(DAMAS_Daily!C80*market_share_C*acceptance_rate*stack_activation,power_mw*hours_per_day,capacity_mwh))*DAMAS_Daily!E80*activation_mult_C)&gt;=(power_mw*hours_per_day*damas_afrr_down*capacity_mult_C*stack_capacity*acceptance_rate+(MIN(DAMAS_Daily!D80*market_share_C*acceptance_rate*stack_activation,power_mw*hours_per_day,capacity_mwh))*DAMAS_Daily!F80*activation_mult_C),"aFRR+","aFRR-")</f>
        <v/>
      </c>
      <c r="D80" s="43">
        <f>IF(C80="aFRR+",damas_afrr_up*capacity_mult_C,damas_afrr_down*capacity_mult_C)</f>
        <v/>
      </c>
      <c r="E80" s="44">
        <f>acceptance_rate</f>
        <v/>
      </c>
      <c r="F80" s="23">
        <f>IF(C80="aFRR+",power_mw*hours_per_day*damas_afrr_up*capacity_mult_C*stack_capacity*acceptance_rate,power_mw*hours_per_day*damas_afrr_down*capacity_mult_C*stack_capacity*acceptance_rate)</f>
        <v/>
      </c>
      <c r="G80" s="42">
        <f>IF(C80="aFRR+",DAMAS_Daily!I80,DAMAS_Daily!J80)</f>
        <v/>
      </c>
      <c r="H80" s="43">
        <f>IF(C80="aFRR+",DAMAS_Daily!E80,DAMAS_Daily!F80)</f>
        <v/>
      </c>
      <c r="I80" s="43">
        <f>IF(C80="aFRR+",DAMAS_Daily!G80,DAMAS_Daily!H80)</f>
        <v/>
      </c>
      <c r="J80" s="45">
        <f>IF(C80="aFRR+",DAMAS_Daily!C80,DAMAS_Daily!D80)</f>
        <v/>
      </c>
      <c r="K80" s="45">
        <f>IF(C80="aFRR+",MIN(DAMAS_Daily!C80*market_share_C*acceptance_rate*stack_activation,power_mw*hours_per_day,capacity_mwh),MIN(DAMAS_Daily!D80*market_share_C*acceptance_rate*stack_activation,power_mw*hours_per_day,capacity_mwh))</f>
        <v/>
      </c>
      <c r="L80" s="42">
        <f>IF(K80&gt;=capacity_mwh-0.01,"yes","no")</f>
        <v/>
      </c>
      <c r="M80" s="23">
        <f>IF(C80="aFRR+",(MIN(DAMAS_Daily!C80*market_share_C*acceptance_rate*stack_activation,power_mw*hours_per_day,capacity_mwh))*DAMAS_Daily!E80*activation_mult_C,(MIN(DAMAS_Daily!D80*market_share_C*acceptance_rate*stack_activation,power_mw*hours_per_day,capacity_mwh))*DAMAS_Daily!F80*activation_mult_C)</f>
        <v/>
      </c>
      <c r="N80" s="24">
        <f>F80+M80</f>
        <v/>
      </c>
    </row>
    <row r="81">
      <c r="A81" s="41">
        <f>DAMAS_Daily!A81</f>
        <v/>
      </c>
      <c r="B81" s="42">
        <f>DAMAS_Daily!B81</f>
        <v/>
      </c>
      <c r="C81" s="42">
        <f>IF((power_mw*hours_per_day*damas_afrr_up*capacity_mult_C*stack_capacity*acceptance_rate+(MIN(DAMAS_Daily!C81*market_share_C*acceptance_rate*stack_activation,power_mw*hours_per_day,capacity_mwh))*DAMAS_Daily!E81*activation_mult_C)&gt;=(power_mw*hours_per_day*damas_afrr_down*capacity_mult_C*stack_capacity*acceptance_rate+(MIN(DAMAS_Daily!D81*market_share_C*acceptance_rate*stack_activation,power_mw*hours_per_day,capacity_mwh))*DAMAS_Daily!F81*activation_mult_C),"aFRR+","aFRR-")</f>
        <v/>
      </c>
      <c r="D81" s="43">
        <f>IF(C81="aFRR+",damas_afrr_up*capacity_mult_C,damas_afrr_down*capacity_mult_C)</f>
        <v/>
      </c>
      <c r="E81" s="44">
        <f>acceptance_rate</f>
        <v/>
      </c>
      <c r="F81" s="23">
        <f>IF(C81="aFRR+",power_mw*hours_per_day*damas_afrr_up*capacity_mult_C*stack_capacity*acceptance_rate,power_mw*hours_per_day*damas_afrr_down*capacity_mult_C*stack_capacity*acceptance_rate)</f>
        <v/>
      </c>
      <c r="G81" s="42">
        <f>IF(C81="aFRR+",DAMAS_Daily!I81,DAMAS_Daily!J81)</f>
        <v/>
      </c>
      <c r="H81" s="43">
        <f>IF(C81="aFRR+",DAMAS_Daily!E81,DAMAS_Daily!F81)</f>
        <v/>
      </c>
      <c r="I81" s="43">
        <f>IF(C81="aFRR+",DAMAS_Daily!G81,DAMAS_Daily!H81)</f>
        <v/>
      </c>
      <c r="J81" s="45">
        <f>IF(C81="aFRR+",DAMAS_Daily!C81,DAMAS_Daily!D81)</f>
        <v/>
      </c>
      <c r="K81" s="45">
        <f>IF(C81="aFRR+",MIN(DAMAS_Daily!C81*market_share_C*acceptance_rate*stack_activation,power_mw*hours_per_day,capacity_mwh),MIN(DAMAS_Daily!D81*market_share_C*acceptance_rate*stack_activation,power_mw*hours_per_day,capacity_mwh))</f>
        <v/>
      </c>
      <c r="L81" s="42">
        <f>IF(K81&gt;=capacity_mwh-0.01,"yes","no")</f>
        <v/>
      </c>
      <c r="M81" s="23">
        <f>IF(C81="aFRR+",(MIN(DAMAS_Daily!C81*market_share_C*acceptance_rate*stack_activation,power_mw*hours_per_day,capacity_mwh))*DAMAS_Daily!E81*activation_mult_C,(MIN(DAMAS_Daily!D81*market_share_C*acceptance_rate*stack_activation,power_mw*hours_per_day,capacity_mwh))*DAMAS_Daily!F81*activation_mult_C)</f>
        <v/>
      </c>
      <c r="N81" s="24">
        <f>F81+M81</f>
        <v/>
      </c>
    </row>
    <row r="82">
      <c r="A82" s="41">
        <f>DAMAS_Daily!A82</f>
        <v/>
      </c>
      <c r="B82" s="42">
        <f>DAMAS_Daily!B82</f>
        <v/>
      </c>
      <c r="C82" s="42">
        <f>IF((power_mw*hours_per_day*damas_afrr_up*capacity_mult_C*stack_capacity*acceptance_rate+(MIN(DAMAS_Daily!C82*market_share_C*acceptance_rate*stack_activation,power_mw*hours_per_day,capacity_mwh))*DAMAS_Daily!E82*activation_mult_C)&gt;=(power_mw*hours_per_day*damas_afrr_down*capacity_mult_C*stack_capacity*acceptance_rate+(MIN(DAMAS_Daily!D82*market_share_C*acceptance_rate*stack_activation,power_mw*hours_per_day,capacity_mwh))*DAMAS_Daily!F82*activation_mult_C),"aFRR+","aFRR-")</f>
        <v/>
      </c>
      <c r="D82" s="43">
        <f>IF(C82="aFRR+",damas_afrr_up*capacity_mult_C,damas_afrr_down*capacity_mult_C)</f>
        <v/>
      </c>
      <c r="E82" s="44">
        <f>acceptance_rate</f>
        <v/>
      </c>
      <c r="F82" s="23">
        <f>IF(C82="aFRR+",power_mw*hours_per_day*damas_afrr_up*capacity_mult_C*stack_capacity*acceptance_rate,power_mw*hours_per_day*damas_afrr_down*capacity_mult_C*stack_capacity*acceptance_rate)</f>
        <v/>
      </c>
      <c r="G82" s="42">
        <f>IF(C82="aFRR+",DAMAS_Daily!I82,DAMAS_Daily!J82)</f>
        <v/>
      </c>
      <c r="H82" s="43">
        <f>IF(C82="aFRR+",DAMAS_Daily!E82,DAMAS_Daily!F82)</f>
        <v/>
      </c>
      <c r="I82" s="43">
        <f>IF(C82="aFRR+",DAMAS_Daily!G82,DAMAS_Daily!H82)</f>
        <v/>
      </c>
      <c r="J82" s="45">
        <f>IF(C82="aFRR+",DAMAS_Daily!C82,DAMAS_Daily!D82)</f>
        <v/>
      </c>
      <c r="K82" s="45">
        <f>IF(C82="aFRR+",MIN(DAMAS_Daily!C82*market_share_C*acceptance_rate*stack_activation,power_mw*hours_per_day,capacity_mwh),MIN(DAMAS_Daily!D82*market_share_C*acceptance_rate*stack_activation,power_mw*hours_per_day,capacity_mwh))</f>
        <v/>
      </c>
      <c r="L82" s="42">
        <f>IF(K82&gt;=capacity_mwh-0.01,"yes","no")</f>
        <v/>
      </c>
      <c r="M82" s="23">
        <f>IF(C82="aFRR+",(MIN(DAMAS_Daily!C82*market_share_C*acceptance_rate*stack_activation,power_mw*hours_per_day,capacity_mwh))*DAMAS_Daily!E82*activation_mult_C,(MIN(DAMAS_Daily!D82*market_share_C*acceptance_rate*stack_activation,power_mw*hours_per_day,capacity_mwh))*DAMAS_Daily!F82*activation_mult_C)</f>
        <v/>
      </c>
      <c r="N82" s="24">
        <f>F82+M82</f>
        <v/>
      </c>
    </row>
    <row r="83">
      <c r="A83" s="41">
        <f>DAMAS_Daily!A83</f>
        <v/>
      </c>
      <c r="B83" s="42">
        <f>DAMAS_Daily!B83</f>
        <v/>
      </c>
      <c r="C83" s="42">
        <f>IF((power_mw*hours_per_day*damas_afrr_up*capacity_mult_C*stack_capacity*acceptance_rate+(MIN(DAMAS_Daily!C83*market_share_C*acceptance_rate*stack_activation,power_mw*hours_per_day,capacity_mwh))*DAMAS_Daily!E83*activation_mult_C)&gt;=(power_mw*hours_per_day*damas_afrr_down*capacity_mult_C*stack_capacity*acceptance_rate+(MIN(DAMAS_Daily!D83*market_share_C*acceptance_rate*stack_activation,power_mw*hours_per_day,capacity_mwh))*DAMAS_Daily!F83*activation_mult_C),"aFRR+","aFRR-")</f>
        <v/>
      </c>
      <c r="D83" s="43">
        <f>IF(C83="aFRR+",damas_afrr_up*capacity_mult_C,damas_afrr_down*capacity_mult_C)</f>
        <v/>
      </c>
      <c r="E83" s="44">
        <f>acceptance_rate</f>
        <v/>
      </c>
      <c r="F83" s="23">
        <f>IF(C83="aFRR+",power_mw*hours_per_day*damas_afrr_up*capacity_mult_C*stack_capacity*acceptance_rate,power_mw*hours_per_day*damas_afrr_down*capacity_mult_C*stack_capacity*acceptance_rate)</f>
        <v/>
      </c>
      <c r="G83" s="42">
        <f>IF(C83="aFRR+",DAMAS_Daily!I83,DAMAS_Daily!J83)</f>
        <v/>
      </c>
      <c r="H83" s="43">
        <f>IF(C83="aFRR+",DAMAS_Daily!E83,DAMAS_Daily!F83)</f>
        <v/>
      </c>
      <c r="I83" s="43">
        <f>IF(C83="aFRR+",DAMAS_Daily!G83,DAMAS_Daily!H83)</f>
        <v/>
      </c>
      <c r="J83" s="45">
        <f>IF(C83="aFRR+",DAMAS_Daily!C83,DAMAS_Daily!D83)</f>
        <v/>
      </c>
      <c r="K83" s="45">
        <f>IF(C83="aFRR+",MIN(DAMAS_Daily!C83*market_share_C*acceptance_rate*stack_activation,power_mw*hours_per_day,capacity_mwh),MIN(DAMAS_Daily!D83*market_share_C*acceptance_rate*stack_activation,power_mw*hours_per_day,capacity_mwh))</f>
        <v/>
      </c>
      <c r="L83" s="42">
        <f>IF(K83&gt;=capacity_mwh-0.01,"yes","no")</f>
        <v/>
      </c>
      <c r="M83" s="23">
        <f>IF(C83="aFRR+",(MIN(DAMAS_Daily!C83*market_share_C*acceptance_rate*stack_activation,power_mw*hours_per_day,capacity_mwh))*DAMAS_Daily!E83*activation_mult_C,(MIN(DAMAS_Daily!D83*market_share_C*acceptance_rate*stack_activation,power_mw*hours_per_day,capacity_mwh))*DAMAS_Daily!F83*activation_mult_C)</f>
        <v/>
      </c>
      <c r="N83" s="24">
        <f>F83+M83</f>
        <v/>
      </c>
    </row>
    <row r="84">
      <c r="A84" s="41">
        <f>DAMAS_Daily!A84</f>
        <v/>
      </c>
      <c r="B84" s="42">
        <f>DAMAS_Daily!B84</f>
        <v/>
      </c>
      <c r="C84" s="42">
        <f>IF((power_mw*hours_per_day*damas_afrr_up*capacity_mult_C*stack_capacity*acceptance_rate+(MIN(DAMAS_Daily!C84*market_share_C*acceptance_rate*stack_activation,power_mw*hours_per_day,capacity_mwh))*DAMAS_Daily!E84*activation_mult_C)&gt;=(power_mw*hours_per_day*damas_afrr_down*capacity_mult_C*stack_capacity*acceptance_rate+(MIN(DAMAS_Daily!D84*market_share_C*acceptance_rate*stack_activation,power_mw*hours_per_day,capacity_mwh))*DAMAS_Daily!F84*activation_mult_C),"aFRR+","aFRR-")</f>
        <v/>
      </c>
      <c r="D84" s="43">
        <f>IF(C84="aFRR+",damas_afrr_up*capacity_mult_C,damas_afrr_down*capacity_mult_C)</f>
        <v/>
      </c>
      <c r="E84" s="44">
        <f>acceptance_rate</f>
        <v/>
      </c>
      <c r="F84" s="23">
        <f>IF(C84="aFRR+",power_mw*hours_per_day*damas_afrr_up*capacity_mult_C*stack_capacity*acceptance_rate,power_mw*hours_per_day*damas_afrr_down*capacity_mult_C*stack_capacity*acceptance_rate)</f>
        <v/>
      </c>
      <c r="G84" s="42">
        <f>IF(C84="aFRR+",DAMAS_Daily!I84,DAMAS_Daily!J84)</f>
        <v/>
      </c>
      <c r="H84" s="43">
        <f>IF(C84="aFRR+",DAMAS_Daily!E84,DAMAS_Daily!F84)</f>
        <v/>
      </c>
      <c r="I84" s="43">
        <f>IF(C84="aFRR+",DAMAS_Daily!G84,DAMAS_Daily!H84)</f>
        <v/>
      </c>
      <c r="J84" s="45">
        <f>IF(C84="aFRR+",DAMAS_Daily!C84,DAMAS_Daily!D84)</f>
        <v/>
      </c>
      <c r="K84" s="45">
        <f>IF(C84="aFRR+",MIN(DAMAS_Daily!C84*market_share_C*acceptance_rate*stack_activation,power_mw*hours_per_day,capacity_mwh),MIN(DAMAS_Daily!D84*market_share_C*acceptance_rate*stack_activation,power_mw*hours_per_day,capacity_mwh))</f>
        <v/>
      </c>
      <c r="L84" s="42">
        <f>IF(K84&gt;=capacity_mwh-0.01,"yes","no")</f>
        <v/>
      </c>
      <c r="M84" s="23">
        <f>IF(C84="aFRR+",(MIN(DAMAS_Daily!C84*market_share_C*acceptance_rate*stack_activation,power_mw*hours_per_day,capacity_mwh))*DAMAS_Daily!E84*activation_mult_C,(MIN(DAMAS_Daily!D84*market_share_C*acceptance_rate*stack_activation,power_mw*hours_per_day,capacity_mwh))*DAMAS_Daily!F84*activation_mult_C)</f>
        <v/>
      </c>
      <c r="N84" s="24">
        <f>F84+M84</f>
        <v/>
      </c>
    </row>
    <row r="85">
      <c r="A85" s="41">
        <f>DAMAS_Daily!A85</f>
        <v/>
      </c>
      <c r="B85" s="42">
        <f>DAMAS_Daily!B85</f>
        <v/>
      </c>
      <c r="C85" s="42">
        <f>IF((power_mw*hours_per_day*damas_afrr_up*capacity_mult_C*stack_capacity*acceptance_rate+(MIN(DAMAS_Daily!C85*market_share_C*acceptance_rate*stack_activation,power_mw*hours_per_day,capacity_mwh))*DAMAS_Daily!E85*activation_mult_C)&gt;=(power_mw*hours_per_day*damas_afrr_down*capacity_mult_C*stack_capacity*acceptance_rate+(MIN(DAMAS_Daily!D85*market_share_C*acceptance_rate*stack_activation,power_mw*hours_per_day,capacity_mwh))*DAMAS_Daily!F85*activation_mult_C),"aFRR+","aFRR-")</f>
        <v/>
      </c>
      <c r="D85" s="43">
        <f>IF(C85="aFRR+",damas_afrr_up*capacity_mult_C,damas_afrr_down*capacity_mult_C)</f>
        <v/>
      </c>
      <c r="E85" s="44">
        <f>acceptance_rate</f>
        <v/>
      </c>
      <c r="F85" s="23">
        <f>IF(C85="aFRR+",power_mw*hours_per_day*damas_afrr_up*capacity_mult_C*stack_capacity*acceptance_rate,power_mw*hours_per_day*damas_afrr_down*capacity_mult_C*stack_capacity*acceptance_rate)</f>
        <v/>
      </c>
      <c r="G85" s="42">
        <f>IF(C85="aFRR+",DAMAS_Daily!I85,DAMAS_Daily!J85)</f>
        <v/>
      </c>
      <c r="H85" s="43">
        <f>IF(C85="aFRR+",DAMAS_Daily!E85,DAMAS_Daily!F85)</f>
        <v/>
      </c>
      <c r="I85" s="43">
        <f>IF(C85="aFRR+",DAMAS_Daily!G85,DAMAS_Daily!H85)</f>
        <v/>
      </c>
      <c r="J85" s="45">
        <f>IF(C85="aFRR+",DAMAS_Daily!C85,DAMAS_Daily!D85)</f>
        <v/>
      </c>
      <c r="K85" s="45">
        <f>IF(C85="aFRR+",MIN(DAMAS_Daily!C85*market_share_C*acceptance_rate*stack_activation,power_mw*hours_per_day,capacity_mwh),MIN(DAMAS_Daily!D85*market_share_C*acceptance_rate*stack_activation,power_mw*hours_per_day,capacity_mwh))</f>
        <v/>
      </c>
      <c r="L85" s="42">
        <f>IF(K85&gt;=capacity_mwh-0.01,"yes","no")</f>
        <v/>
      </c>
      <c r="M85" s="23">
        <f>IF(C85="aFRR+",(MIN(DAMAS_Daily!C85*market_share_C*acceptance_rate*stack_activation,power_mw*hours_per_day,capacity_mwh))*DAMAS_Daily!E85*activation_mult_C,(MIN(DAMAS_Daily!D85*market_share_C*acceptance_rate*stack_activation,power_mw*hours_per_day,capacity_mwh))*DAMAS_Daily!F85*activation_mult_C)</f>
        <v/>
      </c>
      <c r="N85" s="24">
        <f>F85+M85</f>
        <v/>
      </c>
    </row>
    <row r="86">
      <c r="A86" s="41">
        <f>DAMAS_Daily!A86</f>
        <v/>
      </c>
      <c r="B86" s="42">
        <f>DAMAS_Daily!B86</f>
        <v/>
      </c>
      <c r="C86" s="42">
        <f>IF((power_mw*hours_per_day*damas_afrr_up*capacity_mult_C*stack_capacity*acceptance_rate+(MIN(DAMAS_Daily!C86*market_share_C*acceptance_rate*stack_activation,power_mw*hours_per_day,capacity_mwh))*DAMAS_Daily!E86*activation_mult_C)&gt;=(power_mw*hours_per_day*damas_afrr_down*capacity_mult_C*stack_capacity*acceptance_rate+(MIN(DAMAS_Daily!D86*market_share_C*acceptance_rate*stack_activation,power_mw*hours_per_day,capacity_mwh))*DAMAS_Daily!F86*activation_mult_C),"aFRR+","aFRR-")</f>
        <v/>
      </c>
      <c r="D86" s="43">
        <f>IF(C86="aFRR+",damas_afrr_up*capacity_mult_C,damas_afrr_down*capacity_mult_C)</f>
        <v/>
      </c>
      <c r="E86" s="44">
        <f>acceptance_rate</f>
        <v/>
      </c>
      <c r="F86" s="23">
        <f>IF(C86="aFRR+",power_mw*hours_per_day*damas_afrr_up*capacity_mult_C*stack_capacity*acceptance_rate,power_mw*hours_per_day*damas_afrr_down*capacity_mult_C*stack_capacity*acceptance_rate)</f>
        <v/>
      </c>
      <c r="G86" s="42">
        <f>IF(C86="aFRR+",DAMAS_Daily!I86,DAMAS_Daily!J86)</f>
        <v/>
      </c>
      <c r="H86" s="43">
        <f>IF(C86="aFRR+",DAMAS_Daily!E86,DAMAS_Daily!F86)</f>
        <v/>
      </c>
      <c r="I86" s="43">
        <f>IF(C86="aFRR+",DAMAS_Daily!G86,DAMAS_Daily!H86)</f>
        <v/>
      </c>
      <c r="J86" s="45">
        <f>IF(C86="aFRR+",DAMAS_Daily!C86,DAMAS_Daily!D86)</f>
        <v/>
      </c>
      <c r="K86" s="45">
        <f>IF(C86="aFRR+",MIN(DAMAS_Daily!C86*market_share_C*acceptance_rate*stack_activation,power_mw*hours_per_day,capacity_mwh),MIN(DAMAS_Daily!D86*market_share_C*acceptance_rate*stack_activation,power_mw*hours_per_day,capacity_mwh))</f>
        <v/>
      </c>
      <c r="L86" s="42">
        <f>IF(K86&gt;=capacity_mwh-0.01,"yes","no")</f>
        <v/>
      </c>
      <c r="M86" s="23">
        <f>IF(C86="aFRR+",(MIN(DAMAS_Daily!C86*market_share_C*acceptance_rate*stack_activation,power_mw*hours_per_day,capacity_mwh))*DAMAS_Daily!E86*activation_mult_C,(MIN(DAMAS_Daily!D86*market_share_C*acceptance_rate*stack_activation,power_mw*hours_per_day,capacity_mwh))*DAMAS_Daily!F86*activation_mult_C)</f>
        <v/>
      </c>
      <c r="N86" s="24">
        <f>F86+M86</f>
        <v/>
      </c>
    </row>
    <row r="87">
      <c r="A87" s="41">
        <f>DAMAS_Daily!A87</f>
        <v/>
      </c>
      <c r="B87" s="42">
        <f>DAMAS_Daily!B87</f>
        <v/>
      </c>
      <c r="C87" s="42">
        <f>IF((power_mw*hours_per_day*damas_afrr_up*capacity_mult_C*stack_capacity*acceptance_rate+(MIN(DAMAS_Daily!C87*market_share_C*acceptance_rate*stack_activation,power_mw*hours_per_day,capacity_mwh))*DAMAS_Daily!E87*activation_mult_C)&gt;=(power_mw*hours_per_day*damas_afrr_down*capacity_mult_C*stack_capacity*acceptance_rate+(MIN(DAMAS_Daily!D87*market_share_C*acceptance_rate*stack_activation,power_mw*hours_per_day,capacity_mwh))*DAMAS_Daily!F87*activation_mult_C),"aFRR+","aFRR-")</f>
        <v/>
      </c>
      <c r="D87" s="43">
        <f>IF(C87="aFRR+",damas_afrr_up*capacity_mult_C,damas_afrr_down*capacity_mult_C)</f>
        <v/>
      </c>
      <c r="E87" s="44">
        <f>acceptance_rate</f>
        <v/>
      </c>
      <c r="F87" s="23">
        <f>IF(C87="aFRR+",power_mw*hours_per_day*damas_afrr_up*capacity_mult_C*stack_capacity*acceptance_rate,power_mw*hours_per_day*damas_afrr_down*capacity_mult_C*stack_capacity*acceptance_rate)</f>
        <v/>
      </c>
      <c r="G87" s="42">
        <f>IF(C87="aFRR+",DAMAS_Daily!I87,DAMAS_Daily!J87)</f>
        <v/>
      </c>
      <c r="H87" s="43">
        <f>IF(C87="aFRR+",DAMAS_Daily!E87,DAMAS_Daily!F87)</f>
        <v/>
      </c>
      <c r="I87" s="43">
        <f>IF(C87="aFRR+",DAMAS_Daily!G87,DAMAS_Daily!H87)</f>
        <v/>
      </c>
      <c r="J87" s="45">
        <f>IF(C87="aFRR+",DAMAS_Daily!C87,DAMAS_Daily!D87)</f>
        <v/>
      </c>
      <c r="K87" s="45">
        <f>IF(C87="aFRR+",MIN(DAMAS_Daily!C87*market_share_C*acceptance_rate*stack_activation,power_mw*hours_per_day,capacity_mwh),MIN(DAMAS_Daily!D87*market_share_C*acceptance_rate*stack_activation,power_mw*hours_per_day,capacity_mwh))</f>
        <v/>
      </c>
      <c r="L87" s="42">
        <f>IF(K87&gt;=capacity_mwh-0.01,"yes","no")</f>
        <v/>
      </c>
      <c r="M87" s="23">
        <f>IF(C87="aFRR+",(MIN(DAMAS_Daily!C87*market_share_C*acceptance_rate*stack_activation,power_mw*hours_per_day,capacity_mwh))*DAMAS_Daily!E87*activation_mult_C,(MIN(DAMAS_Daily!D87*market_share_C*acceptance_rate*stack_activation,power_mw*hours_per_day,capacity_mwh))*DAMAS_Daily!F87*activation_mult_C)</f>
        <v/>
      </c>
      <c r="N87" s="24">
        <f>F87+M87</f>
        <v/>
      </c>
    </row>
    <row r="88">
      <c r="A88" s="41">
        <f>DAMAS_Daily!A88</f>
        <v/>
      </c>
      <c r="B88" s="42">
        <f>DAMAS_Daily!B88</f>
        <v/>
      </c>
      <c r="C88" s="42">
        <f>IF((power_mw*hours_per_day*damas_afrr_up*capacity_mult_C*stack_capacity*acceptance_rate+(MIN(DAMAS_Daily!C88*market_share_C*acceptance_rate*stack_activation,power_mw*hours_per_day,capacity_mwh))*DAMAS_Daily!E88*activation_mult_C)&gt;=(power_mw*hours_per_day*damas_afrr_down*capacity_mult_C*stack_capacity*acceptance_rate+(MIN(DAMAS_Daily!D88*market_share_C*acceptance_rate*stack_activation,power_mw*hours_per_day,capacity_mwh))*DAMAS_Daily!F88*activation_mult_C),"aFRR+","aFRR-")</f>
        <v/>
      </c>
      <c r="D88" s="43">
        <f>IF(C88="aFRR+",damas_afrr_up*capacity_mult_C,damas_afrr_down*capacity_mult_C)</f>
        <v/>
      </c>
      <c r="E88" s="44">
        <f>acceptance_rate</f>
        <v/>
      </c>
      <c r="F88" s="23">
        <f>IF(C88="aFRR+",power_mw*hours_per_day*damas_afrr_up*capacity_mult_C*stack_capacity*acceptance_rate,power_mw*hours_per_day*damas_afrr_down*capacity_mult_C*stack_capacity*acceptance_rate)</f>
        <v/>
      </c>
      <c r="G88" s="42">
        <f>IF(C88="aFRR+",DAMAS_Daily!I88,DAMAS_Daily!J88)</f>
        <v/>
      </c>
      <c r="H88" s="43">
        <f>IF(C88="aFRR+",DAMAS_Daily!E88,DAMAS_Daily!F88)</f>
        <v/>
      </c>
      <c r="I88" s="43">
        <f>IF(C88="aFRR+",DAMAS_Daily!G88,DAMAS_Daily!H88)</f>
        <v/>
      </c>
      <c r="J88" s="45">
        <f>IF(C88="aFRR+",DAMAS_Daily!C88,DAMAS_Daily!D88)</f>
        <v/>
      </c>
      <c r="K88" s="45">
        <f>IF(C88="aFRR+",MIN(DAMAS_Daily!C88*market_share_C*acceptance_rate*stack_activation,power_mw*hours_per_day,capacity_mwh),MIN(DAMAS_Daily!D88*market_share_C*acceptance_rate*stack_activation,power_mw*hours_per_day,capacity_mwh))</f>
        <v/>
      </c>
      <c r="L88" s="42">
        <f>IF(K88&gt;=capacity_mwh-0.01,"yes","no")</f>
        <v/>
      </c>
      <c r="M88" s="23">
        <f>IF(C88="aFRR+",(MIN(DAMAS_Daily!C88*market_share_C*acceptance_rate*stack_activation,power_mw*hours_per_day,capacity_mwh))*DAMAS_Daily!E88*activation_mult_C,(MIN(DAMAS_Daily!D88*market_share_C*acceptance_rate*stack_activation,power_mw*hours_per_day,capacity_mwh))*DAMAS_Daily!F88*activation_mult_C)</f>
        <v/>
      </c>
      <c r="N88" s="24">
        <f>F88+M88</f>
        <v/>
      </c>
    </row>
    <row r="89">
      <c r="A89" s="41">
        <f>DAMAS_Daily!A89</f>
        <v/>
      </c>
      <c r="B89" s="42">
        <f>DAMAS_Daily!B89</f>
        <v/>
      </c>
      <c r="C89" s="42">
        <f>IF((power_mw*hours_per_day*damas_afrr_up*capacity_mult_C*stack_capacity*acceptance_rate+(MIN(DAMAS_Daily!C89*market_share_C*acceptance_rate*stack_activation,power_mw*hours_per_day,capacity_mwh))*DAMAS_Daily!E89*activation_mult_C)&gt;=(power_mw*hours_per_day*damas_afrr_down*capacity_mult_C*stack_capacity*acceptance_rate+(MIN(DAMAS_Daily!D89*market_share_C*acceptance_rate*stack_activation,power_mw*hours_per_day,capacity_mwh))*DAMAS_Daily!F89*activation_mult_C),"aFRR+","aFRR-")</f>
        <v/>
      </c>
      <c r="D89" s="43">
        <f>IF(C89="aFRR+",damas_afrr_up*capacity_mult_C,damas_afrr_down*capacity_mult_C)</f>
        <v/>
      </c>
      <c r="E89" s="44">
        <f>acceptance_rate</f>
        <v/>
      </c>
      <c r="F89" s="23">
        <f>IF(C89="aFRR+",power_mw*hours_per_day*damas_afrr_up*capacity_mult_C*stack_capacity*acceptance_rate,power_mw*hours_per_day*damas_afrr_down*capacity_mult_C*stack_capacity*acceptance_rate)</f>
        <v/>
      </c>
      <c r="G89" s="42">
        <f>IF(C89="aFRR+",DAMAS_Daily!I89,DAMAS_Daily!J89)</f>
        <v/>
      </c>
      <c r="H89" s="43">
        <f>IF(C89="aFRR+",DAMAS_Daily!E89,DAMAS_Daily!F89)</f>
        <v/>
      </c>
      <c r="I89" s="43">
        <f>IF(C89="aFRR+",DAMAS_Daily!G89,DAMAS_Daily!H89)</f>
        <v/>
      </c>
      <c r="J89" s="45">
        <f>IF(C89="aFRR+",DAMAS_Daily!C89,DAMAS_Daily!D89)</f>
        <v/>
      </c>
      <c r="K89" s="45">
        <f>IF(C89="aFRR+",MIN(DAMAS_Daily!C89*market_share_C*acceptance_rate*stack_activation,power_mw*hours_per_day,capacity_mwh),MIN(DAMAS_Daily!D89*market_share_C*acceptance_rate*stack_activation,power_mw*hours_per_day,capacity_mwh))</f>
        <v/>
      </c>
      <c r="L89" s="42">
        <f>IF(K89&gt;=capacity_mwh-0.01,"yes","no")</f>
        <v/>
      </c>
      <c r="M89" s="23">
        <f>IF(C89="aFRR+",(MIN(DAMAS_Daily!C89*market_share_C*acceptance_rate*stack_activation,power_mw*hours_per_day,capacity_mwh))*DAMAS_Daily!E89*activation_mult_C,(MIN(DAMAS_Daily!D89*market_share_C*acceptance_rate*stack_activation,power_mw*hours_per_day,capacity_mwh))*DAMAS_Daily!F89*activation_mult_C)</f>
        <v/>
      </c>
      <c r="N89" s="24">
        <f>F89+M89</f>
        <v/>
      </c>
    </row>
    <row r="90">
      <c r="A90" s="41">
        <f>DAMAS_Daily!A90</f>
        <v/>
      </c>
      <c r="B90" s="42">
        <f>DAMAS_Daily!B90</f>
        <v/>
      </c>
      <c r="C90" s="42">
        <f>IF((power_mw*hours_per_day*damas_afrr_up*capacity_mult_C*stack_capacity*acceptance_rate+(MIN(DAMAS_Daily!C90*market_share_C*acceptance_rate*stack_activation,power_mw*hours_per_day,capacity_mwh))*DAMAS_Daily!E90*activation_mult_C)&gt;=(power_mw*hours_per_day*damas_afrr_down*capacity_mult_C*stack_capacity*acceptance_rate+(MIN(DAMAS_Daily!D90*market_share_C*acceptance_rate*stack_activation,power_mw*hours_per_day,capacity_mwh))*DAMAS_Daily!F90*activation_mult_C),"aFRR+","aFRR-")</f>
        <v/>
      </c>
      <c r="D90" s="43">
        <f>IF(C90="aFRR+",damas_afrr_up*capacity_mult_C,damas_afrr_down*capacity_mult_C)</f>
        <v/>
      </c>
      <c r="E90" s="44">
        <f>acceptance_rate</f>
        <v/>
      </c>
      <c r="F90" s="23">
        <f>IF(C90="aFRR+",power_mw*hours_per_day*damas_afrr_up*capacity_mult_C*stack_capacity*acceptance_rate,power_mw*hours_per_day*damas_afrr_down*capacity_mult_C*stack_capacity*acceptance_rate)</f>
        <v/>
      </c>
      <c r="G90" s="42">
        <f>IF(C90="aFRR+",DAMAS_Daily!I90,DAMAS_Daily!J90)</f>
        <v/>
      </c>
      <c r="H90" s="43">
        <f>IF(C90="aFRR+",DAMAS_Daily!E90,DAMAS_Daily!F90)</f>
        <v/>
      </c>
      <c r="I90" s="43">
        <f>IF(C90="aFRR+",DAMAS_Daily!G90,DAMAS_Daily!H90)</f>
        <v/>
      </c>
      <c r="J90" s="45">
        <f>IF(C90="aFRR+",DAMAS_Daily!C90,DAMAS_Daily!D90)</f>
        <v/>
      </c>
      <c r="K90" s="45">
        <f>IF(C90="aFRR+",MIN(DAMAS_Daily!C90*market_share_C*acceptance_rate*stack_activation,power_mw*hours_per_day,capacity_mwh),MIN(DAMAS_Daily!D90*market_share_C*acceptance_rate*stack_activation,power_mw*hours_per_day,capacity_mwh))</f>
        <v/>
      </c>
      <c r="L90" s="42">
        <f>IF(K90&gt;=capacity_mwh-0.01,"yes","no")</f>
        <v/>
      </c>
      <c r="M90" s="23">
        <f>IF(C90="aFRR+",(MIN(DAMAS_Daily!C90*market_share_C*acceptance_rate*stack_activation,power_mw*hours_per_day,capacity_mwh))*DAMAS_Daily!E90*activation_mult_C,(MIN(DAMAS_Daily!D90*market_share_C*acceptance_rate*stack_activation,power_mw*hours_per_day,capacity_mwh))*DAMAS_Daily!F90*activation_mult_C)</f>
        <v/>
      </c>
      <c r="N90" s="24">
        <f>F90+M90</f>
        <v/>
      </c>
    </row>
    <row r="91">
      <c r="A91" s="41">
        <f>DAMAS_Daily!A91</f>
        <v/>
      </c>
      <c r="B91" s="42">
        <f>DAMAS_Daily!B91</f>
        <v/>
      </c>
      <c r="C91" s="42">
        <f>IF((power_mw*hours_per_day*damas_afrr_up*capacity_mult_C*stack_capacity*acceptance_rate+(MIN(DAMAS_Daily!C91*market_share_C*acceptance_rate*stack_activation,power_mw*hours_per_day,capacity_mwh))*DAMAS_Daily!E91*activation_mult_C)&gt;=(power_mw*hours_per_day*damas_afrr_down*capacity_mult_C*stack_capacity*acceptance_rate+(MIN(DAMAS_Daily!D91*market_share_C*acceptance_rate*stack_activation,power_mw*hours_per_day,capacity_mwh))*DAMAS_Daily!F91*activation_mult_C),"aFRR+","aFRR-")</f>
        <v/>
      </c>
      <c r="D91" s="43">
        <f>IF(C91="aFRR+",damas_afrr_up*capacity_mult_C,damas_afrr_down*capacity_mult_C)</f>
        <v/>
      </c>
      <c r="E91" s="44">
        <f>acceptance_rate</f>
        <v/>
      </c>
      <c r="F91" s="23">
        <f>IF(C91="aFRR+",power_mw*hours_per_day*damas_afrr_up*capacity_mult_C*stack_capacity*acceptance_rate,power_mw*hours_per_day*damas_afrr_down*capacity_mult_C*stack_capacity*acceptance_rate)</f>
        <v/>
      </c>
      <c r="G91" s="42">
        <f>IF(C91="aFRR+",DAMAS_Daily!I91,DAMAS_Daily!J91)</f>
        <v/>
      </c>
      <c r="H91" s="43">
        <f>IF(C91="aFRR+",DAMAS_Daily!E91,DAMAS_Daily!F91)</f>
        <v/>
      </c>
      <c r="I91" s="43">
        <f>IF(C91="aFRR+",DAMAS_Daily!G91,DAMAS_Daily!H91)</f>
        <v/>
      </c>
      <c r="J91" s="45">
        <f>IF(C91="aFRR+",DAMAS_Daily!C91,DAMAS_Daily!D91)</f>
        <v/>
      </c>
      <c r="K91" s="45">
        <f>IF(C91="aFRR+",MIN(DAMAS_Daily!C91*market_share_C*acceptance_rate*stack_activation,power_mw*hours_per_day,capacity_mwh),MIN(DAMAS_Daily!D91*market_share_C*acceptance_rate*stack_activation,power_mw*hours_per_day,capacity_mwh))</f>
        <v/>
      </c>
      <c r="L91" s="42">
        <f>IF(K91&gt;=capacity_mwh-0.01,"yes","no")</f>
        <v/>
      </c>
      <c r="M91" s="23">
        <f>IF(C91="aFRR+",(MIN(DAMAS_Daily!C91*market_share_C*acceptance_rate*stack_activation,power_mw*hours_per_day,capacity_mwh))*DAMAS_Daily!E91*activation_mult_C,(MIN(DAMAS_Daily!D91*market_share_C*acceptance_rate*stack_activation,power_mw*hours_per_day,capacity_mwh))*DAMAS_Daily!F91*activation_mult_C)</f>
        <v/>
      </c>
      <c r="N91" s="24">
        <f>F91+M91</f>
        <v/>
      </c>
    </row>
    <row r="92">
      <c r="A92" s="41">
        <f>DAMAS_Daily!A92</f>
        <v/>
      </c>
      <c r="B92" s="42">
        <f>DAMAS_Daily!B92</f>
        <v/>
      </c>
      <c r="C92" s="42">
        <f>IF((power_mw*hours_per_day*damas_afrr_up*capacity_mult_C*stack_capacity*acceptance_rate+(MIN(DAMAS_Daily!C92*market_share_C*acceptance_rate*stack_activation,power_mw*hours_per_day,capacity_mwh))*DAMAS_Daily!E92*activation_mult_C)&gt;=(power_mw*hours_per_day*damas_afrr_down*capacity_mult_C*stack_capacity*acceptance_rate+(MIN(DAMAS_Daily!D92*market_share_C*acceptance_rate*stack_activation,power_mw*hours_per_day,capacity_mwh))*DAMAS_Daily!F92*activation_mult_C),"aFRR+","aFRR-")</f>
        <v/>
      </c>
      <c r="D92" s="43">
        <f>IF(C92="aFRR+",damas_afrr_up*capacity_mult_C,damas_afrr_down*capacity_mult_C)</f>
        <v/>
      </c>
      <c r="E92" s="44">
        <f>acceptance_rate</f>
        <v/>
      </c>
      <c r="F92" s="23">
        <f>IF(C92="aFRR+",power_mw*hours_per_day*damas_afrr_up*capacity_mult_C*stack_capacity*acceptance_rate,power_mw*hours_per_day*damas_afrr_down*capacity_mult_C*stack_capacity*acceptance_rate)</f>
        <v/>
      </c>
      <c r="G92" s="42">
        <f>IF(C92="aFRR+",DAMAS_Daily!I92,DAMAS_Daily!J92)</f>
        <v/>
      </c>
      <c r="H92" s="43">
        <f>IF(C92="aFRR+",DAMAS_Daily!E92,DAMAS_Daily!F92)</f>
        <v/>
      </c>
      <c r="I92" s="43">
        <f>IF(C92="aFRR+",DAMAS_Daily!G92,DAMAS_Daily!H92)</f>
        <v/>
      </c>
      <c r="J92" s="45">
        <f>IF(C92="aFRR+",DAMAS_Daily!C92,DAMAS_Daily!D92)</f>
        <v/>
      </c>
      <c r="K92" s="45">
        <f>IF(C92="aFRR+",MIN(DAMAS_Daily!C92*market_share_C*acceptance_rate*stack_activation,power_mw*hours_per_day,capacity_mwh),MIN(DAMAS_Daily!D92*market_share_C*acceptance_rate*stack_activation,power_mw*hours_per_day,capacity_mwh))</f>
        <v/>
      </c>
      <c r="L92" s="42">
        <f>IF(K92&gt;=capacity_mwh-0.01,"yes","no")</f>
        <v/>
      </c>
      <c r="M92" s="23">
        <f>IF(C92="aFRR+",(MIN(DAMAS_Daily!C92*market_share_C*acceptance_rate*stack_activation,power_mw*hours_per_day,capacity_mwh))*DAMAS_Daily!E92*activation_mult_C,(MIN(DAMAS_Daily!D92*market_share_C*acceptance_rate*stack_activation,power_mw*hours_per_day,capacity_mwh))*DAMAS_Daily!F92*activation_mult_C)</f>
        <v/>
      </c>
      <c r="N92" s="24">
        <f>F92+M92</f>
        <v/>
      </c>
    </row>
    <row r="93">
      <c r="A93" s="41">
        <f>DAMAS_Daily!A93</f>
        <v/>
      </c>
      <c r="B93" s="42">
        <f>DAMAS_Daily!B93</f>
        <v/>
      </c>
      <c r="C93" s="42">
        <f>IF((power_mw*hours_per_day*damas_afrr_up*capacity_mult_C*stack_capacity*acceptance_rate+(MIN(DAMAS_Daily!C93*market_share_C*acceptance_rate*stack_activation,power_mw*hours_per_day,capacity_mwh))*DAMAS_Daily!E93*activation_mult_C)&gt;=(power_mw*hours_per_day*damas_afrr_down*capacity_mult_C*stack_capacity*acceptance_rate+(MIN(DAMAS_Daily!D93*market_share_C*acceptance_rate*stack_activation,power_mw*hours_per_day,capacity_mwh))*DAMAS_Daily!F93*activation_mult_C),"aFRR+","aFRR-")</f>
        <v/>
      </c>
      <c r="D93" s="43">
        <f>IF(C93="aFRR+",damas_afrr_up*capacity_mult_C,damas_afrr_down*capacity_mult_C)</f>
        <v/>
      </c>
      <c r="E93" s="44">
        <f>acceptance_rate</f>
        <v/>
      </c>
      <c r="F93" s="23">
        <f>IF(C93="aFRR+",power_mw*hours_per_day*damas_afrr_up*capacity_mult_C*stack_capacity*acceptance_rate,power_mw*hours_per_day*damas_afrr_down*capacity_mult_C*stack_capacity*acceptance_rate)</f>
        <v/>
      </c>
      <c r="G93" s="42">
        <f>IF(C93="aFRR+",DAMAS_Daily!I93,DAMAS_Daily!J93)</f>
        <v/>
      </c>
      <c r="H93" s="43">
        <f>IF(C93="aFRR+",DAMAS_Daily!E93,DAMAS_Daily!F93)</f>
        <v/>
      </c>
      <c r="I93" s="43">
        <f>IF(C93="aFRR+",DAMAS_Daily!G93,DAMAS_Daily!H93)</f>
        <v/>
      </c>
      <c r="J93" s="45">
        <f>IF(C93="aFRR+",DAMAS_Daily!C93,DAMAS_Daily!D93)</f>
        <v/>
      </c>
      <c r="K93" s="45">
        <f>IF(C93="aFRR+",MIN(DAMAS_Daily!C93*market_share_C*acceptance_rate*stack_activation,power_mw*hours_per_day,capacity_mwh),MIN(DAMAS_Daily!D93*market_share_C*acceptance_rate*stack_activation,power_mw*hours_per_day,capacity_mwh))</f>
        <v/>
      </c>
      <c r="L93" s="42">
        <f>IF(K93&gt;=capacity_mwh-0.01,"yes","no")</f>
        <v/>
      </c>
      <c r="M93" s="23">
        <f>IF(C93="aFRR+",(MIN(DAMAS_Daily!C93*market_share_C*acceptance_rate*stack_activation,power_mw*hours_per_day,capacity_mwh))*DAMAS_Daily!E93*activation_mult_C,(MIN(DAMAS_Daily!D93*market_share_C*acceptance_rate*stack_activation,power_mw*hours_per_day,capacity_mwh))*DAMAS_Daily!F93*activation_mult_C)</f>
        <v/>
      </c>
      <c r="N93" s="24">
        <f>F93+M93</f>
        <v/>
      </c>
    </row>
    <row r="94">
      <c r="A94" s="41">
        <f>DAMAS_Daily!A94</f>
        <v/>
      </c>
      <c r="B94" s="42">
        <f>DAMAS_Daily!B94</f>
        <v/>
      </c>
      <c r="C94" s="42">
        <f>IF((power_mw*hours_per_day*damas_afrr_up*capacity_mult_C*stack_capacity*acceptance_rate+(MIN(DAMAS_Daily!C94*market_share_C*acceptance_rate*stack_activation,power_mw*hours_per_day,capacity_mwh))*DAMAS_Daily!E94*activation_mult_C)&gt;=(power_mw*hours_per_day*damas_afrr_down*capacity_mult_C*stack_capacity*acceptance_rate+(MIN(DAMAS_Daily!D94*market_share_C*acceptance_rate*stack_activation,power_mw*hours_per_day,capacity_mwh))*DAMAS_Daily!F94*activation_mult_C),"aFRR+","aFRR-")</f>
        <v/>
      </c>
      <c r="D94" s="43">
        <f>IF(C94="aFRR+",damas_afrr_up*capacity_mult_C,damas_afrr_down*capacity_mult_C)</f>
        <v/>
      </c>
      <c r="E94" s="44">
        <f>acceptance_rate</f>
        <v/>
      </c>
      <c r="F94" s="23">
        <f>IF(C94="aFRR+",power_mw*hours_per_day*damas_afrr_up*capacity_mult_C*stack_capacity*acceptance_rate,power_mw*hours_per_day*damas_afrr_down*capacity_mult_C*stack_capacity*acceptance_rate)</f>
        <v/>
      </c>
      <c r="G94" s="42">
        <f>IF(C94="aFRR+",DAMAS_Daily!I94,DAMAS_Daily!J94)</f>
        <v/>
      </c>
      <c r="H94" s="43">
        <f>IF(C94="aFRR+",DAMAS_Daily!E94,DAMAS_Daily!F94)</f>
        <v/>
      </c>
      <c r="I94" s="43">
        <f>IF(C94="aFRR+",DAMAS_Daily!G94,DAMAS_Daily!H94)</f>
        <v/>
      </c>
      <c r="J94" s="45">
        <f>IF(C94="aFRR+",DAMAS_Daily!C94,DAMAS_Daily!D94)</f>
        <v/>
      </c>
      <c r="K94" s="45">
        <f>IF(C94="aFRR+",MIN(DAMAS_Daily!C94*market_share_C*acceptance_rate*stack_activation,power_mw*hours_per_day,capacity_mwh),MIN(DAMAS_Daily!D94*market_share_C*acceptance_rate*stack_activation,power_mw*hours_per_day,capacity_mwh))</f>
        <v/>
      </c>
      <c r="L94" s="42">
        <f>IF(K94&gt;=capacity_mwh-0.01,"yes","no")</f>
        <v/>
      </c>
      <c r="M94" s="23">
        <f>IF(C94="aFRR+",(MIN(DAMAS_Daily!C94*market_share_C*acceptance_rate*stack_activation,power_mw*hours_per_day,capacity_mwh))*DAMAS_Daily!E94*activation_mult_C,(MIN(DAMAS_Daily!D94*market_share_C*acceptance_rate*stack_activation,power_mw*hours_per_day,capacity_mwh))*DAMAS_Daily!F94*activation_mult_C)</f>
        <v/>
      </c>
      <c r="N94" s="24">
        <f>F94+M94</f>
        <v/>
      </c>
    </row>
    <row r="95">
      <c r="A95" s="41">
        <f>DAMAS_Daily!A95</f>
        <v/>
      </c>
      <c r="B95" s="42">
        <f>DAMAS_Daily!B95</f>
        <v/>
      </c>
      <c r="C95" s="42">
        <f>IF((power_mw*hours_per_day*damas_afrr_up*capacity_mult_C*stack_capacity*acceptance_rate+(MIN(DAMAS_Daily!C95*market_share_C*acceptance_rate*stack_activation,power_mw*hours_per_day,capacity_mwh))*DAMAS_Daily!E95*activation_mult_C)&gt;=(power_mw*hours_per_day*damas_afrr_down*capacity_mult_C*stack_capacity*acceptance_rate+(MIN(DAMAS_Daily!D95*market_share_C*acceptance_rate*stack_activation,power_mw*hours_per_day,capacity_mwh))*DAMAS_Daily!F95*activation_mult_C),"aFRR+","aFRR-")</f>
        <v/>
      </c>
      <c r="D95" s="43">
        <f>IF(C95="aFRR+",damas_afrr_up*capacity_mult_C,damas_afrr_down*capacity_mult_C)</f>
        <v/>
      </c>
      <c r="E95" s="44">
        <f>acceptance_rate</f>
        <v/>
      </c>
      <c r="F95" s="23">
        <f>IF(C95="aFRR+",power_mw*hours_per_day*damas_afrr_up*capacity_mult_C*stack_capacity*acceptance_rate,power_mw*hours_per_day*damas_afrr_down*capacity_mult_C*stack_capacity*acceptance_rate)</f>
        <v/>
      </c>
      <c r="G95" s="42">
        <f>IF(C95="aFRR+",DAMAS_Daily!I95,DAMAS_Daily!J95)</f>
        <v/>
      </c>
      <c r="H95" s="43">
        <f>IF(C95="aFRR+",DAMAS_Daily!E95,DAMAS_Daily!F95)</f>
        <v/>
      </c>
      <c r="I95" s="43">
        <f>IF(C95="aFRR+",DAMAS_Daily!G95,DAMAS_Daily!H95)</f>
        <v/>
      </c>
      <c r="J95" s="45">
        <f>IF(C95="aFRR+",DAMAS_Daily!C95,DAMAS_Daily!D95)</f>
        <v/>
      </c>
      <c r="K95" s="45">
        <f>IF(C95="aFRR+",MIN(DAMAS_Daily!C95*market_share_C*acceptance_rate*stack_activation,power_mw*hours_per_day,capacity_mwh),MIN(DAMAS_Daily!D95*market_share_C*acceptance_rate*stack_activation,power_mw*hours_per_day,capacity_mwh))</f>
        <v/>
      </c>
      <c r="L95" s="42">
        <f>IF(K95&gt;=capacity_mwh-0.01,"yes","no")</f>
        <v/>
      </c>
      <c r="M95" s="23">
        <f>IF(C95="aFRR+",(MIN(DAMAS_Daily!C95*market_share_C*acceptance_rate*stack_activation,power_mw*hours_per_day,capacity_mwh))*DAMAS_Daily!E95*activation_mult_C,(MIN(DAMAS_Daily!D95*market_share_C*acceptance_rate*stack_activation,power_mw*hours_per_day,capacity_mwh))*DAMAS_Daily!F95*activation_mult_C)</f>
        <v/>
      </c>
      <c r="N95" s="24">
        <f>F95+M95</f>
        <v/>
      </c>
    </row>
    <row r="96">
      <c r="A96" s="41">
        <f>DAMAS_Daily!A96</f>
        <v/>
      </c>
      <c r="B96" s="42">
        <f>DAMAS_Daily!B96</f>
        <v/>
      </c>
      <c r="C96" s="42">
        <f>IF((power_mw*hours_per_day*damas_afrr_up*capacity_mult_C*stack_capacity*acceptance_rate+(MIN(DAMAS_Daily!C96*market_share_C*acceptance_rate*stack_activation,power_mw*hours_per_day,capacity_mwh))*DAMAS_Daily!E96*activation_mult_C)&gt;=(power_mw*hours_per_day*damas_afrr_down*capacity_mult_C*stack_capacity*acceptance_rate+(MIN(DAMAS_Daily!D96*market_share_C*acceptance_rate*stack_activation,power_mw*hours_per_day,capacity_mwh))*DAMAS_Daily!F96*activation_mult_C),"aFRR+","aFRR-")</f>
        <v/>
      </c>
      <c r="D96" s="43">
        <f>IF(C96="aFRR+",damas_afrr_up*capacity_mult_C,damas_afrr_down*capacity_mult_C)</f>
        <v/>
      </c>
      <c r="E96" s="44">
        <f>acceptance_rate</f>
        <v/>
      </c>
      <c r="F96" s="23">
        <f>IF(C96="aFRR+",power_mw*hours_per_day*damas_afrr_up*capacity_mult_C*stack_capacity*acceptance_rate,power_mw*hours_per_day*damas_afrr_down*capacity_mult_C*stack_capacity*acceptance_rate)</f>
        <v/>
      </c>
      <c r="G96" s="42">
        <f>IF(C96="aFRR+",DAMAS_Daily!I96,DAMAS_Daily!J96)</f>
        <v/>
      </c>
      <c r="H96" s="43">
        <f>IF(C96="aFRR+",DAMAS_Daily!E96,DAMAS_Daily!F96)</f>
        <v/>
      </c>
      <c r="I96" s="43">
        <f>IF(C96="aFRR+",DAMAS_Daily!G96,DAMAS_Daily!H96)</f>
        <v/>
      </c>
      <c r="J96" s="45">
        <f>IF(C96="aFRR+",DAMAS_Daily!C96,DAMAS_Daily!D96)</f>
        <v/>
      </c>
      <c r="K96" s="45">
        <f>IF(C96="aFRR+",MIN(DAMAS_Daily!C96*market_share_C*acceptance_rate*stack_activation,power_mw*hours_per_day,capacity_mwh),MIN(DAMAS_Daily!D96*market_share_C*acceptance_rate*stack_activation,power_mw*hours_per_day,capacity_mwh))</f>
        <v/>
      </c>
      <c r="L96" s="42">
        <f>IF(K96&gt;=capacity_mwh-0.01,"yes","no")</f>
        <v/>
      </c>
      <c r="M96" s="23">
        <f>IF(C96="aFRR+",(MIN(DAMAS_Daily!C96*market_share_C*acceptance_rate*stack_activation,power_mw*hours_per_day,capacity_mwh))*DAMAS_Daily!E96*activation_mult_C,(MIN(DAMAS_Daily!D96*market_share_C*acceptance_rate*stack_activation,power_mw*hours_per_day,capacity_mwh))*DAMAS_Daily!F96*activation_mult_C)</f>
        <v/>
      </c>
      <c r="N96" s="24">
        <f>F96+M96</f>
        <v/>
      </c>
    </row>
    <row r="97">
      <c r="A97" s="41">
        <f>DAMAS_Daily!A97</f>
        <v/>
      </c>
      <c r="B97" s="42">
        <f>DAMAS_Daily!B97</f>
        <v/>
      </c>
      <c r="C97" s="42">
        <f>IF((power_mw*hours_per_day*damas_afrr_up*capacity_mult_C*stack_capacity*acceptance_rate+(MIN(DAMAS_Daily!C97*market_share_C*acceptance_rate*stack_activation,power_mw*hours_per_day,capacity_mwh))*DAMAS_Daily!E97*activation_mult_C)&gt;=(power_mw*hours_per_day*damas_afrr_down*capacity_mult_C*stack_capacity*acceptance_rate+(MIN(DAMAS_Daily!D97*market_share_C*acceptance_rate*stack_activation,power_mw*hours_per_day,capacity_mwh))*DAMAS_Daily!F97*activation_mult_C),"aFRR+","aFRR-")</f>
        <v/>
      </c>
      <c r="D97" s="43">
        <f>IF(C97="aFRR+",damas_afrr_up*capacity_mult_C,damas_afrr_down*capacity_mult_C)</f>
        <v/>
      </c>
      <c r="E97" s="44">
        <f>acceptance_rate</f>
        <v/>
      </c>
      <c r="F97" s="23">
        <f>IF(C97="aFRR+",power_mw*hours_per_day*damas_afrr_up*capacity_mult_C*stack_capacity*acceptance_rate,power_mw*hours_per_day*damas_afrr_down*capacity_mult_C*stack_capacity*acceptance_rate)</f>
        <v/>
      </c>
      <c r="G97" s="42">
        <f>IF(C97="aFRR+",DAMAS_Daily!I97,DAMAS_Daily!J97)</f>
        <v/>
      </c>
      <c r="H97" s="43">
        <f>IF(C97="aFRR+",DAMAS_Daily!E97,DAMAS_Daily!F97)</f>
        <v/>
      </c>
      <c r="I97" s="43">
        <f>IF(C97="aFRR+",DAMAS_Daily!G97,DAMAS_Daily!H97)</f>
        <v/>
      </c>
      <c r="J97" s="45">
        <f>IF(C97="aFRR+",DAMAS_Daily!C97,DAMAS_Daily!D97)</f>
        <v/>
      </c>
      <c r="K97" s="45">
        <f>IF(C97="aFRR+",MIN(DAMAS_Daily!C97*market_share_C*acceptance_rate*stack_activation,power_mw*hours_per_day,capacity_mwh),MIN(DAMAS_Daily!D97*market_share_C*acceptance_rate*stack_activation,power_mw*hours_per_day,capacity_mwh))</f>
        <v/>
      </c>
      <c r="L97" s="42">
        <f>IF(K97&gt;=capacity_mwh-0.01,"yes","no")</f>
        <v/>
      </c>
      <c r="M97" s="23">
        <f>IF(C97="aFRR+",(MIN(DAMAS_Daily!C97*market_share_C*acceptance_rate*stack_activation,power_mw*hours_per_day,capacity_mwh))*DAMAS_Daily!E97*activation_mult_C,(MIN(DAMAS_Daily!D97*market_share_C*acceptance_rate*stack_activation,power_mw*hours_per_day,capacity_mwh))*DAMAS_Daily!F97*activation_mult_C)</f>
        <v/>
      </c>
      <c r="N97" s="24">
        <f>F97+M97</f>
        <v/>
      </c>
    </row>
    <row r="98">
      <c r="A98" s="41">
        <f>DAMAS_Daily!A98</f>
        <v/>
      </c>
      <c r="B98" s="42">
        <f>DAMAS_Daily!B98</f>
        <v/>
      </c>
      <c r="C98" s="42">
        <f>IF((power_mw*hours_per_day*damas_afrr_up*capacity_mult_C*stack_capacity*acceptance_rate+(MIN(DAMAS_Daily!C98*market_share_C*acceptance_rate*stack_activation,power_mw*hours_per_day,capacity_mwh))*DAMAS_Daily!E98*activation_mult_C)&gt;=(power_mw*hours_per_day*damas_afrr_down*capacity_mult_C*stack_capacity*acceptance_rate+(MIN(DAMAS_Daily!D98*market_share_C*acceptance_rate*stack_activation,power_mw*hours_per_day,capacity_mwh))*DAMAS_Daily!F98*activation_mult_C),"aFRR+","aFRR-")</f>
        <v/>
      </c>
      <c r="D98" s="43">
        <f>IF(C98="aFRR+",damas_afrr_up*capacity_mult_C,damas_afrr_down*capacity_mult_C)</f>
        <v/>
      </c>
      <c r="E98" s="44">
        <f>acceptance_rate</f>
        <v/>
      </c>
      <c r="F98" s="23">
        <f>IF(C98="aFRR+",power_mw*hours_per_day*damas_afrr_up*capacity_mult_C*stack_capacity*acceptance_rate,power_mw*hours_per_day*damas_afrr_down*capacity_mult_C*stack_capacity*acceptance_rate)</f>
        <v/>
      </c>
      <c r="G98" s="42">
        <f>IF(C98="aFRR+",DAMAS_Daily!I98,DAMAS_Daily!J98)</f>
        <v/>
      </c>
      <c r="H98" s="43">
        <f>IF(C98="aFRR+",DAMAS_Daily!E98,DAMAS_Daily!F98)</f>
        <v/>
      </c>
      <c r="I98" s="43">
        <f>IF(C98="aFRR+",DAMAS_Daily!G98,DAMAS_Daily!H98)</f>
        <v/>
      </c>
      <c r="J98" s="45">
        <f>IF(C98="aFRR+",DAMAS_Daily!C98,DAMAS_Daily!D98)</f>
        <v/>
      </c>
      <c r="K98" s="45">
        <f>IF(C98="aFRR+",MIN(DAMAS_Daily!C98*market_share_C*acceptance_rate*stack_activation,power_mw*hours_per_day,capacity_mwh),MIN(DAMAS_Daily!D98*market_share_C*acceptance_rate*stack_activation,power_mw*hours_per_day,capacity_mwh))</f>
        <v/>
      </c>
      <c r="L98" s="42">
        <f>IF(K98&gt;=capacity_mwh-0.01,"yes","no")</f>
        <v/>
      </c>
      <c r="M98" s="23">
        <f>IF(C98="aFRR+",(MIN(DAMAS_Daily!C98*market_share_C*acceptance_rate*stack_activation,power_mw*hours_per_day,capacity_mwh))*DAMAS_Daily!E98*activation_mult_C,(MIN(DAMAS_Daily!D98*market_share_C*acceptance_rate*stack_activation,power_mw*hours_per_day,capacity_mwh))*DAMAS_Daily!F98*activation_mult_C)</f>
        <v/>
      </c>
      <c r="N98" s="24">
        <f>F98+M98</f>
        <v/>
      </c>
    </row>
    <row r="99">
      <c r="A99" s="41">
        <f>DAMAS_Daily!A99</f>
        <v/>
      </c>
      <c r="B99" s="42">
        <f>DAMAS_Daily!B99</f>
        <v/>
      </c>
      <c r="C99" s="42">
        <f>IF((power_mw*hours_per_day*damas_afrr_up*capacity_mult_C*stack_capacity*acceptance_rate+(MIN(DAMAS_Daily!C99*market_share_C*acceptance_rate*stack_activation,power_mw*hours_per_day,capacity_mwh))*DAMAS_Daily!E99*activation_mult_C)&gt;=(power_mw*hours_per_day*damas_afrr_down*capacity_mult_C*stack_capacity*acceptance_rate+(MIN(DAMAS_Daily!D99*market_share_C*acceptance_rate*stack_activation,power_mw*hours_per_day,capacity_mwh))*DAMAS_Daily!F99*activation_mult_C),"aFRR+","aFRR-")</f>
        <v/>
      </c>
      <c r="D99" s="43">
        <f>IF(C99="aFRR+",damas_afrr_up*capacity_mult_C,damas_afrr_down*capacity_mult_C)</f>
        <v/>
      </c>
      <c r="E99" s="44">
        <f>acceptance_rate</f>
        <v/>
      </c>
      <c r="F99" s="23">
        <f>IF(C99="aFRR+",power_mw*hours_per_day*damas_afrr_up*capacity_mult_C*stack_capacity*acceptance_rate,power_mw*hours_per_day*damas_afrr_down*capacity_mult_C*stack_capacity*acceptance_rate)</f>
        <v/>
      </c>
      <c r="G99" s="42">
        <f>IF(C99="aFRR+",DAMAS_Daily!I99,DAMAS_Daily!J99)</f>
        <v/>
      </c>
      <c r="H99" s="43">
        <f>IF(C99="aFRR+",DAMAS_Daily!E99,DAMAS_Daily!F99)</f>
        <v/>
      </c>
      <c r="I99" s="43">
        <f>IF(C99="aFRR+",DAMAS_Daily!G99,DAMAS_Daily!H99)</f>
        <v/>
      </c>
      <c r="J99" s="45">
        <f>IF(C99="aFRR+",DAMAS_Daily!C99,DAMAS_Daily!D99)</f>
        <v/>
      </c>
      <c r="K99" s="45">
        <f>IF(C99="aFRR+",MIN(DAMAS_Daily!C99*market_share_C*acceptance_rate*stack_activation,power_mw*hours_per_day,capacity_mwh),MIN(DAMAS_Daily!D99*market_share_C*acceptance_rate*stack_activation,power_mw*hours_per_day,capacity_mwh))</f>
        <v/>
      </c>
      <c r="L99" s="42">
        <f>IF(K99&gt;=capacity_mwh-0.01,"yes","no")</f>
        <v/>
      </c>
      <c r="M99" s="23">
        <f>IF(C99="aFRR+",(MIN(DAMAS_Daily!C99*market_share_C*acceptance_rate*stack_activation,power_mw*hours_per_day,capacity_mwh))*DAMAS_Daily!E99*activation_mult_C,(MIN(DAMAS_Daily!D99*market_share_C*acceptance_rate*stack_activation,power_mw*hours_per_day,capacity_mwh))*DAMAS_Daily!F99*activation_mult_C)</f>
        <v/>
      </c>
      <c r="N99" s="24">
        <f>F99+M99</f>
        <v/>
      </c>
    </row>
    <row r="100">
      <c r="A100" s="41">
        <f>DAMAS_Daily!A100</f>
        <v/>
      </c>
      <c r="B100" s="42">
        <f>DAMAS_Daily!B100</f>
        <v/>
      </c>
      <c r="C100" s="42">
        <f>IF((power_mw*hours_per_day*damas_afrr_up*capacity_mult_C*stack_capacity*acceptance_rate+(MIN(DAMAS_Daily!C100*market_share_C*acceptance_rate*stack_activation,power_mw*hours_per_day,capacity_mwh))*DAMAS_Daily!E100*activation_mult_C)&gt;=(power_mw*hours_per_day*damas_afrr_down*capacity_mult_C*stack_capacity*acceptance_rate+(MIN(DAMAS_Daily!D100*market_share_C*acceptance_rate*stack_activation,power_mw*hours_per_day,capacity_mwh))*DAMAS_Daily!F100*activation_mult_C),"aFRR+","aFRR-")</f>
        <v/>
      </c>
      <c r="D100" s="43">
        <f>IF(C100="aFRR+",damas_afrr_up*capacity_mult_C,damas_afrr_down*capacity_mult_C)</f>
        <v/>
      </c>
      <c r="E100" s="44">
        <f>acceptance_rate</f>
        <v/>
      </c>
      <c r="F100" s="23">
        <f>IF(C100="aFRR+",power_mw*hours_per_day*damas_afrr_up*capacity_mult_C*stack_capacity*acceptance_rate,power_mw*hours_per_day*damas_afrr_down*capacity_mult_C*stack_capacity*acceptance_rate)</f>
        <v/>
      </c>
      <c r="G100" s="42">
        <f>IF(C100="aFRR+",DAMAS_Daily!I100,DAMAS_Daily!J100)</f>
        <v/>
      </c>
      <c r="H100" s="43">
        <f>IF(C100="aFRR+",DAMAS_Daily!E100,DAMAS_Daily!F100)</f>
        <v/>
      </c>
      <c r="I100" s="43">
        <f>IF(C100="aFRR+",DAMAS_Daily!G100,DAMAS_Daily!H100)</f>
        <v/>
      </c>
      <c r="J100" s="45">
        <f>IF(C100="aFRR+",DAMAS_Daily!C100,DAMAS_Daily!D100)</f>
        <v/>
      </c>
      <c r="K100" s="45">
        <f>IF(C100="aFRR+",MIN(DAMAS_Daily!C100*market_share_C*acceptance_rate*stack_activation,power_mw*hours_per_day,capacity_mwh),MIN(DAMAS_Daily!D100*market_share_C*acceptance_rate*stack_activation,power_mw*hours_per_day,capacity_mwh))</f>
        <v/>
      </c>
      <c r="L100" s="42">
        <f>IF(K100&gt;=capacity_mwh-0.01,"yes","no")</f>
        <v/>
      </c>
      <c r="M100" s="23">
        <f>IF(C100="aFRR+",(MIN(DAMAS_Daily!C100*market_share_C*acceptance_rate*stack_activation,power_mw*hours_per_day,capacity_mwh))*DAMAS_Daily!E100*activation_mult_C,(MIN(DAMAS_Daily!D100*market_share_C*acceptance_rate*stack_activation,power_mw*hours_per_day,capacity_mwh))*DAMAS_Daily!F100*activation_mult_C)</f>
        <v/>
      </c>
      <c r="N100" s="24">
        <f>F100+M100</f>
        <v/>
      </c>
    </row>
    <row r="101">
      <c r="A101" s="41">
        <f>DAMAS_Daily!A101</f>
        <v/>
      </c>
      <c r="B101" s="42">
        <f>DAMAS_Daily!B101</f>
        <v/>
      </c>
      <c r="C101" s="42">
        <f>IF((power_mw*hours_per_day*damas_afrr_up*capacity_mult_C*stack_capacity*acceptance_rate+(MIN(DAMAS_Daily!C101*market_share_C*acceptance_rate*stack_activation,power_mw*hours_per_day,capacity_mwh))*DAMAS_Daily!E101*activation_mult_C)&gt;=(power_mw*hours_per_day*damas_afrr_down*capacity_mult_C*stack_capacity*acceptance_rate+(MIN(DAMAS_Daily!D101*market_share_C*acceptance_rate*stack_activation,power_mw*hours_per_day,capacity_mwh))*DAMAS_Daily!F101*activation_mult_C),"aFRR+","aFRR-")</f>
        <v/>
      </c>
      <c r="D101" s="43">
        <f>IF(C101="aFRR+",damas_afrr_up*capacity_mult_C,damas_afrr_down*capacity_mult_C)</f>
        <v/>
      </c>
      <c r="E101" s="44">
        <f>acceptance_rate</f>
        <v/>
      </c>
      <c r="F101" s="23">
        <f>IF(C101="aFRR+",power_mw*hours_per_day*damas_afrr_up*capacity_mult_C*stack_capacity*acceptance_rate,power_mw*hours_per_day*damas_afrr_down*capacity_mult_C*stack_capacity*acceptance_rate)</f>
        <v/>
      </c>
      <c r="G101" s="42">
        <f>IF(C101="aFRR+",DAMAS_Daily!I101,DAMAS_Daily!J101)</f>
        <v/>
      </c>
      <c r="H101" s="43">
        <f>IF(C101="aFRR+",DAMAS_Daily!E101,DAMAS_Daily!F101)</f>
        <v/>
      </c>
      <c r="I101" s="43">
        <f>IF(C101="aFRR+",DAMAS_Daily!G101,DAMAS_Daily!H101)</f>
        <v/>
      </c>
      <c r="J101" s="45">
        <f>IF(C101="aFRR+",DAMAS_Daily!C101,DAMAS_Daily!D101)</f>
        <v/>
      </c>
      <c r="K101" s="45">
        <f>IF(C101="aFRR+",MIN(DAMAS_Daily!C101*market_share_C*acceptance_rate*stack_activation,power_mw*hours_per_day,capacity_mwh),MIN(DAMAS_Daily!D101*market_share_C*acceptance_rate*stack_activation,power_mw*hours_per_day,capacity_mwh))</f>
        <v/>
      </c>
      <c r="L101" s="42">
        <f>IF(K101&gt;=capacity_mwh-0.01,"yes","no")</f>
        <v/>
      </c>
      <c r="M101" s="23">
        <f>IF(C101="aFRR+",(MIN(DAMAS_Daily!C101*market_share_C*acceptance_rate*stack_activation,power_mw*hours_per_day,capacity_mwh))*DAMAS_Daily!E101*activation_mult_C,(MIN(DAMAS_Daily!D101*market_share_C*acceptance_rate*stack_activation,power_mw*hours_per_day,capacity_mwh))*DAMAS_Daily!F101*activation_mult_C)</f>
        <v/>
      </c>
      <c r="N101" s="24">
        <f>F101+M101</f>
        <v/>
      </c>
    </row>
    <row r="102">
      <c r="A102" s="41">
        <f>DAMAS_Daily!A102</f>
        <v/>
      </c>
      <c r="B102" s="42">
        <f>DAMAS_Daily!B102</f>
        <v/>
      </c>
      <c r="C102" s="42">
        <f>IF((power_mw*hours_per_day*damas_afrr_up*capacity_mult_C*stack_capacity*acceptance_rate+(MIN(DAMAS_Daily!C102*market_share_C*acceptance_rate*stack_activation,power_mw*hours_per_day,capacity_mwh))*DAMAS_Daily!E102*activation_mult_C)&gt;=(power_mw*hours_per_day*damas_afrr_down*capacity_mult_C*stack_capacity*acceptance_rate+(MIN(DAMAS_Daily!D102*market_share_C*acceptance_rate*stack_activation,power_mw*hours_per_day,capacity_mwh))*DAMAS_Daily!F102*activation_mult_C),"aFRR+","aFRR-")</f>
        <v/>
      </c>
      <c r="D102" s="43">
        <f>IF(C102="aFRR+",damas_afrr_up*capacity_mult_C,damas_afrr_down*capacity_mult_C)</f>
        <v/>
      </c>
      <c r="E102" s="44">
        <f>acceptance_rate</f>
        <v/>
      </c>
      <c r="F102" s="23">
        <f>IF(C102="aFRR+",power_mw*hours_per_day*damas_afrr_up*capacity_mult_C*stack_capacity*acceptance_rate,power_mw*hours_per_day*damas_afrr_down*capacity_mult_C*stack_capacity*acceptance_rate)</f>
        <v/>
      </c>
      <c r="G102" s="42">
        <f>IF(C102="aFRR+",DAMAS_Daily!I102,DAMAS_Daily!J102)</f>
        <v/>
      </c>
      <c r="H102" s="43">
        <f>IF(C102="aFRR+",DAMAS_Daily!E102,DAMAS_Daily!F102)</f>
        <v/>
      </c>
      <c r="I102" s="43">
        <f>IF(C102="aFRR+",DAMAS_Daily!G102,DAMAS_Daily!H102)</f>
        <v/>
      </c>
      <c r="J102" s="45">
        <f>IF(C102="aFRR+",DAMAS_Daily!C102,DAMAS_Daily!D102)</f>
        <v/>
      </c>
      <c r="K102" s="45">
        <f>IF(C102="aFRR+",MIN(DAMAS_Daily!C102*market_share_C*acceptance_rate*stack_activation,power_mw*hours_per_day,capacity_mwh),MIN(DAMAS_Daily!D102*market_share_C*acceptance_rate*stack_activation,power_mw*hours_per_day,capacity_mwh))</f>
        <v/>
      </c>
      <c r="L102" s="42">
        <f>IF(K102&gt;=capacity_mwh-0.01,"yes","no")</f>
        <v/>
      </c>
      <c r="M102" s="23">
        <f>IF(C102="aFRR+",(MIN(DAMAS_Daily!C102*market_share_C*acceptance_rate*stack_activation,power_mw*hours_per_day,capacity_mwh))*DAMAS_Daily!E102*activation_mult_C,(MIN(DAMAS_Daily!D102*market_share_C*acceptance_rate*stack_activation,power_mw*hours_per_day,capacity_mwh))*DAMAS_Daily!F102*activation_mult_C)</f>
        <v/>
      </c>
      <c r="N102" s="24">
        <f>F102+M102</f>
        <v/>
      </c>
    </row>
    <row r="103">
      <c r="A103" s="41">
        <f>DAMAS_Daily!A103</f>
        <v/>
      </c>
      <c r="B103" s="42">
        <f>DAMAS_Daily!B103</f>
        <v/>
      </c>
      <c r="C103" s="42">
        <f>IF((power_mw*hours_per_day*damas_afrr_up*capacity_mult_C*stack_capacity*acceptance_rate+(MIN(DAMAS_Daily!C103*market_share_C*acceptance_rate*stack_activation,power_mw*hours_per_day,capacity_mwh))*DAMAS_Daily!E103*activation_mult_C)&gt;=(power_mw*hours_per_day*damas_afrr_down*capacity_mult_C*stack_capacity*acceptance_rate+(MIN(DAMAS_Daily!D103*market_share_C*acceptance_rate*stack_activation,power_mw*hours_per_day,capacity_mwh))*DAMAS_Daily!F103*activation_mult_C),"aFRR+","aFRR-")</f>
        <v/>
      </c>
      <c r="D103" s="43">
        <f>IF(C103="aFRR+",damas_afrr_up*capacity_mult_C,damas_afrr_down*capacity_mult_C)</f>
        <v/>
      </c>
      <c r="E103" s="44">
        <f>acceptance_rate</f>
        <v/>
      </c>
      <c r="F103" s="23">
        <f>IF(C103="aFRR+",power_mw*hours_per_day*damas_afrr_up*capacity_mult_C*stack_capacity*acceptance_rate,power_mw*hours_per_day*damas_afrr_down*capacity_mult_C*stack_capacity*acceptance_rate)</f>
        <v/>
      </c>
      <c r="G103" s="42">
        <f>IF(C103="aFRR+",DAMAS_Daily!I103,DAMAS_Daily!J103)</f>
        <v/>
      </c>
      <c r="H103" s="43">
        <f>IF(C103="aFRR+",DAMAS_Daily!E103,DAMAS_Daily!F103)</f>
        <v/>
      </c>
      <c r="I103" s="43">
        <f>IF(C103="aFRR+",DAMAS_Daily!G103,DAMAS_Daily!H103)</f>
        <v/>
      </c>
      <c r="J103" s="45">
        <f>IF(C103="aFRR+",DAMAS_Daily!C103,DAMAS_Daily!D103)</f>
        <v/>
      </c>
      <c r="K103" s="45">
        <f>IF(C103="aFRR+",MIN(DAMAS_Daily!C103*market_share_C*acceptance_rate*stack_activation,power_mw*hours_per_day,capacity_mwh),MIN(DAMAS_Daily!D103*market_share_C*acceptance_rate*stack_activation,power_mw*hours_per_day,capacity_mwh))</f>
        <v/>
      </c>
      <c r="L103" s="42">
        <f>IF(K103&gt;=capacity_mwh-0.01,"yes","no")</f>
        <v/>
      </c>
      <c r="M103" s="23">
        <f>IF(C103="aFRR+",(MIN(DAMAS_Daily!C103*market_share_C*acceptance_rate*stack_activation,power_mw*hours_per_day,capacity_mwh))*DAMAS_Daily!E103*activation_mult_C,(MIN(DAMAS_Daily!D103*market_share_C*acceptance_rate*stack_activation,power_mw*hours_per_day,capacity_mwh))*DAMAS_Daily!F103*activation_mult_C)</f>
        <v/>
      </c>
      <c r="N103" s="24">
        <f>F103+M103</f>
        <v/>
      </c>
    </row>
    <row r="104">
      <c r="A104" s="41">
        <f>DAMAS_Daily!A104</f>
        <v/>
      </c>
      <c r="B104" s="42">
        <f>DAMAS_Daily!B104</f>
        <v/>
      </c>
      <c r="C104" s="42">
        <f>IF((power_mw*hours_per_day*damas_afrr_up*capacity_mult_C*stack_capacity*acceptance_rate+(MIN(DAMAS_Daily!C104*market_share_C*acceptance_rate*stack_activation,power_mw*hours_per_day,capacity_mwh))*DAMAS_Daily!E104*activation_mult_C)&gt;=(power_mw*hours_per_day*damas_afrr_down*capacity_mult_C*stack_capacity*acceptance_rate+(MIN(DAMAS_Daily!D104*market_share_C*acceptance_rate*stack_activation,power_mw*hours_per_day,capacity_mwh))*DAMAS_Daily!F104*activation_mult_C),"aFRR+","aFRR-")</f>
        <v/>
      </c>
      <c r="D104" s="43">
        <f>IF(C104="aFRR+",damas_afrr_up*capacity_mult_C,damas_afrr_down*capacity_mult_C)</f>
        <v/>
      </c>
      <c r="E104" s="44">
        <f>acceptance_rate</f>
        <v/>
      </c>
      <c r="F104" s="23">
        <f>IF(C104="aFRR+",power_mw*hours_per_day*damas_afrr_up*capacity_mult_C*stack_capacity*acceptance_rate,power_mw*hours_per_day*damas_afrr_down*capacity_mult_C*stack_capacity*acceptance_rate)</f>
        <v/>
      </c>
      <c r="G104" s="42">
        <f>IF(C104="aFRR+",DAMAS_Daily!I104,DAMAS_Daily!J104)</f>
        <v/>
      </c>
      <c r="H104" s="43">
        <f>IF(C104="aFRR+",DAMAS_Daily!E104,DAMAS_Daily!F104)</f>
        <v/>
      </c>
      <c r="I104" s="43">
        <f>IF(C104="aFRR+",DAMAS_Daily!G104,DAMAS_Daily!H104)</f>
        <v/>
      </c>
      <c r="J104" s="45">
        <f>IF(C104="aFRR+",DAMAS_Daily!C104,DAMAS_Daily!D104)</f>
        <v/>
      </c>
      <c r="K104" s="45">
        <f>IF(C104="aFRR+",MIN(DAMAS_Daily!C104*market_share_C*acceptance_rate*stack_activation,power_mw*hours_per_day,capacity_mwh),MIN(DAMAS_Daily!D104*market_share_C*acceptance_rate*stack_activation,power_mw*hours_per_day,capacity_mwh))</f>
        <v/>
      </c>
      <c r="L104" s="42">
        <f>IF(K104&gt;=capacity_mwh-0.01,"yes","no")</f>
        <v/>
      </c>
      <c r="M104" s="23">
        <f>IF(C104="aFRR+",(MIN(DAMAS_Daily!C104*market_share_C*acceptance_rate*stack_activation,power_mw*hours_per_day,capacity_mwh))*DAMAS_Daily!E104*activation_mult_C,(MIN(DAMAS_Daily!D104*market_share_C*acceptance_rate*stack_activation,power_mw*hours_per_day,capacity_mwh))*DAMAS_Daily!F104*activation_mult_C)</f>
        <v/>
      </c>
      <c r="N104" s="24">
        <f>F104+M104</f>
        <v/>
      </c>
    </row>
    <row r="105">
      <c r="A105" s="41">
        <f>DAMAS_Daily!A105</f>
        <v/>
      </c>
      <c r="B105" s="42">
        <f>DAMAS_Daily!B105</f>
        <v/>
      </c>
      <c r="C105" s="42">
        <f>IF((power_mw*hours_per_day*damas_afrr_up*capacity_mult_C*stack_capacity*acceptance_rate+(MIN(DAMAS_Daily!C105*market_share_C*acceptance_rate*stack_activation,power_mw*hours_per_day,capacity_mwh))*DAMAS_Daily!E105*activation_mult_C)&gt;=(power_mw*hours_per_day*damas_afrr_down*capacity_mult_C*stack_capacity*acceptance_rate+(MIN(DAMAS_Daily!D105*market_share_C*acceptance_rate*stack_activation,power_mw*hours_per_day,capacity_mwh))*DAMAS_Daily!F105*activation_mult_C),"aFRR+","aFRR-")</f>
        <v/>
      </c>
      <c r="D105" s="43">
        <f>IF(C105="aFRR+",damas_afrr_up*capacity_mult_C,damas_afrr_down*capacity_mult_C)</f>
        <v/>
      </c>
      <c r="E105" s="44">
        <f>acceptance_rate</f>
        <v/>
      </c>
      <c r="F105" s="23">
        <f>IF(C105="aFRR+",power_mw*hours_per_day*damas_afrr_up*capacity_mult_C*stack_capacity*acceptance_rate,power_mw*hours_per_day*damas_afrr_down*capacity_mult_C*stack_capacity*acceptance_rate)</f>
        <v/>
      </c>
      <c r="G105" s="42">
        <f>IF(C105="aFRR+",DAMAS_Daily!I105,DAMAS_Daily!J105)</f>
        <v/>
      </c>
      <c r="H105" s="43">
        <f>IF(C105="aFRR+",DAMAS_Daily!E105,DAMAS_Daily!F105)</f>
        <v/>
      </c>
      <c r="I105" s="43">
        <f>IF(C105="aFRR+",DAMAS_Daily!G105,DAMAS_Daily!H105)</f>
        <v/>
      </c>
      <c r="J105" s="45">
        <f>IF(C105="aFRR+",DAMAS_Daily!C105,DAMAS_Daily!D105)</f>
        <v/>
      </c>
      <c r="K105" s="45">
        <f>IF(C105="aFRR+",MIN(DAMAS_Daily!C105*market_share_C*acceptance_rate*stack_activation,power_mw*hours_per_day,capacity_mwh),MIN(DAMAS_Daily!D105*market_share_C*acceptance_rate*stack_activation,power_mw*hours_per_day,capacity_mwh))</f>
        <v/>
      </c>
      <c r="L105" s="42">
        <f>IF(K105&gt;=capacity_mwh-0.01,"yes","no")</f>
        <v/>
      </c>
      <c r="M105" s="23">
        <f>IF(C105="aFRR+",(MIN(DAMAS_Daily!C105*market_share_C*acceptance_rate*stack_activation,power_mw*hours_per_day,capacity_mwh))*DAMAS_Daily!E105*activation_mult_C,(MIN(DAMAS_Daily!D105*market_share_C*acceptance_rate*stack_activation,power_mw*hours_per_day,capacity_mwh))*DAMAS_Daily!F105*activation_mult_C)</f>
        <v/>
      </c>
      <c r="N105" s="24">
        <f>F105+M105</f>
        <v/>
      </c>
    </row>
    <row r="106">
      <c r="A106" s="41">
        <f>DAMAS_Daily!A106</f>
        <v/>
      </c>
      <c r="B106" s="42">
        <f>DAMAS_Daily!B106</f>
        <v/>
      </c>
      <c r="C106" s="42">
        <f>IF((power_mw*hours_per_day*damas_afrr_up*capacity_mult_C*stack_capacity*acceptance_rate+(MIN(DAMAS_Daily!C106*market_share_C*acceptance_rate*stack_activation,power_mw*hours_per_day,capacity_mwh))*DAMAS_Daily!E106*activation_mult_C)&gt;=(power_mw*hours_per_day*damas_afrr_down*capacity_mult_C*stack_capacity*acceptance_rate+(MIN(DAMAS_Daily!D106*market_share_C*acceptance_rate*stack_activation,power_mw*hours_per_day,capacity_mwh))*DAMAS_Daily!F106*activation_mult_C),"aFRR+","aFRR-")</f>
        <v/>
      </c>
      <c r="D106" s="43">
        <f>IF(C106="aFRR+",damas_afrr_up*capacity_mult_C,damas_afrr_down*capacity_mult_C)</f>
        <v/>
      </c>
      <c r="E106" s="44">
        <f>acceptance_rate</f>
        <v/>
      </c>
      <c r="F106" s="23">
        <f>IF(C106="aFRR+",power_mw*hours_per_day*damas_afrr_up*capacity_mult_C*stack_capacity*acceptance_rate,power_mw*hours_per_day*damas_afrr_down*capacity_mult_C*stack_capacity*acceptance_rate)</f>
        <v/>
      </c>
      <c r="G106" s="42">
        <f>IF(C106="aFRR+",DAMAS_Daily!I106,DAMAS_Daily!J106)</f>
        <v/>
      </c>
      <c r="H106" s="43">
        <f>IF(C106="aFRR+",DAMAS_Daily!E106,DAMAS_Daily!F106)</f>
        <v/>
      </c>
      <c r="I106" s="43">
        <f>IF(C106="aFRR+",DAMAS_Daily!G106,DAMAS_Daily!H106)</f>
        <v/>
      </c>
      <c r="J106" s="45">
        <f>IF(C106="aFRR+",DAMAS_Daily!C106,DAMAS_Daily!D106)</f>
        <v/>
      </c>
      <c r="K106" s="45">
        <f>IF(C106="aFRR+",MIN(DAMAS_Daily!C106*market_share_C*acceptance_rate*stack_activation,power_mw*hours_per_day,capacity_mwh),MIN(DAMAS_Daily!D106*market_share_C*acceptance_rate*stack_activation,power_mw*hours_per_day,capacity_mwh))</f>
        <v/>
      </c>
      <c r="L106" s="42">
        <f>IF(K106&gt;=capacity_mwh-0.01,"yes","no")</f>
        <v/>
      </c>
      <c r="M106" s="23">
        <f>IF(C106="aFRR+",(MIN(DAMAS_Daily!C106*market_share_C*acceptance_rate*stack_activation,power_mw*hours_per_day,capacity_mwh))*DAMAS_Daily!E106*activation_mult_C,(MIN(DAMAS_Daily!D106*market_share_C*acceptance_rate*stack_activation,power_mw*hours_per_day,capacity_mwh))*DAMAS_Daily!F106*activation_mult_C)</f>
        <v/>
      </c>
      <c r="N106" s="24">
        <f>F106+M106</f>
        <v/>
      </c>
    </row>
    <row r="107">
      <c r="A107" s="41">
        <f>DAMAS_Daily!A107</f>
        <v/>
      </c>
      <c r="B107" s="42">
        <f>DAMAS_Daily!B107</f>
        <v/>
      </c>
      <c r="C107" s="42">
        <f>IF((power_mw*hours_per_day*damas_afrr_up*capacity_mult_C*stack_capacity*acceptance_rate+(MIN(DAMAS_Daily!C107*market_share_C*acceptance_rate*stack_activation,power_mw*hours_per_day,capacity_mwh))*DAMAS_Daily!E107*activation_mult_C)&gt;=(power_mw*hours_per_day*damas_afrr_down*capacity_mult_C*stack_capacity*acceptance_rate+(MIN(DAMAS_Daily!D107*market_share_C*acceptance_rate*stack_activation,power_mw*hours_per_day,capacity_mwh))*DAMAS_Daily!F107*activation_mult_C),"aFRR+","aFRR-")</f>
        <v/>
      </c>
      <c r="D107" s="43">
        <f>IF(C107="aFRR+",damas_afrr_up*capacity_mult_C,damas_afrr_down*capacity_mult_C)</f>
        <v/>
      </c>
      <c r="E107" s="44">
        <f>acceptance_rate</f>
        <v/>
      </c>
      <c r="F107" s="23">
        <f>IF(C107="aFRR+",power_mw*hours_per_day*damas_afrr_up*capacity_mult_C*stack_capacity*acceptance_rate,power_mw*hours_per_day*damas_afrr_down*capacity_mult_C*stack_capacity*acceptance_rate)</f>
        <v/>
      </c>
      <c r="G107" s="42">
        <f>IF(C107="aFRR+",DAMAS_Daily!I107,DAMAS_Daily!J107)</f>
        <v/>
      </c>
      <c r="H107" s="43">
        <f>IF(C107="aFRR+",DAMAS_Daily!E107,DAMAS_Daily!F107)</f>
        <v/>
      </c>
      <c r="I107" s="43">
        <f>IF(C107="aFRR+",DAMAS_Daily!G107,DAMAS_Daily!H107)</f>
        <v/>
      </c>
      <c r="J107" s="45">
        <f>IF(C107="aFRR+",DAMAS_Daily!C107,DAMAS_Daily!D107)</f>
        <v/>
      </c>
      <c r="K107" s="45">
        <f>IF(C107="aFRR+",MIN(DAMAS_Daily!C107*market_share_C*acceptance_rate*stack_activation,power_mw*hours_per_day,capacity_mwh),MIN(DAMAS_Daily!D107*market_share_C*acceptance_rate*stack_activation,power_mw*hours_per_day,capacity_mwh))</f>
        <v/>
      </c>
      <c r="L107" s="42">
        <f>IF(K107&gt;=capacity_mwh-0.01,"yes","no")</f>
        <v/>
      </c>
      <c r="M107" s="23">
        <f>IF(C107="aFRR+",(MIN(DAMAS_Daily!C107*market_share_C*acceptance_rate*stack_activation,power_mw*hours_per_day,capacity_mwh))*DAMAS_Daily!E107*activation_mult_C,(MIN(DAMAS_Daily!D107*market_share_C*acceptance_rate*stack_activation,power_mw*hours_per_day,capacity_mwh))*DAMAS_Daily!F107*activation_mult_C)</f>
        <v/>
      </c>
      <c r="N107" s="24">
        <f>F107+M107</f>
        <v/>
      </c>
    </row>
    <row r="108">
      <c r="A108" s="41">
        <f>DAMAS_Daily!A108</f>
        <v/>
      </c>
      <c r="B108" s="42">
        <f>DAMAS_Daily!B108</f>
        <v/>
      </c>
      <c r="C108" s="42">
        <f>IF((power_mw*hours_per_day*damas_afrr_up*capacity_mult_C*stack_capacity*acceptance_rate+(MIN(DAMAS_Daily!C108*market_share_C*acceptance_rate*stack_activation,power_mw*hours_per_day,capacity_mwh))*DAMAS_Daily!E108*activation_mult_C)&gt;=(power_mw*hours_per_day*damas_afrr_down*capacity_mult_C*stack_capacity*acceptance_rate+(MIN(DAMAS_Daily!D108*market_share_C*acceptance_rate*stack_activation,power_mw*hours_per_day,capacity_mwh))*DAMAS_Daily!F108*activation_mult_C),"aFRR+","aFRR-")</f>
        <v/>
      </c>
      <c r="D108" s="43">
        <f>IF(C108="aFRR+",damas_afrr_up*capacity_mult_C,damas_afrr_down*capacity_mult_C)</f>
        <v/>
      </c>
      <c r="E108" s="44">
        <f>acceptance_rate</f>
        <v/>
      </c>
      <c r="F108" s="23">
        <f>IF(C108="aFRR+",power_mw*hours_per_day*damas_afrr_up*capacity_mult_C*stack_capacity*acceptance_rate,power_mw*hours_per_day*damas_afrr_down*capacity_mult_C*stack_capacity*acceptance_rate)</f>
        <v/>
      </c>
      <c r="G108" s="42">
        <f>IF(C108="aFRR+",DAMAS_Daily!I108,DAMAS_Daily!J108)</f>
        <v/>
      </c>
      <c r="H108" s="43">
        <f>IF(C108="aFRR+",DAMAS_Daily!E108,DAMAS_Daily!F108)</f>
        <v/>
      </c>
      <c r="I108" s="43">
        <f>IF(C108="aFRR+",DAMAS_Daily!G108,DAMAS_Daily!H108)</f>
        <v/>
      </c>
      <c r="J108" s="45">
        <f>IF(C108="aFRR+",DAMAS_Daily!C108,DAMAS_Daily!D108)</f>
        <v/>
      </c>
      <c r="K108" s="45">
        <f>IF(C108="aFRR+",MIN(DAMAS_Daily!C108*market_share_C*acceptance_rate*stack_activation,power_mw*hours_per_day,capacity_mwh),MIN(DAMAS_Daily!D108*market_share_C*acceptance_rate*stack_activation,power_mw*hours_per_day,capacity_mwh))</f>
        <v/>
      </c>
      <c r="L108" s="42">
        <f>IF(K108&gt;=capacity_mwh-0.01,"yes","no")</f>
        <v/>
      </c>
      <c r="M108" s="23">
        <f>IF(C108="aFRR+",(MIN(DAMAS_Daily!C108*market_share_C*acceptance_rate*stack_activation,power_mw*hours_per_day,capacity_mwh))*DAMAS_Daily!E108*activation_mult_C,(MIN(DAMAS_Daily!D108*market_share_C*acceptance_rate*stack_activation,power_mw*hours_per_day,capacity_mwh))*DAMAS_Daily!F108*activation_mult_C)</f>
        <v/>
      </c>
      <c r="N108" s="24">
        <f>F108+M108</f>
        <v/>
      </c>
    </row>
    <row r="109">
      <c r="A109" s="41">
        <f>DAMAS_Daily!A109</f>
        <v/>
      </c>
      <c r="B109" s="42">
        <f>DAMAS_Daily!B109</f>
        <v/>
      </c>
      <c r="C109" s="42">
        <f>IF((power_mw*hours_per_day*damas_afrr_up*capacity_mult_C*stack_capacity*acceptance_rate+(MIN(DAMAS_Daily!C109*market_share_C*acceptance_rate*stack_activation,power_mw*hours_per_day,capacity_mwh))*DAMAS_Daily!E109*activation_mult_C)&gt;=(power_mw*hours_per_day*damas_afrr_down*capacity_mult_C*stack_capacity*acceptance_rate+(MIN(DAMAS_Daily!D109*market_share_C*acceptance_rate*stack_activation,power_mw*hours_per_day,capacity_mwh))*DAMAS_Daily!F109*activation_mult_C),"aFRR+","aFRR-")</f>
        <v/>
      </c>
      <c r="D109" s="43">
        <f>IF(C109="aFRR+",damas_afrr_up*capacity_mult_C,damas_afrr_down*capacity_mult_C)</f>
        <v/>
      </c>
      <c r="E109" s="44">
        <f>acceptance_rate</f>
        <v/>
      </c>
      <c r="F109" s="23">
        <f>IF(C109="aFRR+",power_mw*hours_per_day*damas_afrr_up*capacity_mult_C*stack_capacity*acceptance_rate,power_mw*hours_per_day*damas_afrr_down*capacity_mult_C*stack_capacity*acceptance_rate)</f>
        <v/>
      </c>
      <c r="G109" s="42">
        <f>IF(C109="aFRR+",DAMAS_Daily!I109,DAMAS_Daily!J109)</f>
        <v/>
      </c>
      <c r="H109" s="43">
        <f>IF(C109="aFRR+",DAMAS_Daily!E109,DAMAS_Daily!F109)</f>
        <v/>
      </c>
      <c r="I109" s="43">
        <f>IF(C109="aFRR+",DAMAS_Daily!G109,DAMAS_Daily!H109)</f>
        <v/>
      </c>
      <c r="J109" s="45">
        <f>IF(C109="aFRR+",DAMAS_Daily!C109,DAMAS_Daily!D109)</f>
        <v/>
      </c>
      <c r="K109" s="45">
        <f>IF(C109="aFRR+",MIN(DAMAS_Daily!C109*market_share_C*acceptance_rate*stack_activation,power_mw*hours_per_day,capacity_mwh),MIN(DAMAS_Daily!D109*market_share_C*acceptance_rate*stack_activation,power_mw*hours_per_day,capacity_mwh))</f>
        <v/>
      </c>
      <c r="L109" s="42">
        <f>IF(K109&gt;=capacity_mwh-0.01,"yes","no")</f>
        <v/>
      </c>
      <c r="M109" s="23">
        <f>IF(C109="aFRR+",(MIN(DAMAS_Daily!C109*market_share_C*acceptance_rate*stack_activation,power_mw*hours_per_day,capacity_mwh))*DAMAS_Daily!E109*activation_mult_C,(MIN(DAMAS_Daily!D109*market_share_C*acceptance_rate*stack_activation,power_mw*hours_per_day,capacity_mwh))*DAMAS_Daily!F109*activation_mult_C)</f>
        <v/>
      </c>
      <c r="N109" s="24">
        <f>F109+M109</f>
        <v/>
      </c>
    </row>
    <row r="110">
      <c r="A110" s="41">
        <f>DAMAS_Daily!A110</f>
        <v/>
      </c>
      <c r="B110" s="42">
        <f>DAMAS_Daily!B110</f>
        <v/>
      </c>
      <c r="C110" s="42">
        <f>IF((power_mw*hours_per_day*damas_afrr_up*capacity_mult_C*stack_capacity*acceptance_rate+(MIN(DAMAS_Daily!C110*market_share_C*acceptance_rate*stack_activation,power_mw*hours_per_day,capacity_mwh))*DAMAS_Daily!E110*activation_mult_C)&gt;=(power_mw*hours_per_day*damas_afrr_down*capacity_mult_C*stack_capacity*acceptance_rate+(MIN(DAMAS_Daily!D110*market_share_C*acceptance_rate*stack_activation,power_mw*hours_per_day,capacity_mwh))*DAMAS_Daily!F110*activation_mult_C),"aFRR+","aFRR-")</f>
        <v/>
      </c>
      <c r="D110" s="43">
        <f>IF(C110="aFRR+",damas_afrr_up*capacity_mult_C,damas_afrr_down*capacity_mult_C)</f>
        <v/>
      </c>
      <c r="E110" s="44">
        <f>acceptance_rate</f>
        <v/>
      </c>
      <c r="F110" s="23">
        <f>IF(C110="aFRR+",power_mw*hours_per_day*damas_afrr_up*capacity_mult_C*stack_capacity*acceptance_rate,power_mw*hours_per_day*damas_afrr_down*capacity_mult_C*stack_capacity*acceptance_rate)</f>
        <v/>
      </c>
      <c r="G110" s="42">
        <f>IF(C110="aFRR+",DAMAS_Daily!I110,DAMAS_Daily!J110)</f>
        <v/>
      </c>
      <c r="H110" s="43">
        <f>IF(C110="aFRR+",DAMAS_Daily!E110,DAMAS_Daily!F110)</f>
        <v/>
      </c>
      <c r="I110" s="43">
        <f>IF(C110="aFRR+",DAMAS_Daily!G110,DAMAS_Daily!H110)</f>
        <v/>
      </c>
      <c r="J110" s="45">
        <f>IF(C110="aFRR+",DAMAS_Daily!C110,DAMAS_Daily!D110)</f>
        <v/>
      </c>
      <c r="K110" s="45">
        <f>IF(C110="aFRR+",MIN(DAMAS_Daily!C110*market_share_C*acceptance_rate*stack_activation,power_mw*hours_per_day,capacity_mwh),MIN(DAMAS_Daily!D110*market_share_C*acceptance_rate*stack_activation,power_mw*hours_per_day,capacity_mwh))</f>
        <v/>
      </c>
      <c r="L110" s="42">
        <f>IF(K110&gt;=capacity_mwh-0.01,"yes","no")</f>
        <v/>
      </c>
      <c r="M110" s="23">
        <f>IF(C110="aFRR+",(MIN(DAMAS_Daily!C110*market_share_C*acceptance_rate*stack_activation,power_mw*hours_per_day,capacity_mwh))*DAMAS_Daily!E110*activation_mult_C,(MIN(DAMAS_Daily!D110*market_share_C*acceptance_rate*stack_activation,power_mw*hours_per_day,capacity_mwh))*DAMAS_Daily!F110*activation_mult_C)</f>
        <v/>
      </c>
      <c r="N110" s="24">
        <f>F110+M110</f>
        <v/>
      </c>
    </row>
    <row r="111">
      <c r="A111" s="41">
        <f>DAMAS_Daily!A111</f>
        <v/>
      </c>
      <c r="B111" s="42">
        <f>DAMAS_Daily!B111</f>
        <v/>
      </c>
      <c r="C111" s="42">
        <f>IF((power_mw*hours_per_day*damas_afrr_up*capacity_mult_C*stack_capacity*acceptance_rate+(MIN(DAMAS_Daily!C111*market_share_C*acceptance_rate*stack_activation,power_mw*hours_per_day,capacity_mwh))*DAMAS_Daily!E111*activation_mult_C)&gt;=(power_mw*hours_per_day*damas_afrr_down*capacity_mult_C*stack_capacity*acceptance_rate+(MIN(DAMAS_Daily!D111*market_share_C*acceptance_rate*stack_activation,power_mw*hours_per_day,capacity_mwh))*DAMAS_Daily!F111*activation_mult_C),"aFRR+","aFRR-")</f>
        <v/>
      </c>
      <c r="D111" s="43">
        <f>IF(C111="aFRR+",damas_afrr_up*capacity_mult_C,damas_afrr_down*capacity_mult_C)</f>
        <v/>
      </c>
      <c r="E111" s="44">
        <f>acceptance_rate</f>
        <v/>
      </c>
      <c r="F111" s="23">
        <f>IF(C111="aFRR+",power_mw*hours_per_day*damas_afrr_up*capacity_mult_C*stack_capacity*acceptance_rate,power_mw*hours_per_day*damas_afrr_down*capacity_mult_C*stack_capacity*acceptance_rate)</f>
        <v/>
      </c>
      <c r="G111" s="42">
        <f>IF(C111="aFRR+",DAMAS_Daily!I111,DAMAS_Daily!J111)</f>
        <v/>
      </c>
      <c r="H111" s="43">
        <f>IF(C111="aFRR+",DAMAS_Daily!E111,DAMAS_Daily!F111)</f>
        <v/>
      </c>
      <c r="I111" s="43">
        <f>IF(C111="aFRR+",DAMAS_Daily!G111,DAMAS_Daily!H111)</f>
        <v/>
      </c>
      <c r="J111" s="45">
        <f>IF(C111="aFRR+",DAMAS_Daily!C111,DAMAS_Daily!D111)</f>
        <v/>
      </c>
      <c r="K111" s="45">
        <f>IF(C111="aFRR+",MIN(DAMAS_Daily!C111*market_share_C*acceptance_rate*stack_activation,power_mw*hours_per_day,capacity_mwh),MIN(DAMAS_Daily!D111*market_share_C*acceptance_rate*stack_activation,power_mw*hours_per_day,capacity_mwh))</f>
        <v/>
      </c>
      <c r="L111" s="42">
        <f>IF(K111&gt;=capacity_mwh-0.01,"yes","no")</f>
        <v/>
      </c>
      <c r="M111" s="23">
        <f>IF(C111="aFRR+",(MIN(DAMAS_Daily!C111*market_share_C*acceptance_rate*stack_activation,power_mw*hours_per_day,capacity_mwh))*DAMAS_Daily!E111*activation_mult_C,(MIN(DAMAS_Daily!D111*market_share_C*acceptance_rate*stack_activation,power_mw*hours_per_day,capacity_mwh))*DAMAS_Daily!F111*activation_mult_C)</f>
        <v/>
      </c>
      <c r="N111" s="24">
        <f>F111+M111</f>
        <v/>
      </c>
    </row>
    <row r="112">
      <c r="A112" s="41">
        <f>DAMAS_Daily!A112</f>
        <v/>
      </c>
      <c r="B112" s="42">
        <f>DAMAS_Daily!B112</f>
        <v/>
      </c>
      <c r="C112" s="42">
        <f>IF((power_mw*hours_per_day*damas_afrr_up*capacity_mult_C*stack_capacity*acceptance_rate+(MIN(DAMAS_Daily!C112*market_share_C*acceptance_rate*stack_activation,power_mw*hours_per_day,capacity_mwh))*DAMAS_Daily!E112*activation_mult_C)&gt;=(power_mw*hours_per_day*damas_afrr_down*capacity_mult_C*stack_capacity*acceptance_rate+(MIN(DAMAS_Daily!D112*market_share_C*acceptance_rate*stack_activation,power_mw*hours_per_day,capacity_mwh))*DAMAS_Daily!F112*activation_mult_C),"aFRR+","aFRR-")</f>
        <v/>
      </c>
      <c r="D112" s="43">
        <f>IF(C112="aFRR+",damas_afrr_up*capacity_mult_C,damas_afrr_down*capacity_mult_C)</f>
        <v/>
      </c>
      <c r="E112" s="44">
        <f>acceptance_rate</f>
        <v/>
      </c>
      <c r="F112" s="23">
        <f>IF(C112="aFRR+",power_mw*hours_per_day*damas_afrr_up*capacity_mult_C*stack_capacity*acceptance_rate,power_mw*hours_per_day*damas_afrr_down*capacity_mult_C*stack_capacity*acceptance_rate)</f>
        <v/>
      </c>
      <c r="G112" s="42">
        <f>IF(C112="aFRR+",DAMAS_Daily!I112,DAMAS_Daily!J112)</f>
        <v/>
      </c>
      <c r="H112" s="43">
        <f>IF(C112="aFRR+",DAMAS_Daily!E112,DAMAS_Daily!F112)</f>
        <v/>
      </c>
      <c r="I112" s="43">
        <f>IF(C112="aFRR+",DAMAS_Daily!G112,DAMAS_Daily!H112)</f>
        <v/>
      </c>
      <c r="J112" s="45">
        <f>IF(C112="aFRR+",DAMAS_Daily!C112,DAMAS_Daily!D112)</f>
        <v/>
      </c>
      <c r="K112" s="45">
        <f>IF(C112="aFRR+",MIN(DAMAS_Daily!C112*market_share_C*acceptance_rate*stack_activation,power_mw*hours_per_day,capacity_mwh),MIN(DAMAS_Daily!D112*market_share_C*acceptance_rate*stack_activation,power_mw*hours_per_day,capacity_mwh))</f>
        <v/>
      </c>
      <c r="L112" s="42">
        <f>IF(K112&gt;=capacity_mwh-0.01,"yes","no")</f>
        <v/>
      </c>
      <c r="M112" s="23">
        <f>IF(C112="aFRR+",(MIN(DAMAS_Daily!C112*market_share_C*acceptance_rate*stack_activation,power_mw*hours_per_day,capacity_mwh))*DAMAS_Daily!E112*activation_mult_C,(MIN(DAMAS_Daily!D112*market_share_C*acceptance_rate*stack_activation,power_mw*hours_per_day,capacity_mwh))*DAMAS_Daily!F112*activation_mult_C)</f>
        <v/>
      </c>
      <c r="N112" s="24">
        <f>F112+M112</f>
        <v/>
      </c>
    </row>
    <row r="113">
      <c r="A113" s="41">
        <f>DAMAS_Daily!A113</f>
        <v/>
      </c>
      <c r="B113" s="42">
        <f>DAMAS_Daily!B113</f>
        <v/>
      </c>
      <c r="C113" s="42">
        <f>IF((power_mw*hours_per_day*damas_afrr_up*capacity_mult_C*stack_capacity*acceptance_rate+(MIN(DAMAS_Daily!C113*market_share_C*acceptance_rate*stack_activation,power_mw*hours_per_day,capacity_mwh))*DAMAS_Daily!E113*activation_mult_C)&gt;=(power_mw*hours_per_day*damas_afrr_down*capacity_mult_C*stack_capacity*acceptance_rate+(MIN(DAMAS_Daily!D113*market_share_C*acceptance_rate*stack_activation,power_mw*hours_per_day,capacity_mwh))*DAMAS_Daily!F113*activation_mult_C),"aFRR+","aFRR-")</f>
        <v/>
      </c>
      <c r="D113" s="43">
        <f>IF(C113="aFRR+",damas_afrr_up*capacity_mult_C,damas_afrr_down*capacity_mult_C)</f>
        <v/>
      </c>
      <c r="E113" s="44">
        <f>acceptance_rate</f>
        <v/>
      </c>
      <c r="F113" s="23">
        <f>IF(C113="aFRR+",power_mw*hours_per_day*damas_afrr_up*capacity_mult_C*stack_capacity*acceptance_rate,power_mw*hours_per_day*damas_afrr_down*capacity_mult_C*stack_capacity*acceptance_rate)</f>
        <v/>
      </c>
      <c r="G113" s="42">
        <f>IF(C113="aFRR+",DAMAS_Daily!I113,DAMAS_Daily!J113)</f>
        <v/>
      </c>
      <c r="H113" s="43">
        <f>IF(C113="aFRR+",DAMAS_Daily!E113,DAMAS_Daily!F113)</f>
        <v/>
      </c>
      <c r="I113" s="43">
        <f>IF(C113="aFRR+",DAMAS_Daily!G113,DAMAS_Daily!H113)</f>
        <v/>
      </c>
      <c r="J113" s="45">
        <f>IF(C113="aFRR+",DAMAS_Daily!C113,DAMAS_Daily!D113)</f>
        <v/>
      </c>
      <c r="K113" s="45">
        <f>IF(C113="aFRR+",MIN(DAMAS_Daily!C113*market_share_C*acceptance_rate*stack_activation,power_mw*hours_per_day,capacity_mwh),MIN(DAMAS_Daily!D113*market_share_C*acceptance_rate*stack_activation,power_mw*hours_per_day,capacity_mwh))</f>
        <v/>
      </c>
      <c r="L113" s="42">
        <f>IF(K113&gt;=capacity_mwh-0.01,"yes","no")</f>
        <v/>
      </c>
      <c r="M113" s="23">
        <f>IF(C113="aFRR+",(MIN(DAMAS_Daily!C113*market_share_C*acceptance_rate*stack_activation,power_mw*hours_per_day,capacity_mwh))*DAMAS_Daily!E113*activation_mult_C,(MIN(DAMAS_Daily!D113*market_share_C*acceptance_rate*stack_activation,power_mw*hours_per_day,capacity_mwh))*DAMAS_Daily!F113*activation_mult_C)</f>
        <v/>
      </c>
      <c r="N113" s="24">
        <f>F113+M113</f>
        <v/>
      </c>
    </row>
    <row r="114">
      <c r="A114" s="41">
        <f>DAMAS_Daily!A114</f>
        <v/>
      </c>
      <c r="B114" s="42">
        <f>DAMAS_Daily!B114</f>
        <v/>
      </c>
      <c r="C114" s="42">
        <f>IF((power_mw*hours_per_day*damas_afrr_up*capacity_mult_C*stack_capacity*acceptance_rate+(MIN(DAMAS_Daily!C114*market_share_C*acceptance_rate*stack_activation,power_mw*hours_per_day,capacity_mwh))*DAMAS_Daily!E114*activation_mult_C)&gt;=(power_mw*hours_per_day*damas_afrr_down*capacity_mult_C*stack_capacity*acceptance_rate+(MIN(DAMAS_Daily!D114*market_share_C*acceptance_rate*stack_activation,power_mw*hours_per_day,capacity_mwh))*DAMAS_Daily!F114*activation_mult_C),"aFRR+","aFRR-")</f>
        <v/>
      </c>
      <c r="D114" s="43">
        <f>IF(C114="aFRR+",damas_afrr_up*capacity_mult_C,damas_afrr_down*capacity_mult_C)</f>
        <v/>
      </c>
      <c r="E114" s="44">
        <f>acceptance_rate</f>
        <v/>
      </c>
      <c r="F114" s="23">
        <f>IF(C114="aFRR+",power_mw*hours_per_day*damas_afrr_up*capacity_mult_C*stack_capacity*acceptance_rate,power_mw*hours_per_day*damas_afrr_down*capacity_mult_C*stack_capacity*acceptance_rate)</f>
        <v/>
      </c>
      <c r="G114" s="42">
        <f>IF(C114="aFRR+",DAMAS_Daily!I114,DAMAS_Daily!J114)</f>
        <v/>
      </c>
      <c r="H114" s="43">
        <f>IF(C114="aFRR+",DAMAS_Daily!E114,DAMAS_Daily!F114)</f>
        <v/>
      </c>
      <c r="I114" s="43">
        <f>IF(C114="aFRR+",DAMAS_Daily!G114,DAMAS_Daily!H114)</f>
        <v/>
      </c>
      <c r="J114" s="45">
        <f>IF(C114="aFRR+",DAMAS_Daily!C114,DAMAS_Daily!D114)</f>
        <v/>
      </c>
      <c r="K114" s="45">
        <f>IF(C114="aFRR+",MIN(DAMAS_Daily!C114*market_share_C*acceptance_rate*stack_activation,power_mw*hours_per_day,capacity_mwh),MIN(DAMAS_Daily!D114*market_share_C*acceptance_rate*stack_activation,power_mw*hours_per_day,capacity_mwh))</f>
        <v/>
      </c>
      <c r="L114" s="42">
        <f>IF(K114&gt;=capacity_mwh-0.01,"yes","no")</f>
        <v/>
      </c>
      <c r="M114" s="23">
        <f>IF(C114="aFRR+",(MIN(DAMAS_Daily!C114*market_share_C*acceptance_rate*stack_activation,power_mw*hours_per_day,capacity_mwh))*DAMAS_Daily!E114*activation_mult_C,(MIN(DAMAS_Daily!D114*market_share_C*acceptance_rate*stack_activation,power_mw*hours_per_day,capacity_mwh))*DAMAS_Daily!F114*activation_mult_C)</f>
        <v/>
      </c>
      <c r="N114" s="24">
        <f>F114+M114</f>
        <v/>
      </c>
    </row>
    <row r="115">
      <c r="A115" s="41">
        <f>DAMAS_Daily!A115</f>
        <v/>
      </c>
      <c r="B115" s="42">
        <f>DAMAS_Daily!B115</f>
        <v/>
      </c>
      <c r="C115" s="42">
        <f>IF((power_mw*hours_per_day*damas_afrr_up*capacity_mult_C*stack_capacity*acceptance_rate+(MIN(DAMAS_Daily!C115*market_share_C*acceptance_rate*stack_activation,power_mw*hours_per_day,capacity_mwh))*DAMAS_Daily!E115*activation_mult_C)&gt;=(power_mw*hours_per_day*damas_afrr_down*capacity_mult_C*stack_capacity*acceptance_rate+(MIN(DAMAS_Daily!D115*market_share_C*acceptance_rate*stack_activation,power_mw*hours_per_day,capacity_mwh))*DAMAS_Daily!F115*activation_mult_C),"aFRR+","aFRR-")</f>
        <v/>
      </c>
      <c r="D115" s="43">
        <f>IF(C115="aFRR+",damas_afrr_up*capacity_mult_C,damas_afrr_down*capacity_mult_C)</f>
        <v/>
      </c>
      <c r="E115" s="44">
        <f>acceptance_rate</f>
        <v/>
      </c>
      <c r="F115" s="23">
        <f>IF(C115="aFRR+",power_mw*hours_per_day*damas_afrr_up*capacity_mult_C*stack_capacity*acceptance_rate,power_mw*hours_per_day*damas_afrr_down*capacity_mult_C*stack_capacity*acceptance_rate)</f>
        <v/>
      </c>
      <c r="G115" s="42">
        <f>IF(C115="aFRR+",DAMAS_Daily!I115,DAMAS_Daily!J115)</f>
        <v/>
      </c>
      <c r="H115" s="43">
        <f>IF(C115="aFRR+",DAMAS_Daily!E115,DAMAS_Daily!F115)</f>
        <v/>
      </c>
      <c r="I115" s="43">
        <f>IF(C115="aFRR+",DAMAS_Daily!G115,DAMAS_Daily!H115)</f>
        <v/>
      </c>
      <c r="J115" s="45">
        <f>IF(C115="aFRR+",DAMAS_Daily!C115,DAMAS_Daily!D115)</f>
        <v/>
      </c>
      <c r="K115" s="45">
        <f>IF(C115="aFRR+",MIN(DAMAS_Daily!C115*market_share_C*acceptance_rate*stack_activation,power_mw*hours_per_day,capacity_mwh),MIN(DAMAS_Daily!D115*market_share_C*acceptance_rate*stack_activation,power_mw*hours_per_day,capacity_mwh))</f>
        <v/>
      </c>
      <c r="L115" s="42">
        <f>IF(K115&gt;=capacity_mwh-0.01,"yes","no")</f>
        <v/>
      </c>
      <c r="M115" s="23">
        <f>IF(C115="aFRR+",(MIN(DAMAS_Daily!C115*market_share_C*acceptance_rate*stack_activation,power_mw*hours_per_day,capacity_mwh))*DAMAS_Daily!E115*activation_mult_C,(MIN(DAMAS_Daily!D115*market_share_C*acceptance_rate*stack_activation,power_mw*hours_per_day,capacity_mwh))*DAMAS_Daily!F115*activation_mult_C)</f>
        <v/>
      </c>
      <c r="N115" s="24">
        <f>F115+M115</f>
        <v/>
      </c>
    </row>
    <row r="116">
      <c r="A116" s="41">
        <f>DAMAS_Daily!A116</f>
        <v/>
      </c>
      <c r="B116" s="42">
        <f>DAMAS_Daily!B116</f>
        <v/>
      </c>
      <c r="C116" s="42">
        <f>IF((power_mw*hours_per_day*damas_afrr_up*capacity_mult_C*stack_capacity*acceptance_rate+(MIN(DAMAS_Daily!C116*market_share_C*acceptance_rate*stack_activation,power_mw*hours_per_day,capacity_mwh))*DAMAS_Daily!E116*activation_mult_C)&gt;=(power_mw*hours_per_day*damas_afrr_down*capacity_mult_C*stack_capacity*acceptance_rate+(MIN(DAMAS_Daily!D116*market_share_C*acceptance_rate*stack_activation,power_mw*hours_per_day,capacity_mwh))*DAMAS_Daily!F116*activation_mult_C),"aFRR+","aFRR-")</f>
        <v/>
      </c>
      <c r="D116" s="43">
        <f>IF(C116="aFRR+",damas_afrr_up*capacity_mult_C,damas_afrr_down*capacity_mult_C)</f>
        <v/>
      </c>
      <c r="E116" s="44">
        <f>acceptance_rate</f>
        <v/>
      </c>
      <c r="F116" s="23">
        <f>IF(C116="aFRR+",power_mw*hours_per_day*damas_afrr_up*capacity_mult_C*stack_capacity*acceptance_rate,power_mw*hours_per_day*damas_afrr_down*capacity_mult_C*stack_capacity*acceptance_rate)</f>
        <v/>
      </c>
      <c r="G116" s="42">
        <f>IF(C116="aFRR+",DAMAS_Daily!I116,DAMAS_Daily!J116)</f>
        <v/>
      </c>
      <c r="H116" s="43">
        <f>IF(C116="aFRR+",DAMAS_Daily!E116,DAMAS_Daily!F116)</f>
        <v/>
      </c>
      <c r="I116" s="43">
        <f>IF(C116="aFRR+",DAMAS_Daily!G116,DAMAS_Daily!H116)</f>
        <v/>
      </c>
      <c r="J116" s="45">
        <f>IF(C116="aFRR+",DAMAS_Daily!C116,DAMAS_Daily!D116)</f>
        <v/>
      </c>
      <c r="K116" s="45">
        <f>IF(C116="aFRR+",MIN(DAMAS_Daily!C116*market_share_C*acceptance_rate*stack_activation,power_mw*hours_per_day,capacity_mwh),MIN(DAMAS_Daily!D116*market_share_C*acceptance_rate*stack_activation,power_mw*hours_per_day,capacity_mwh))</f>
        <v/>
      </c>
      <c r="L116" s="42">
        <f>IF(K116&gt;=capacity_mwh-0.01,"yes","no")</f>
        <v/>
      </c>
      <c r="M116" s="23">
        <f>IF(C116="aFRR+",(MIN(DAMAS_Daily!C116*market_share_C*acceptance_rate*stack_activation,power_mw*hours_per_day,capacity_mwh))*DAMAS_Daily!E116*activation_mult_C,(MIN(DAMAS_Daily!D116*market_share_C*acceptance_rate*stack_activation,power_mw*hours_per_day,capacity_mwh))*DAMAS_Daily!F116*activation_mult_C)</f>
        <v/>
      </c>
      <c r="N116" s="24">
        <f>F116+M116</f>
        <v/>
      </c>
    </row>
    <row r="117">
      <c r="A117" s="41">
        <f>DAMAS_Daily!A117</f>
        <v/>
      </c>
      <c r="B117" s="42">
        <f>DAMAS_Daily!B117</f>
        <v/>
      </c>
      <c r="C117" s="42">
        <f>IF((power_mw*hours_per_day*damas_afrr_up*capacity_mult_C*stack_capacity*acceptance_rate+(MIN(DAMAS_Daily!C117*market_share_C*acceptance_rate*stack_activation,power_mw*hours_per_day,capacity_mwh))*DAMAS_Daily!E117*activation_mult_C)&gt;=(power_mw*hours_per_day*damas_afrr_down*capacity_mult_C*stack_capacity*acceptance_rate+(MIN(DAMAS_Daily!D117*market_share_C*acceptance_rate*stack_activation,power_mw*hours_per_day,capacity_mwh))*DAMAS_Daily!F117*activation_mult_C),"aFRR+","aFRR-")</f>
        <v/>
      </c>
      <c r="D117" s="43">
        <f>IF(C117="aFRR+",damas_afrr_up*capacity_mult_C,damas_afrr_down*capacity_mult_C)</f>
        <v/>
      </c>
      <c r="E117" s="44">
        <f>acceptance_rate</f>
        <v/>
      </c>
      <c r="F117" s="23">
        <f>IF(C117="aFRR+",power_mw*hours_per_day*damas_afrr_up*capacity_mult_C*stack_capacity*acceptance_rate,power_mw*hours_per_day*damas_afrr_down*capacity_mult_C*stack_capacity*acceptance_rate)</f>
        <v/>
      </c>
      <c r="G117" s="42">
        <f>IF(C117="aFRR+",DAMAS_Daily!I117,DAMAS_Daily!J117)</f>
        <v/>
      </c>
      <c r="H117" s="43">
        <f>IF(C117="aFRR+",DAMAS_Daily!E117,DAMAS_Daily!F117)</f>
        <v/>
      </c>
      <c r="I117" s="43">
        <f>IF(C117="aFRR+",DAMAS_Daily!G117,DAMAS_Daily!H117)</f>
        <v/>
      </c>
      <c r="J117" s="45">
        <f>IF(C117="aFRR+",DAMAS_Daily!C117,DAMAS_Daily!D117)</f>
        <v/>
      </c>
      <c r="K117" s="45">
        <f>IF(C117="aFRR+",MIN(DAMAS_Daily!C117*market_share_C*acceptance_rate*stack_activation,power_mw*hours_per_day,capacity_mwh),MIN(DAMAS_Daily!D117*market_share_C*acceptance_rate*stack_activation,power_mw*hours_per_day,capacity_mwh))</f>
        <v/>
      </c>
      <c r="L117" s="42">
        <f>IF(K117&gt;=capacity_mwh-0.01,"yes","no")</f>
        <v/>
      </c>
      <c r="M117" s="23">
        <f>IF(C117="aFRR+",(MIN(DAMAS_Daily!C117*market_share_C*acceptance_rate*stack_activation,power_mw*hours_per_day,capacity_mwh))*DAMAS_Daily!E117*activation_mult_C,(MIN(DAMAS_Daily!D117*market_share_C*acceptance_rate*stack_activation,power_mw*hours_per_day,capacity_mwh))*DAMAS_Daily!F117*activation_mult_C)</f>
        <v/>
      </c>
      <c r="N117" s="24">
        <f>F117+M117</f>
        <v/>
      </c>
    </row>
    <row r="118">
      <c r="A118" s="41">
        <f>DAMAS_Daily!A118</f>
        <v/>
      </c>
      <c r="B118" s="42">
        <f>DAMAS_Daily!B118</f>
        <v/>
      </c>
      <c r="C118" s="42">
        <f>IF((power_mw*hours_per_day*damas_afrr_up*capacity_mult_C*stack_capacity*acceptance_rate+(MIN(DAMAS_Daily!C118*market_share_C*acceptance_rate*stack_activation,power_mw*hours_per_day,capacity_mwh))*DAMAS_Daily!E118*activation_mult_C)&gt;=(power_mw*hours_per_day*damas_afrr_down*capacity_mult_C*stack_capacity*acceptance_rate+(MIN(DAMAS_Daily!D118*market_share_C*acceptance_rate*stack_activation,power_mw*hours_per_day,capacity_mwh))*DAMAS_Daily!F118*activation_mult_C),"aFRR+","aFRR-")</f>
        <v/>
      </c>
      <c r="D118" s="43">
        <f>IF(C118="aFRR+",damas_afrr_up*capacity_mult_C,damas_afrr_down*capacity_mult_C)</f>
        <v/>
      </c>
      <c r="E118" s="44">
        <f>acceptance_rate</f>
        <v/>
      </c>
      <c r="F118" s="23">
        <f>IF(C118="aFRR+",power_mw*hours_per_day*damas_afrr_up*capacity_mult_C*stack_capacity*acceptance_rate,power_mw*hours_per_day*damas_afrr_down*capacity_mult_C*stack_capacity*acceptance_rate)</f>
        <v/>
      </c>
      <c r="G118" s="42">
        <f>IF(C118="aFRR+",DAMAS_Daily!I118,DAMAS_Daily!J118)</f>
        <v/>
      </c>
      <c r="H118" s="43">
        <f>IF(C118="aFRR+",DAMAS_Daily!E118,DAMAS_Daily!F118)</f>
        <v/>
      </c>
      <c r="I118" s="43">
        <f>IF(C118="aFRR+",DAMAS_Daily!G118,DAMAS_Daily!H118)</f>
        <v/>
      </c>
      <c r="J118" s="45">
        <f>IF(C118="aFRR+",DAMAS_Daily!C118,DAMAS_Daily!D118)</f>
        <v/>
      </c>
      <c r="K118" s="45">
        <f>IF(C118="aFRR+",MIN(DAMAS_Daily!C118*market_share_C*acceptance_rate*stack_activation,power_mw*hours_per_day,capacity_mwh),MIN(DAMAS_Daily!D118*market_share_C*acceptance_rate*stack_activation,power_mw*hours_per_day,capacity_mwh))</f>
        <v/>
      </c>
      <c r="L118" s="42">
        <f>IF(K118&gt;=capacity_mwh-0.01,"yes","no")</f>
        <v/>
      </c>
      <c r="M118" s="23">
        <f>IF(C118="aFRR+",(MIN(DAMAS_Daily!C118*market_share_C*acceptance_rate*stack_activation,power_mw*hours_per_day,capacity_mwh))*DAMAS_Daily!E118*activation_mult_C,(MIN(DAMAS_Daily!D118*market_share_C*acceptance_rate*stack_activation,power_mw*hours_per_day,capacity_mwh))*DAMAS_Daily!F118*activation_mult_C)</f>
        <v/>
      </c>
      <c r="N118" s="24">
        <f>F118+M118</f>
        <v/>
      </c>
    </row>
    <row r="119">
      <c r="A119" s="41">
        <f>DAMAS_Daily!A119</f>
        <v/>
      </c>
      <c r="B119" s="42">
        <f>DAMAS_Daily!B119</f>
        <v/>
      </c>
      <c r="C119" s="42">
        <f>IF((power_mw*hours_per_day*damas_afrr_up*capacity_mult_C*stack_capacity*acceptance_rate+(MIN(DAMAS_Daily!C119*market_share_C*acceptance_rate*stack_activation,power_mw*hours_per_day,capacity_mwh))*DAMAS_Daily!E119*activation_mult_C)&gt;=(power_mw*hours_per_day*damas_afrr_down*capacity_mult_C*stack_capacity*acceptance_rate+(MIN(DAMAS_Daily!D119*market_share_C*acceptance_rate*stack_activation,power_mw*hours_per_day,capacity_mwh))*DAMAS_Daily!F119*activation_mult_C),"aFRR+","aFRR-")</f>
        <v/>
      </c>
      <c r="D119" s="43">
        <f>IF(C119="aFRR+",damas_afrr_up*capacity_mult_C,damas_afrr_down*capacity_mult_C)</f>
        <v/>
      </c>
      <c r="E119" s="44">
        <f>acceptance_rate</f>
        <v/>
      </c>
      <c r="F119" s="23">
        <f>IF(C119="aFRR+",power_mw*hours_per_day*damas_afrr_up*capacity_mult_C*stack_capacity*acceptance_rate,power_mw*hours_per_day*damas_afrr_down*capacity_mult_C*stack_capacity*acceptance_rate)</f>
        <v/>
      </c>
      <c r="G119" s="42">
        <f>IF(C119="aFRR+",DAMAS_Daily!I119,DAMAS_Daily!J119)</f>
        <v/>
      </c>
      <c r="H119" s="43">
        <f>IF(C119="aFRR+",DAMAS_Daily!E119,DAMAS_Daily!F119)</f>
        <v/>
      </c>
      <c r="I119" s="43">
        <f>IF(C119="aFRR+",DAMAS_Daily!G119,DAMAS_Daily!H119)</f>
        <v/>
      </c>
      <c r="J119" s="45">
        <f>IF(C119="aFRR+",DAMAS_Daily!C119,DAMAS_Daily!D119)</f>
        <v/>
      </c>
      <c r="K119" s="45">
        <f>IF(C119="aFRR+",MIN(DAMAS_Daily!C119*market_share_C*acceptance_rate*stack_activation,power_mw*hours_per_day,capacity_mwh),MIN(DAMAS_Daily!D119*market_share_C*acceptance_rate*stack_activation,power_mw*hours_per_day,capacity_mwh))</f>
        <v/>
      </c>
      <c r="L119" s="42">
        <f>IF(K119&gt;=capacity_mwh-0.01,"yes","no")</f>
        <v/>
      </c>
      <c r="M119" s="23">
        <f>IF(C119="aFRR+",(MIN(DAMAS_Daily!C119*market_share_C*acceptance_rate*stack_activation,power_mw*hours_per_day,capacity_mwh))*DAMAS_Daily!E119*activation_mult_C,(MIN(DAMAS_Daily!D119*market_share_C*acceptance_rate*stack_activation,power_mw*hours_per_day,capacity_mwh))*DAMAS_Daily!F119*activation_mult_C)</f>
        <v/>
      </c>
      <c r="N119" s="24">
        <f>F119+M119</f>
        <v/>
      </c>
    </row>
    <row r="120">
      <c r="A120" s="41">
        <f>DAMAS_Daily!A120</f>
        <v/>
      </c>
      <c r="B120" s="42">
        <f>DAMAS_Daily!B120</f>
        <v/>
      </c>
      <c r="C120" s="42">
        <f>IF((power_mw*hours_per_day*damas_afrr_up*capacity_mult_C*stack_capacity*acceptance_rate+(MIN(DAMAS_Daily!C120*market_share_C*acceptance_rate*stack_activation,power_mw*hours_per_day,capacity_mwh))*DAMAS_Daily!E120*activation_mult_C)&gt;=(power_mw*hours_per_day*damas_afrr_down*capacity_mult_C*stack_capacity*acceptance_rate+(MIN(DAMAS_Daily!D120*market_share_C*acceptance_rate*stack_activation,power_mw*hours_per_day,capacity_mwh))*DAMAS_Daily!F120*activation_mult_C),"aFRR+","aFRR-")</f>
        <v/>
      </c>
      <c r="D120" s="43">
        <f>IF(C120="aFRR+",damas_afrr_up*capacity_mult_C,damas_afrr_down*capacity_mult_C)</f>
        <v/>
      </c>
      <c r="E120" s="44">
        <f>acceptance_rate</f>
        <v/>
      </c>
      <c r="F120" s="23">
        <f>IF(C120="aFRR+",power_mw*hours_per_day*damas_afrr_up*capacity_mult_C*stack_capacity*acceptance_rate,power_mw*hours_per_day*damas_afrr_down*capacity_mult_C*stack_capacity*acceptance_rate)</f>
        <v/>
      </c>
      <c r="G120" s="42">
        <f>IF(C120="aFRR+",DAMAS_Daily!I120,DAMAS_Daily!J120)</f>
        <v/>
      </c>
      <c r="H120" s="43">
        <f>IF(C120="aFRR+",DAMAS_Daily!E120,DAMAS_Daily!F120)</f>
        <v/>
      </c>
      <c r="I120" s="43">
        <f>IF(C120="aFRR+",DAMAS_Daily!G120,DAMAS_Daily!H120)</f>
        <v/>
      </c>
      <c r="J120" s="45">
        <f>IF(C120="aFRR+",DAMAS_Daily!C120,DAMAS_Daily!D120)</f>
        <v/>
      </c>
      <c r="K120" s="45">
        <f>IF(C120="aFRR+",MIN(DAMAS_Daily!C120*market_share_C*acceptance_rate*stack_activation,power_mw*hours_per_day,capacity_mwh),MIN(DAMAS_Daily!D120*market_share_C*acceptance_rate*stack_activation,power_mw*hours_per_day,capacity_mwh))</f>
        <v/>
      </c>
      <c r="L120" s="42">
        <f>IF(K120&gt;=capacity_mwh-0.01,"yes","no")</f>
        <v/>
      </c>
      <c r="M120" s="23">
        <f>IF(C120="aFRR+",(MIN(DAMAS_Daily!C120*market_share_C*acceptance_rate*stack_activation,power_mw*hours_per_day,capacity_mwh))*DAMAS_Daily!E120*activation_mult_C,(MIN(DAMAS_Daily!D120*market_share_C*acceptance_rate*stack_activation,power_mw*hours_per_day,capacity_mwh))*DAMAS_Daily!F120*activation_mult_C)</f>
        <v/>
      </c>
      <c r="N120" s="24">
        <f>F120+M120</f>
        <v/>
      </c>
    </row>
    <row r="121">
      <c r="A121" s="41">
        <f>DAMAS_Daily!A121</f>
        <v/>
      </c>
      <c r="B121" s="42">
        <f>DAMAS_Daily!B121</f>
        <v/>
      </c>
      <c r="C121" s="42">
        <f>IF((power_mw*hours_per_day*damas_afrr_up*capacity_mult_C*stack_capacity*acceptance_rate+(MIN(DAMAS_Daily!C121*market_share_C*acceptance_rate*stack_activation,power_mw*hours_per_day,capacity_mwh))*DAMAS_Daily!E121*activation_mult_C)&gt;=(power_mw*hours_per_day*damas_afrr_down*capacity_mult_C*stack_capacity*acceptance_rate+(MIN(DAMAS_Daily!D121*market_share_C*acceptance_rate*stack_activation,power_mw*hours_per_day,capacity_mwh))*DAMAS_Daily!F121*activation_mult_C),"aFRR+","aFRR-")</f>
        <v/>
      </c>
      <c r="D121" s="43">
        <f>IF(C121="aFRR+",damas_afrr_up*capacity_mult_C,damas_afrr_down*capacity_mult_C)</f>
        <v/>
      </c>
      <c r="E121" s="44">
        <f>acceptance_rate</f>
        <v/>
      </c>
      <c r="F121" s="23">
        <f>IF(C121="aFRR+",power_mw*hours_per_day*damas_afrr_up*capacity_mult_C*stack_capacity*acceptance_rate,power_mw*hours_per_day*damas_afrr_down*capacity_mult_C*stack_capacity*acceptance_rate)</f>
        <v/>
      </c>
      <c r="G121" s="42">
        <f>IF(C121="aFRR+",DAMAS_Daily!I121,DAMAS_Daily!J121)</f>
        <v/>
      </c>
      <c r="H121" s="43">
        <f>IF(C121="aFRR+",DAMAS_Daily!E121,DAMAS_Daily!F121)</f>
        <v/>
      </c>
      <c r="I121" s="43">
        <f>IF(C121="aFRR+",DAMAS_Daily!G121,DAMAS_Daily!H121)</f>
        <v/>
      </c>
      <c r="J121" s="45">
        <f>IF(C121="aFRR+",DAMAS_Daily!C121,DAMAS_Daily!D121)</f>
        <v/>
      </c>
      <c r="K121" s="45">
        <f>IF(C121="aFRR+",MIN(DAMAS_Daily!C121*market_share_C*acceptance_rate*stack_activation,power_mw*hours_per_day,capacity_mwh),MIN(DAMAS_Daily!D121*market_share_C*acceptance_rate*stack_activation,power_mw*hours_per_day,capacity_mwh))</f>
        <v/>
      </c>
      <c r="L121" s="42">
        <f>IF(K121&gt;=capacity_mwh-0.01,"yes","no")</f>
        <v/>
      </c>
      <c r="M121" s="23">
        <f>IF(C121="aFRR+",(MIN(DAMAS_Daily!C121*market_share_C*acceptance_rate*stack_activation,power_mw*hours_per_day,capacity_mwh))*DAMAS_Daily!E121*activation_mult_C,(MIN(DAMAS_Daily!D121*market_share_C*acceptance_rate*stack_activation,power_mw*hours_per_day,capacity_mwh))*DAMAS_Daily!F121*activation_mult_C)</f>
        <v/>
      </c>
      <c r="N121" s="24">
        <f>F121+M121</f>
        <v/>
      </c>
    </row>
    <row r="122">
      <c r="A122" s="41">
        <f>DAMAS_Daily!A122</f>
        <v/>
      </c>
      <c r="B122" s="42">
        <f>DAMAS_Daily!B122</f>
        <v/>
      </c>
      <c r="C122" s="42">
        <f>IF((power_mw*hours_per_day*damas_afrr_up*capacity_mult_C*stack_capacity*acceptance_rate+(MIN(DAMAS_Daily!C122*market_share_C*acceptance_rate*stack_activation,power_mw*hours_per_day,capacity_mwh))*DAMAS_Daily!E122*activation_mult_C)&gt;=(power_mw*hours_per_day*damas_afrr_down*capacity_mult_C*stack_capacity*acceptance_rate+(MIN(DAMAS_Daily!D122*market_share_C*acceptance_rate*stack_activation,power_mw*hours_per_day,capacity_mwh))*DAMAS_Daily!F122*activation_mult_C),"aFRR+","aFRR-")</f>
        <v/>
      </c>
      <c r="D122" s="43">
        <f>IF(C122="aFRR+",damas_afrr_up*capacity_mult_C,damas_afrr_down*capacity_mult_C)</f>
        <v/>
      </c>
      <c r="E122" s="44">
        <f>acceptance_rate</f>
        <v/>
      </c>
      <c r="F122" s="23">
        <f>IF(C122="aFRR+",power_mw*hours_per_day*damas_afrr_up*capacity_mult_C*stack_capacity*acceptance_rate,power_mw*hours_per_day*damas_afrr_down*capacity_mult_C*stack_capacity*acceptance_rate)</f>
        <v/>
      </c>
      <c r="G122" s="42">
        <f>IF(C122="aFRR+",DAMAS_Daily!I122,DAMAS_Daily!J122)</f>
        <v/>
      </c>
      <c r="H122" s="43">
        <f>IF(C122="aFRR+",DAMAS_Daily!E122,DAMAS_Daily!F122)</f>
        <v/>
      </c>
      <c r="I122" s="43">
        <f>IF(C122="aFRR+",DAMAS_Daily!G122,DAMAS_Daily!H122)</f>
        <v/>
      </c>
      <c r="J122" s="45">
        <f>IF(C122="aFRR+",DAMAS_Daily!C122,DAMAS_Daily!D122)</f>
        <v/>
      </c>
      <c r="K122" s="45">
        <f>IF(C122="aFRR+",MIN(DAMAS_Daily!C122*market_share_C*acceptance_rate*stack_activation,power_mw*hours_per_day,capacity_mwh),MIN(DAMAS_Daily!D122*market_share_C*acceptance_rate*stack_activation,power_mw*hours_per_day,capacity_mwh))</f>
        <v/>
      </c>
      <c r="L122" s="42">
        <f>IF(K122&gt;=capacity_mwh-0.01,"yes","no")</f>
        <v/>
      </c>
      <c r="M122" s="23">
        <f>IF(C122="aFRR+",(MIN(DAMAS_Daily!C122*market_share_C*acceptance_rate*stack_activation,power_mw*hours_per_day,capacity_mwh))*DAMAS_Daily!E122*activation_mult_C,(MIN(DAMAS_Daily!D122*market_share_C*acceptance_rate*stack_activation,power_mw*hours_per_day,capacity_mwh))*DAMAS_Daily!F122*activation_mult_C)</f>
        <v/>
      </c>
      <c r="N122" s="24">
        <f>F122+M122</f>
        <v/>
      </c>
    </row>
    <row r="123">
      <c r="A123" s="41">
        <f>DAMAS_Daily!A123</f>
        <v/>
      </c>
      <c r="B123" s="42">
        <f>DAMAS_Daily!B123</f>
        <v/>
      </c>
      <c r="C123" s="42">
        <f>IF((power_mw*hours_per_day*damas_afrr_up*capacity_mult_C*stack_capacity*acceptance_rate+(MIN(DAMAS_Daily!C123*market_share_C*acceptance_rate*stack_activation,power_mw*hours_per_day,capacity_mwh))*DAMAS_Daily!E123*activation_mult_C)&gt;=(power_mw*hours_per_day*damas_afrr_down*capacity_mult_C*stack_capacity*acceptance_rate+(MIN(DAMAS_Daily!D123*market_share_C*acceptance_rate*stack_activation,power_mw*hours_per_day,capacity_mwh))*DAMAS_Daily!F123*activation_mult_C),"aFRR+","aFRR-")</f>
        <v/>
      </c>
      <c r="D123" s="43">
        <f>IF(C123="aFRR+",damas_afrr_up*capacity_mult_C,damas_afrr_down*capacity_mult_C)</f>
        <v/>
      </c>
      <c r="E123" s="44">
        <f>acceptance_rate</f>
        <v/>
      </c>
      <c r="F123" s="23">
        <f>IF(C123="aFRR+",power_mw*hours_per_day*damas_afrr_up*capacity_mult_C*stack_capacity*acceptance_rate,power_mw*hours_per_day*damas_afrr_down*capacity_mult_C*stack_capacity*acceptance_rate)</f>
        <v/>
      </c>
      <c r="G123" s="42">
        <f>IF(C123="aFRR+",DAMAS_Daily!I123,DAMAS_Daily!J123)</f>
        <v/>
      </c>
      <c r="H123" s="43">
        <f>IF(C123="aFRR+",DAMAS_Daily!E123,DAMAS_Daily!F123)</f>
        <v/>
      </c>
      <c r="I123" s="43">
        <f>IF(C123="aFRR+",DAMAS_Daily!G123,DAMAS_Daily!H123)</f>
        <v/>
      </c>
      <c r="J123" s="45">
        <f>IF(C123="aFRR+",DAMAS_Daily!C123,DAMAS_Daily!D123)</f>
        <v/>
      </c>
      <c r="K123" s="45">
        <f>IF(C123="aFRR+",MIN(DAMAS_Daily!C123*market_share_C*acceptance_rate*stack_activation,power_mw*hours_per_day,capacity_mwh),MIN(DAMAS_Daily!D123*market_share_C*acceptance_rate*stack_activation,power_mw*hours_per_day,capacity_mwh))</f>
        <v/>
      </c>
      <c r="L123" s="42">
        <f>IF(K123&gt;=capacity_mwh-0.01,"yes","no")</f>
        <v/>
      </c>
      <c r="M123" s="23">
        <f>IF(C123="aFRR+",(MIN(DAMAS_Daily!C123*market_share_C*acceptance_rate*stack_activation,power_mw*hours_per_day,capacity_mwh))*DAMAS_Daily!E123*activation_mult_C,(MIN(DAMAS_Daily!D123*market_share_C*acceptance_rate*stack_activation,power_mw*hours_per_day,capacity_mwh))*DAMAS_Daily!F123*activation_mult_C)</f>
        <v/>
      </c>
      <c r="N123" s="24">
        <f>F123+M123</f>
        <v/>
      </c>
    </row>
    <row r="124">
      <c r="A124" s="41">
        <f>DAMAS_Daily!A124</f>
        <v/>
      </c>
      <c r="B124" s="42">
        <f>DAMAS_Daily!B124</f>
        <v/>
      </c>
      <c r="C124" s="42">
        <f>IF((power_mw*hours_per_day*damas_afrr_up*capacity_mult_C*stack_capacity*acceptance_rate+(MIN(DAMAS_Daily!C124*market_share_C*acceptance_rate*stack_activation,power_mw*hours_per_day,capacity_mwh))*DAMAS_Daily!E124*activation_mult_C)&gt;=(power_mw*hours_per_day*damas_afrr_down*capacity_mult_C*stack_capacity*acceptance_rate+(MIN(DAMAS_Daily!D124*market_share_C*acceptance_rate*stack_activation,power_mw*hours_per_day,capacity_mwh))*DAMAS_Daily!F124*activation_mult_C),"aFRR+","aFRR-")</f>
        <v/>
      </c>
      <c r="D124" s="43">
        <f>IF(C124="aFRR+",damas_afrr_up*capacity_mult_C,damas_afrr_down*capacity_mult_C)</f>
        <v/>
      </c>
      <c r="E124" s="44">
        <f>acceptance_rate</f>
        <v/>
      </c>
      <c r="F124" s="23">
        <f>IF(C124="aFRR+",power_mw*hours_per_day*damas_afrr_up*capacity_mult_C*stack_capacity*acceptance_rate,power_mw*hours_per_day*damas_afrr_down*capacity_mult_C*stack_capacity*acceptance_rate)</f>
        <v/>
      </c>
      <c r="G124" s="42">
        <f>IF(C124="aFRR+",DAMAS_Daily!I124,DAMAS_Daily!J124)</f>
        <v/>
      </c>
      <c r="H124" s="43">
        <f>IF(C124="aFRR+",DAMAS_Daily!E124,DAMAS_Daily!F124)</f>
        <v/>
      </c>
      <c r="I124" s="43">
        <f>IF(C124="aFRR+",DAMAS_Daily!G124,DAMAS_Daily!H124)</f>
        <v/>
      </c>
      <c r="J124" s="45">
        <f>IF(C124="aFRR+",DAMAS_Daily!C124,DAMAS_Daily!D124)</f>
        <v/>
      </c>
      <c r="K124" s="45">
        <f>IF(C124="aFRR+",MIN(DAMAS_Daily!C124*market_share_C*acceptance_rate*stack_activation,power_mw*hours_per_day,capacity_mwh),MIN(DAMAS_Daily!D124*market_share_C*acceptance_rate*stack_activation,power_mw*hours_per_day,capacity_mwh))</f>
        <v/>
      </c>
      <c r="L124" s="42">
        <f>IF(K124&gt;=capacity_mwh-0.01,"yes","no")</f>
        <v/>
      </c>
      <c r="M124" s="23">
        <f>IF(C124="aFRR+",(MIN(DAMAS_Daily!C124*market_share_C*acceptance_rate*stack_activation,power_mw*hours_per_day,capacity_mwh))*DAMAS_Daily!E124*activation_mult_C,(MIN(DAMAS_Daily!D124*market_share_C*acceptance_rate*stack_activation,power_mw*hours_per_day,capacity_mwh))*DAMAS_Daily!F124*activation_mult_C)</f>
        <v/>
      </c>
      <c r="N124" s="24">
        <f>F124+M124</f>
        <v/>
      </c>
    </row>
    <row r="125">
      <c r="A125" s="41">
        <f>DAMAS_Daily!A125</f>
        <v/>
      </c>
      <c r="B125" s="42">
        <f>DAMAS_Daily!B125</f>
        <v/>
      </c>
      <c r="C125" s="42">
        <f>IF((power_mw*hours_per_day*damas_afrr_up*capacity_mult_C*stack_capacity*acceptance_rate+(MIN(DAMAS_Daily!C125*market_share_C*acceptance_rate*stack_activation,power_mw*hours_per_day,capacity_mwh))*DAMAS_Daily!E125*activation_mult_C)&gt;=(power_mw*hours_per_day*damas_afrr_down*capacity_mult_C*stack_capacity*acceptance_rate+(MIN(DAMAS_Daily!D125*market_share_C*acceptance_rate*stack_activation,power_mw*hours_per_day,capacity_mwh))*DAMAS_Daily!F125*activation_mult_C),"aFRR+","aFRR-")</f>
        <v/>
      </c>
      <c r="D125" s="43">
        <f>IF(C125="aFRR+",damas_afrr_up*capacity_mult_C,damas_afrr_down*capacity_mult_C)</f>
        <v/>
      </c>
      <c r="E125" s="44">
        <f>acceptance_rate</f>
        <v/>
      </c>
      <c r="F125" s="23">
        <f>IF(C125="aFRR+",power_mw*hours_per_day*damas_afrr_up*capacity_mult_C*stack_capacity*acceptance_rate,power_mw*hours_per_day*damas_afrr_down*capacity_mult_C*stack_capacity*acceptance_rate)</f>
        <v/>
      </c>
      <c r="G125" s="42">
        <f>IF(C125="aFRR+",DAMAS_Daily!I125,DAMAS_Daily!J125)</f>
        <v/>
      </c>
      <c r="H125" s="43">
        <f>IF(C125="aFRR+",DAMAS_Daily!E125,DAMAS_Daily!F125)</f>
        <v/>
      </c>
      <c r="I125" s="43">
        <f>IF(C125="aFRR+",DAMAS_Daily!G125,DAMAS_Daily!H125)</f>
        <v/>
      </c>
      <c r="J125" s="45">
        <f>IF(C125="aFRR+",DAMAS_Daily!C125,DAMAS_Daily!D125)</f>
        <v/>
      </c>
      <c r="K125" s="45">
        <f>IF(C125="aFRR+",MIN(DAMAS_Daily!C125*market_share_C*acceptance_rate*stack_activation,power_mw*hours_per_day,capacity_mwh),MIN(DAMAS_Daily!D125*market_share_C*acceptance_rate*stack_activation,power_mw*hours_per_day,capacity_mwh))</f>
        <v/>
      </c>
      <c r="L125" s="42">
        <f>IF(K125&gt;=capacity_mwh-0.01,"yes","no")</f>
        <v/>
      </c>
      <c r="M125" s="23">
        <f>IF(C125="aFRR+",(MIN(DAMAS_Daily!C125*market_share_C*acceptance_rate*stack_activation,power_mw*hours_per_day,capacity_mwh))*DAMAS_Daily!E125*activation_mult_C,(MIN(DAMAS_Daily!D125*market_share_C*acceptance_rate*stack_activation,power_mw*hours_per_day,capacity_mwh))*DAMAS_Daily!F125*activation_mult_C)</f>
        <v/>
      </c>
      <c r="N125" s="24">
        <f>F125+M125</f>
        <v/>
      </c>
    </row>
    <row r="126">
      <c r="A126" s="41">
        <f>DAMAS_Daily!A126</f>
        <v/>
      </c>
      <c r="B126" s="42">
        <f>DAMAS_Daily!B126</f>
        <v/>
      </c>
      <c r="C126" s="42">
        <f>IF((power_mw*hours_per_day*damas_afrr_up*capacity_mult_C*stack_capacity*acceptance_rate+(MIN(DAMAS_Daily!C126*market_share_C*acceptance_rate*stack_activation,power_mw*hours_per_day,capacity_mwh))*DAMAS_Daily!E126*activation_mult_C)&gt;=(power_mw*hours_per_day*damas_afrr_down*capacity_mult_C*stack_capacity*acceptance_rate+(MIN(DAMAS_Daily!D126*market_share_C*acceptance_rate*stack_activation,power_mw*hours_per_day,capacity_mwh))*DAMAS_Daily!F126*activation_mult_C),"aFRR+","aFRR-")</f>
        <v/>
      </c>
      <c r="D126" s="43">
        <f>IF(C126="aFRR+",damas_afrr_up*capacity_mult_C,damas_afrr_down*capacity_mult_C)</f>
        <v/>
      </c>
      <c r="E126" s="44">
        <f>acceptance_rate</f>
        <v/>
      </c>
      <c r="F126" s="23">
        <f>IF(C126="aFRR+",power_mw*hours_per_day*damas_afrr_up*capacity_mult_C*stack_capacity*acceptance_rate,power_mw*hours_per_day*damas_afrr_down*capacity_mult_C*stack_capacity*acceptance_rate)</f>
        <v/>
      </c>
      <c r="G126" s="42">
        <f>IF(C126="aFRR+",DAMAS_Daily!I126,DAMAS_Daily!J126)</f>
        <v/>
      </c>
      <c r="H126" s="43">
        <f>IF(C126="aFRR+",DAMAS_Daily!E126,DAMAS_Daily!F126)</f>
        <v/>
      </c>
      <c r="I126" s="43">
        <f>IF(C126="aFRR+",DAMAS_Daily!G126,DAMAS_Daily!H126)</f>
        <v/>
      </c>
      <c r="J126" s="45">
        <f>IF(C126="aFRR+",DAMAS_Daily!C126,DAMAS_Daily!D126)</f>
        <v/>
      </c>
      <c r="K126" s="45">
        <f>IF(C126="aFRR+",MIN(DAMAS_Daily!C126*market_share_C*acceptance_rate*stack_activation,power_mw*hours_per_day,capacity_mwh),MIN(DAMAS_Daily!D126*market_share_C*acceptance_rate*stack_activation,power_mw*hours_per_day,capacity_mwh))</f>
        <v/>
      </c>
      <c r="L126" s="42">
        <f>IF(K126&gt;=capacity_mwh-0.01,"yes","no")</f>
        <v/>
      </c>
      <c r="M126" s="23">
        <f>IF(C126="aFRR+",(MIN(DAMAS_Daily!C126*market_share_C*acceptance_rate*stack_activation,power_mw*hours_per_day,capacity_mwh))*DAMAS_Daily!E126*activation_mult_C,(MIN(DAMAS_Daily!D126*market_share_C*acceptance_rate*stack_activation,power_mw*hours_per_day,capacity_mwh))*DAMAS_Daily!F126*activation_mult_C)</f>
        <v/>
      </c>
      <c r="N126" s="24">
        <f>F126+M126</f>
        <v/>
      </c>
    </row>
    <row r="127">
      <c r="A127" s="41">
        <f>DAMAS_Daily!A127</f>
        <v/>
      </c>
      <c r="B127" s="42">
        <f>DAMAS_Daily!B127</f>
        <v/>
      </c>
      <c r="C127" s="42">
        <f>IF((power_mw*hours_per_day*damas_afrr_up*capacity_mult_C*stack_capacity*acceptance_rate+(MIN(DAMAS_Daily!C127*market_share_C*acceptance_rate*stack_activation,power_mw*hours_per_day,capacity_mwh))*DAMAS_Daily!E127*activation_mult_C)&gt;=(power_mw*hours_per_day*damas_afrr_down*capacity_mult_C*stack_capacity*acceptance_rate+(MIN(DAMAS_Daily!D127*market_share_C*acceptance_rate*stack_activation,power_mw*hours_per_day,capacity_mwh))*DAMAS_Daily!F127*activation_mult_C),"aFRR+","aFRR-")</f>
        <v/>
      </c>
      <c r="D127" s="43">
        <f>IF(C127="aFRR+",damas_afrr_up*capacity_mult_C,damas_afrr_down*capacity_mult_C)</f>
        <v/>
      </c>
      <c r="E127" s="44">
        <f>acceptance_rate</f>
        <v/>
      </c>
      <c r="F127" s="23">
        <f>IF(C127="aFRR+",power_mw*hours_per_day*damas_afrr_up*capacity_mult_C*stack_capacity*acceptance_rate,power_mw*hours_per_day*damas_afrr_down*capacity_mult_C*stack_capacity*acceptance_rate)</f>
        <v/>
      </c>
      <c r="G127" s="42">
        <f>IF(C127="aFRR+",DAMAS_Daily!I127,DAMAS_Daily!J127)</f>
        <v/>
      </c>
      <c r="H127" s="43">
        <f>IF(C127="aFRR+",DAMAS_Daily!E127,DAMAS_Daily!F127)</f>
        <v/>
      </c>
      <c r="I127" s="43">
        <f>IF(C127="aFRR+",DAMAS_Daily!G127,DAMAS_Daily!H127)</f>
        <v/>
      </c>
      <c r="J127" s="45">
        <f>IF(C127="aFRR+",DAMAS_Daily!C127,DAMAS_Daily!D127)</f>
        <v/>
      </c>
      <c r="K127" s="45">
        <f>IF(C127="aFRR+",MIN(DAMAS_Daily!C127*market_share_C*acceptance_rate*stack_activation,power_mw*hours_per_day,capacity_mwh),MIN(DAMAS_Daily!D127*market_share_C*acceptance_rate*stack_activation,power_mw*hours_per_day,capacity_mwh))</f>
        <v/>
      </c>
      <c r="L127" s="42">
        <f>IF(K127&gt;=capacity_mwh-0.01,"yes","no")</f>
        <v/>
      </c>
      <c r="M127" s="23">
        <f>IF(C127="aFRR+",(MIN(DAMAS_Daily!C127*market_share_C*acceptance_rate*stack_activation,power_mw*hours_per_day,capacity_mwh))*DAMAS_Daily!E127*activation_mult_C,(MIN(DAMAS_Daily!D127*market_share_C*acceptance_rate*stack_activation,power_mw*hours_per_day,capacity_mwh))*DAMAS_Daily!F127*activation_mult_C)</f>
        <v/>
      </c>
      <c r="N127" s="24">
        <f>F127+M127</f>
        <v/>
      </c>
    </row>
    <row r="128">
      <c r="A128" s="41">
        <f>DAMAS_Daily!A128</f>
        <v/>
      </c>
      <c r="B128" s="42">
        <f>DAMAS_Daily!B128</f>
        <v/>
      </c>
      <c r="C128" s="42">
        <f>IF((power_mw*hours_per_day*damas_afrr_up*capacity_mult_C*stack_capacity*acceptance_rate+(MIN(DAMAS_Daily!C128*market_share_C*acceptance_rate*stack_activation,power_mw*hours_per_day,capacity_mwh))*DAMAS_Daily!E128*activation_mult_C)&gt;=(power_mw*hours_per_day*damas_afrr_down*capacity_mult_C*stack_capacity*acceptance_rate+(MIN(DAMAS_Daily!D128*market_share_C*acceptance_rate*stack_activation,power_mw*hours_per_day,capacity_mwh))*DAMAS_Daily!F128*activation_mult_C),"aFRR+","aFRR-")</f>
        <v/>
      </c>
      <c r="D128" s="43">
        <f>IF(C128="aFRR+",damas_afrr_up*capacity_mult_C,damas_afrr_down*capacity_mult_C)</f>
        <v/>
      </c>
      <c r="E128" s="44">
        <f>acceptance_rate</f>
        <v/>
      </c>
      <c r="F128" s="23">
        <f>IF(C128="aFRR+",power_mw*hours_per_day*damas_afrr_up*capacity_mult_C*stack_capacity*acceptance_rate,power_mw*hours_per_day*damas_afrr_down*capacity_mult_C*stack_capacity*acceptance_rate)</f>
        <v/>
      </c>
      <c r="G128" s="42">
        <f>IF(C128="aFRR+",DAMAS_Daily!I128,DAMAS_Daily!J128)</f>
        <v/>
      </c>
      <c r="H128" s="43">
        <f>IF(C128="aFRR+",DAMAS_Daily!E128,DAMAS_Daily!F128)</f>
        <v/>
      </c>
      <c r="I128" s="43">
        <f>IF(C128="aFRR+",DAMAS_Daily!G128,DAMAS_Daily!H128)</f>
        <v/>
      </c>
      <c r="J128" s="45">
        <f>IF(C128="aFRR+",DAMAS_Daily!C128,DAMAS_Daily!D128)</f>
        <v/>
      </c>
      <c r="K128" s="45">
        <f>IF(C128="aFRR+",MIN(DAMAS_Daily!C128*market_share_C*acceptance_rate*stack_activation,power_mw*hours_per_day,capacity_mwh),MIN(DAMAS_Daily!D128*market_share_C*acceptance_rate*stack_activation,power_mw*hours_per_day,capacity_mwh))</f>
        <v/>
      </c>
      <c r="L128" s="42">
        <f>IF(K128&gt;=capacity_mwh-0.01,"yes","no")</f>
        <v/>
      </c>
      <c r="M128" s="23">
        <f>IF(C128="aFRR+",(MIN(DAMAS_Daily!C128*market_share_C*acceptance_rate*stack_activation,power_mw*hours_per_day,capacity_mwh))*DAMAS_Daily!E128*activation_mult_C,(MIN(DAMAS_Daily!D128*market_share_C*acceptance_rate*stack_activation,power_mw*hours_per_day,capacity_mwh))*DAMAS_Daily!F128*activation_mult_C)</f>
        <v/>
      </c>
      <c r="N128" s="24">
        <f>F128+M128</f>
        <v/>
      </c>
    </row>
    <row r="129">
      <c r="A129" s="41">
        <f>DAMAS_Daily!A129</f>
        <v/>
      </c>
      <c r="B129" s="42">
        <f>DAMAS_Daily!B129</f>
        <v/>
      </c>
      <c r="C129" s="42">
        <f>IF((power_mw*hours_per_day*damas_afrr_up*capacity_mult_C*stack_capacity*acceptance_rate+(MIN(DAMAS_Daily!C129*market_share_C*acceptance_rate*stack_activation,power_mw*hours_per_day,capacity_mwh))*DAMAS_Daily!E129*activation_mult_C)&gt;=(power_mw*hours_per_day*damas_afrr_down*capacity_mult_C*stack_capacity*acceptance_rate+(MIN(DAMAS_Daily!D129*market_share_C*acceptance_rate*stack_activation,power_mw*hours_per_day,capacity_mwh))*DAMAS_Daily!F129*activation_mult_C),"aFRR+","aFRR-")</f>
        <v/>
      </c>
      <c r="D129" s="43">
        <f>IF(C129="aFRR+",damas_afrr_up*capacity_mult_C,damas_afrr_down*capacity_mult_C)</f>
        <v/>
      </c>
      <c r="E129" s="44">
        <f>acceptance_rate</f>
        <v/>
      </c>
      <c r="F129" s="23">
        <f>IF(C129="aFRR+",power_mw*hours_per_day*damas_afrr_up*capacity_mult_C*stack_capacity*acceptance_rate,power_mw*hours_per_day*damas_afrr_down*capacity_mult_C*stack_capacity*acceptance_rate)</f>
        <v/>
      </c>
      <c r="G129" s="42">
        <f>IF(C129="aFRR+",DAMAS_Daily!I129,DAMAS_Daily!J129)</f>
        <v/>
      </c>
      <c r="H129" s="43">
        <f>IF(C129="aFRR+",DAMAS_Daily!E129,DAMAS_Daily!F129)</f>
        <v/>
      </c>
      <c r="I129" s="43">
        <f>IF(C129="aFRR+",DAMAS_Daily!G129,DAMAS_Daily!H129)</f>
        <v/>
      </c>
      <c r="J129" s="45">
        <f>IF(C129="aFRR+",DAMAS_Daily!C129,DAMAS_Daily!D129)</f>
        <v/>
      </c>
      <c r="K129" s="45">
        <f>IF(C129="aFRR+",MIN(DAMAS_Daily!C129*market_share_C*acceptance_rate*stack_activation,power_mw*hours_per_day,capacity_mwh),MIN(DAMAS_Daily!D129*market_share_C*acceptance_rate*stack_activation,power_mw*hours_per_day,capacity_mwh))</f>
        <v/>
      </c>
      <c r="L129" s="42">
        <f>IF(K129&gt;=capacity_mwh-0.01,"yes","no")</f>
        <v/>
      </c>
      <c r="M129" s="23">
        <f>IF(C129="aFRR+",(MIN(DAMAS_Daily!C129*market_share_C*acceptance_rate*stack_activation,power_mw*hours_per_day,capacity_mwh))*DAMAS_Daily!E129*activation_mult_C,(MIN(DAMAS_Daily!D129*market_share_C*acceptance_rate*stack_activation,power_mw*hours_per_day,capacity_mwh))*DAMAS_Daily!F129*activation_mult_C)</f>
        <v/>
      </c>
      <c r="N129" s="24">
        <f>F129+M129</f>
        <v/>
      </c>
    </row>
    <row r="130">
      <c r="A130" s="41">
        <f>DAMAS_Daily!A130</f>
        <v/>
      </c>
      <c r="B130" s="42">
        <f>DAMAS_Daily!B130</f>
        <v/>
      </c>
      <c r="C130" s="42">
        <f>IF((power_mw*hours_per_day*damas_afrr_up*capacity_mult_C*stack_capacity*acceptance_rate+(MIN(DAMAS_Daily!C130*market_share_C*acceptance_rate*stack_activation,power_mw*hours_per_day,capacity_mwh))*DAMAS_Daily!E130*activation_mult_C)&gt;=(power_mw*hours_per_day*damas_afrr_down*capacity_mult_C*stack_capacity*acceptance_rate+(MIN(DAMAS_Daily!D130*market_share_C*acceptance_rate*stack_activation,power_mw*hours_per_day,capacity_mwh))*DAMAS_Daily!F130*activation_mult_C),"aFRR+","aFRR-")</f>
        <v/>
      </c>
      <c r="D130" s="43">
        <f>IF(C130="aFRR+",damas_afrr_up*capacity_mult_C,damas_afrr_down*capacity_mult_C)</f>
        <v/>
      </c>
      <c r="E130" s="44">
        <f>acceptance_rate</f>
        <v/>
      </c>
      <c r="F130" s="23">
        <f>IF(C130="aFRR+",power_mw*hours_per_day*damas_afrr_up*capacity_mult_C*stack_capacity*acceptance_rate,power_mw*hours_per_day*damas_afrr_down*capacity_mult_C*stack_capacity*acceptance_rate)</f>
        <v/>
      </c>
      <c r="G130" s="42">
        <f>IF(C130="aFRR+",DAMAS_Daily!I130,DAMAS_Daily!J130)</f>
        <v/>
      </c>
      <c r="H130" s="43">
        <f>IF(C130="aFRR+",DAMAS_Daily!E130,DAMAS_Daily!F130)</f>
        <v/>
      </c>
      <c r="I130" s="43">
        <f>IF(C130="aFRR+",DAMAS_Daily!G130,DAMAS_Daily!H130)</f>
        <v/>
      </c>
      <c r="J130" s="45">
        <f>IF(C130="aFRR+",DAMAS_Daily!C130,DAMAS_Daily!D130)</f>
        <v/>
      </c>
      <c r="K130" s="45">
        <f>IF(C130="aFRR+",MIN(DAMAS_Daily!C130*market_share_C*acceptance_rate*stack_activation,power_mw*hours_per_day,capacity_mwh),MIN(DAMAS_Daily!D130*market_share_C*acceptance_rate*stack_activation,power_mw*hours_per_day,capacity_mwh))</f>
        <v/>
      </c>
      <c r="L130" s="42">
        <f>IF(K130&gt;=capacity_mwh-0.01,"yes","no")</f>
        <v/>
      </c>
      <c r="M130" s="23">
        <f>IF(C130="aFRR+",(MIN(DAMAS_Daily!C130*market_share_C*acceptance_rate*stack_activation,power_mw*hours_per_day,capacity_mwh))*DAMAS_Daily!E130*activation_mult_C,(MIN(DAMAS_Daily!D130*market_share_C*acceptance_rate*stack_activation,power_mw*hours_per_day,capacity_mwh))*DAMAS_Daily!F130*activation_mult_C)</f>
        <v/>
      </c>
      <c r="N130" s="24">
        <f>F130+M130</f>
        <v/>
      </c>
    </row>
    <row r="131">
      <c r="A131" s="41">
        <f>DAMAS_Daily!A131</f>
        <v/>
      </c>
      <c r="B131" s="42">
        <f>DAMAS_Daily!B131</f>
        <v/>
      </c>
      <c r="C131" s="42">
        <f>IF((power_mw*hours_per_day*damas_afrr_up*capacity_mult_C*stack_capacity*acceptance_rate+(MIN(DAMAS_Daily!C131*market_share_C*acceptance_rate*stack_activation,power_mw*hours_per_day,capacity_mwh))*DAMAS_Daily!E131*activation_mult_C)&gt;=(power_mw*hours_per_day*damas_afrr_down*capacity_mult_C*stack_capacity*acceptance_rate+(MIN(DAMAS_Daily!D131*market_share_C*acceptance_rate*stack_activation,power_mw*hours_per_day,capacity_mwh))*DAMAS_Daily!F131*activation_mult_C),"aFRR+","aFRR-")</f>
        <v/>
      </c>
      <c r="D131" s="43">
        <f>IF(C131="aFRR+",damas_afrr_up*capacity_mult_C,damas_afrr_down*capacity_mult_C)</f>
        <v/>
      </c>
      <c r="E131" s="44">
        <f>acceptance_rate</f>
        <v/>
      </c>
      <c r="F131" s="23">
        <f>IF(C131="aFRR+",power_mw*hours_per_day*damas_afrr_up*capacity_mult_C*stack_capacity*acceptance_rate,power_mw*hours_per_day*damas_afrr_down*capacity_mult_C*stack_capacity*acceptance_rate)</f>
        <v/>
      </c>
      <c r="G131" s="42">
        <f>IF(C131="aFRR+",DAMAS_Daily!I131,DAMAS_Daily!J131)</f>
        <v/>
      </c>
      <c r="H131" s="43">
        <f>IF(C131="aFRR+",DAMAS_Daily!E131,DAMAS_Daily!F131)</f>
        <v/>
      </c>
      <c r="I131" s="43">
        <f>IF(C131="aFRR+",DAMAS_Daily!G131,DAMAS_Daily!H131)</f>
        <v/>
      </c>
      <c r="J131" s="45">
        <f>IF(C131="aFRR+",DAMAS_Daily!C131,DAMAS_Daily!D131)</f>
        <v/>
      </c>
      <c r="K131" s="45">
        <f>IF(C131="aFRR+",MIN(DAMAS_Daily!C131*market_share_C*acceptance_rate*stack_activation,power_mw*hours_per_day,capacity_mwh),MIN(DAMAS_Daily!D131*market_share_C*acceptance_rate*stack_activation,power_mw*hours_per_day,capacity_mwh))</f>
        <v/>
      </c>
      <c r="L131" s="42">
        <f>IF(K131&gt;=capacity_mwh-0.01,"yes","no")</f>
        <v/>
      </c>
      <c r="M131" s="23">
        <f>IF(C131="aFRR+",(MIN(DAMAS_Daily!C131*market_share_C*acceptance_rate*stack_activation,power_mw*hours_per_day,capacity_mwh))*DAMAS_Daily!E131*activation_mult_C,(MIN(DAMAS_Daily!D131*market_share_C*acceptance_rate*stack_activation,power_mw*hours_per_day,capacity_mwh))*DAMAS_Daily!F131*activation_mult_C)</f>
        <v/>
      </c>
      <c r="N131" s="24">
        <f>F131+M131</f>
        <v/>
      </c>
    </row>
    <row r="132">
      <c r="A132" s="41">
        <f>DAMAS_Daily!A132</f>
        <v/>
      </c>
      <c r="B132" s="42">
        <f>DAMAS_Daily!B132</f>
        <v/>
      </c>
      <c r="C132" s="42">
        <f>IF((power_mw*hours_per_day*damas_afrr_up*capacity_mult_C*stack_capacity*acceptance_rate+(MIN(DAMAS_Daily!C132*market_share_C*acceptance_rate*stack_activation,power_mw*hours_per_day,capacity_mwh))*DAMAS_Daily!E132*activation_mult_C)&gt;=(power_mw*hours_per_day*damas_afrr_down*capacity_mult_C*stack_capacity*acceptance_rate+(MIN(DAMAS_Daily!D132*market_share_C*acceptance_rate*stack_activation,power_mw*hours_per_day,capacity_mwh))*DAMAS_Daily!F132*activation_mult_C),"aFRR+","aFRR-")</f>
        <v/>
      </c>
      <c r="D132" s="43">
        <f>IF(C132="aFRR+",damas_afrr_up*capacity_mult_C,damas_afrr_down*capacity_mult_C)</f>
        <v/>
      </c>
      <c r="E132" s="44">
        <f>acceptance_rate</f>
        <v/>
      </c>
      <c r="F132" s="23">
        <f>IF(C132="aFRR+",power_mw*hours_per_day*damas_afrr_up*capacity_mult_C*stack_capacity*acceptance_rate,power_mw*hours_per_day*damas_afrr_down*capacity_mult_C*stack_capacity*acceptance_rate)</f>
        <v/>
      </c>
      <c r="G132" s="42">
        <f>IF(C132="aFRR+",DAMAS_Daily!I132,DAMAS_Daily!J132)</f>
        <v/>
      </c>
      <c r="H132" s="43">
        <f>IF(C132="aFRR+",DAMAS_Daily!E132,DAMAS_Daily!F132)</f>
        <v/>
      </c>
      <c r="I132" s="43">
        <f>IF(C132="aFRR+",DAMAS_Daily!G132,DAMAS_Daily!H132)</f>
        <v/>
      </c>
      <c r="J132" s="45">
        <f>IF(C132="aFRR+",DAMAS_Daily!C132,DAMAS_Daily!D132)</f>
        <v/>
      </c>
      <c r="K132" s="45">
        <f>IF(C132="aFRR+",MIN(DAMAS_Daily!C132*market_share_C*acceptance_rate*stack_activation,power_mw*hours_per_day,capacity_mwh),MIN(DAMAS_Daily!D132*market_share_C*acceptance_rate*stack_activation,power_mw*hours_per_day,capacity_mwh))</f>
        <v/>
      </c>
      <c r="L132" s="42">
        <f>IF(K132&gt;=capacity_mwh-0.01,"yes","no")</f>
        <v/>
      </c>
      <c r="M132" s="23">
        <f>IF(C132="aFRR+",(MIN(DAMAS_Daily!C132*market_share_C*acceptance_rate*stack_activation,power_mw*hours_per_day,capacity_mwh))*DAMAS_Daily!E132*activation_mult_C,(MIN(DAMAS_Daily!D132*market_share_C*acceptance_rate*stack_activation,power_mw*hours_per_day,capacity_mwh))*DAMAS_Daily!F132*activation_mult_C)</f>
        <v/>
      </c>
      <c r="N132" s="24">
        <f>F132+M132</f>
        <v/>
      </c>
    </row>
    <row r="133">
      <c r="A133" s="41">
        <f>DAMAS_Daily!A133</f>
        <v/>
      </c>
      <c r="B133" s="42">
        <f>DAMAS_Daily!B133</f>
        <v/>
      </c>
      <c r="C133" s="42">
        <f>IF((power_mw*hours_per_day*damas_afrr_up*capacity_mult_C*stack_capacity*acceptance_rate+(MIN(DAMAS_Daily!C133*market_share_C*acceptance_rate*stack_activation,power_mw*hours_per_day,capacity_mwh))*DAMAS_Daily!E133*activation_mult_C)&gt;=(power_mw*hours_per_day*damas_afrr_down*capacity_mult_C*stack_capacity*acceptance_rate+(MIN(DAMAS_Daily!D133*market_share_C*acceptance_rate*stack_activation,power_mw*hours_per_day,capacity_mwh))*DAMAS_Daily!F133*activation_mult_C),"aFRR+","aFRR-")</f>
        <v/>
      </c>
      <c r="D133" s="43">
        <f>IF(C133="aFRR+",damas_afrr_up*capacity_mult_C,damas_afrr_down*capacity_mult_C)</f>
        <v/>
      </c>
      <c r="E133" s="44">
        <f>acceptance_rate</f>
        <v/>
      </c>
      <c r="F133" s="23">
        <f>IF(C133="aFRR+",power_mw*hours_per_day*damas_afrr_up*capacity_mult_C*stack_capacity*acceptance_rate,power_mw*hours_per_day*damas_afrr_down*capacity_mult_C*stack_capacity*acceptance_rate)</f>
        <v/>
      </c>
      <c r="G133" s="42">
        <f>IF(C133="aFRR+",DAMAS_Daily!I133,DAMAS_Daily!J133)</f>
        <v/>
      </c>
      <c r="H133" s="43">
        <f>IF(C133="aFRR+",DAMAS_Daily!E133,DAMAS_Daily!F133)</f>
        <v/>
      </c>
      <c r="I133" s="43">
        <f>IF(C133="aFRR+",DAMAS_Daily!G133,DAMAS_Daily!H133)</f>
        <v/>
      </c>
      <c r="J133" s="45">
        <f>IF(C133="aFRR+",DAMAS_Daily!C133,DAMAS_Daily!D133)</f>
        <v/>
      </c>
      <c r="K133" s="45">
        <f>IF(C133="aFRR+",MIN(DAMAS_Daily!C133*market_share_C*acceptance_rate*stack_activation,power_mw*hours_per_day,capacity_mwh),MIN(DAMAS_Daily!D133*market_share_C*acceptance_rate*stack_activation,power_mw*hours_per_day,capacity_mwh))</f>
        <v/>
      </c>
      <c r="L133" s="42">
        <f>IF(K133&gt;=capacity_mwh-0.01,"yes","no")</f>
        <v/>
      </c>
      <c r="M133" s="23">
        <f>IF(C133="aFRR+",(MIN(DAMAS_Daily!C133*market_share_C*acceptance_rate*stack_activation,power_mw*hours_per_day,capacity_mwh))*DAMAS_Daily!E133*activation_mult_C,(MIN(DAMAS_Daily!D133*market_share_C*acceptance_rate*stack_activation,power_mw*hours_per_day,capacity_mwh))*DAMAS_Daily!F133*activation_mult_C)</f>
        <v/>
      </c>
      <c r="N133" s="24">
        <f>F133+M133</f>
        <v/>
      </c>
    </row>
    <row r="134">
      <c r="A134" s="41">
        <f>DAMAS_Daily!A134</f>
        <v/>
      </c>
      <c r="B134" s="42">
        <f>DAMAS_Daily!B134</f>
        <v/>
      </c>
      <c r="C134" s="42">
        <f>IF((power_mw*hours_per_day*damas_afrr_up*capacity_mult_C*stack_capacity*acceptance_rate+(MIN(DAMAS_Daily!C134*market_share_C*acceptance_rate*stack_activation,power_mw*hours_per_day,capacity_mwh))*DAMAS_Daily!E134*activation_mult_C)&gt;=(power_mw*hours_per_day*damas_afrr_down*capacity_mult_C*stack_capacity*acceptance_rate+(MIN(DAMAS_Daily!D134*market_share_C*acceptance_rate*stack_activation,power_mw*hours_per_day,capacity_mwh))*DAMAS_Daily!F134*activation_mult_C),"aFRR+","aFRR-")</f>
        <v/>
      </c>
      <c r="D134" s="43">
        <f>IF(C134="aFRR+",damas_afrr_up*capacity_mult_C,damas_afrr_down*capacity_mult_C)</f>
        <v/>
      </c>
      <c r="E134" s="44">
        <f>acceptance_rate</f>
        <v/>
      </c>
      <c r="F134" s="23">
        <f>IF(C134="aFRR+",power_mw*hours_per_day*damas_afrr_up*capacity_mult_C*stack_capacity*acceptance_rate,power_mw*hours_per_day*damas_afrr_down*capacity_mult_C*stack_capacity*acceptance_rate)</f>
        <v/>
      </c>
      <c r="G134" s="42">
        <f>IF(C134="aFRR+",DAMAS_Daily!I134,DAMAS_Daily!J134)</f>
        <v/>
      </c>
      <c r="H134" s="43">
        <f>IF(C134="aFRR+",DAMAS_Daily!E134,DAMAS_Daily!F134)</f>
        <v/>
      </c>
      <c r="I134" s="43">
        <f>IF(C134="aFRR+",DAMAS_Daily!G134,DAMAS_Daily!H134)</f>
        <v/>
      </c>
      <c r="J134" s="45">
        <f>IF(C134="aFRR+",DAMAS_Daily!C134,DAMAS_Daily!D134)</f>
        <v/>
      </c>
      <c r="K134" s="45">
        <f>IF(C134="aFRR+",MIN(DAMAS_Daily!C134*market_share_C*acceptance_rate*stack_activation,power_mw*hours_per_day,capacity_mwh),MIN(DAMAS_Daily!D134*market_share_C*acceptance_rate*stack_activation,power_mw*hours_per_day,capacity_mwh))</f>
        <v/>
      </c>
      <c r="L134" s="42">
        <f>IF(K134&gt;=capacity_mwh-0.01,"yes","no")</f>
        <v/>
      </c>
      <c r="M134" s="23">
        <f>IF(C134="aFRR+",(MIN(DAMAS_Daily!C134*market_share_C*acceptance_rate*stack_activation,power_mw*hours_per_day,capacity_mwh))*DAMAS_Daily!E134*activation_mult_C,(MIN(DAMAS_Daily!D134*market_share_C*acceptance_rate*stack_activation,power_mw*hours_per_day,capacity_mwh))*DAMAS_Daily!F134*activation_mult_C)</f>
        <v/>
      </c>
      <c r="N134" s="24">
        <f>F134+M134</f>
        <v/>
      </c>
    </row>
    <row r="135">
      <c r="A135" s="41">
        <f>DAMAS_Daily!A135</f>
        <v/>
      </c>
      <c r="B135" s="42">
        <f>DAMAS_Daily!B135</f>
        <v/>
      </c>
      <c r="C135" s="42">
        <f>IF((power_mw*hours_per_day*damas_afrr_up*capacity_mult_C*stack_capacity*acceptance_rate+(MIN(DAMAS_Daily!C135*market_share_C*acceptance_rate*stack_activation,power_mw*hours_per_day,capacity_mwh))*DAMAS_Daily!E135*activation_mult_C)&gt;=(power_mw*hours_per_day*damas_afrr_down*capacity_mult_C*stack_capacity*acceptance_rate+(MIN(DAMAS_Daily!D135*market_share_C*acceptance_rate*stack_activation,power_mw*hours_per_day,capacity_mwh))*DAMAS_Daily!F135*activation_mult_C),"aFRR+","aFRR-")</f>
        <v/>
      </c>
      <c r="D135" s="43">
        <f>IF(C135="aFRR+",damas_afrr_up*capacity_mult_C,damas_afrr_down*capacity_mult_C)</f>
        <v/>
      </c>
      <c r="E135" s="44">
        <f>acceptance_rate</f>
        <v/>
      </c>
      <c r="F135" s="23">
        <f>IF(C135="aFRR+",power_mw*hours_per_day*damas_afrr_up*capacity_mult_C*stack_capacity*acceptance_rate,power_mw*hours_per_day*damas_afrr_down*capacity_mult_C*stack_capacity*acceptance_rate)</f>
        <v/>
      </c>
      <c r="G135" s="42">
        <f>IF(C135="aFRR+",DAMAS_Daily!I135,DAMAS_Daily!J135)</f>
        <v/>
      </c>
      <c r="H135" s="43">
        <f>IF(C135="aFRR+",DAMAS_Daily!E135,DAMAS_Daily!F135)</f>
        <v/>
      </c>
      <c r="I135" s="43">
        <f>IF(C135="aFRR+",DAMAS_Daily!G135,DAMAS_Daily!H135)</f>
        <v/>
      </c>
      <c r="J135" s="45">
        <f>IF(C135="aFRR+",DAMAS_Daily!C135,DAMAS_Daily!D135)</f>
        <v/>
      </c>
      <c r="K135" s="45">
        <f>IF(C135="aFRR+",MIN(DAMAS_Daily!C135*market_share_C*acceptance_rate*stack_activation,power_mw*hours_per_day,capacity_mwh),MIN(DAMAS_Daily!D135*market_share_C*acceptance_rate*stack_activation,power_mw*hours_per_day,capacity_mwh))</f>
        <v/>
      </c>
      <c r="L135" s="42">
        <f>IF(K135&gt;=capacity_mwh-0.01,"yes","no")</f>
        <v/>
      </c>
      <c r="M135" s="23">
        <f>IF(C135="aFRR+",(MIN(DAMAS_Daily!C135*market_share_C*acceptance_rate*stack_activation,power_mw*hours_per_day,capacity_mwh))*DAMAS_Daily!E135*activation_mult_C,(MIN(DAMAS_Daily!D135*market_share_C*acceptance_rate*stack_activation,power_mw*hours_per_day,capacity_mwh))*DAMAS_Daily!F135*activation_mult_C)</f>
        <v/>
      </c>
      <c r="N135" s="24">
        <f>F135+M135</f>
        <v/>
      </c>
    </row>
    <row r="136">
      <c r="A136" s="41">
        <f>DAMAS_Daily!A136</f>
        <v/>
      </c>
      <c r="B136" s="42">
        <f>DAMAS_Daily!B136</f>
        <v/>
      </c>
      <c r="C136" s="42">
        <f>IF((power_mw*hours_per_day*damas_afrr_up*capacity_mult_C*stack_capacity*acceptance_rate+(MIN(DAMAS_Daily!C136*market_share_C*acceptance_rate*stack_activation,power_mw*hours_per_day,capacity_mwh))*DAMAS_Daily!E136*activation_mult_C)&gt;=(power_mw*hours_per_day*damas_afrr_down*capacity_mult_C*stack_capacity*acceptance_rate+(MIN(DAMAS_Daily!D136*market_share_C*acceptance_rate*stack_activation,power_mw*hours_per_day,capacity_mwh))*DAMAS_Daily!F136*activation_mult_C),"aFRR+","aFRR-")</f>
        <v/>
      </c>
      <c r="D136" s="43">
        <f>IF(C136="aFRR+",damas_afrr_up*capacity_mult_C,damas_afrr_down*capacity_mult_C)</f>
        <v/>
      </c>
      <c r="E136" s="44">
        <f>acceptance_rate</f>
        <v/>
      </c>
      <c r="F136" s="23">
        <f>IF(C136="aFRR+",power_mw*hours_per_day*damas_afrr_up*capacity_mult_C*stack_capacity*acceptance_rate,power_mw*hours_per_day*damas_afrr_down*capacity_mult_C*stack_capacity*acceptance_rate)</f>
        <v/>
      </c>
      <c r="G136" s="42">
        <f>IF(C136="aFRR+",DAMAS_Daily!I136,DAMAS_Daily!J136)</f>
        <v/>
      </c>
      <c r="H136" s="43">
        <f>IF(C136="aFRR+",DAMAS_Daily!E136,DAMAS_Daily!F136)</f>
        <v/>
      </c>
      <c r="I136" s="43">
        <f>IF(C136="aFRR+",DAMAS_Daily!G136,DAMAS_Daily!H136)</f>
        <v/>
      </c>
      <c r="J136" s="45">
        <f>IF(C136="aFRR+",DAMAS_Daily!C136,DAMAS_Daily!D136)</f>
        <v/>
      </c>
      <c r="K136" s="45">
        <f>IF(C136="aFRR+",MIN(DAMAS_Daily!C136*market_share_C*acceptance_rate*stack_activation,power_mw*hours_per_day,capacity_mwh),MIN(DAMAS_Daily!D136*market_share_C*acceptance_rate*stack_activation,power_mw*hours_per_day,capacity_mwh))</f>
        <v/>
      </c>
      <c r="L136" s="42">
        <f>IF(K136&gt;=capacity_mwh-0.01,"yes","no")</f>
        <v/>
      </c>
      <c r="M136" s="23">
        <f>IF(C136="aFRR+",(MIN(DAMAS_Daily!C136*market_share_C*acceptance_rate*stack_activation,power_mw*hours_per_day,capacity_mwh))*DAMAS_Daily!E136*activation_mult_C,(MIN(DAMAS_Daily!D136*market_share_C*acceptance_rate*stack_activation,power_mw*hours_per_day,capacity_mwh))*DAMAS_Daily!F136*activation_mult_C)</f>
        <v/>
      </c>
      <c r="N136" s="24">
        <f>F136+M136</f>
        <v/>
      </c>
    </row>
    <row r="137">
      <c r="A137" s="41">
        <f>DAMAS_Daily!A137</f>
        <v/>
      </c>
      <c r="B137" s="42">
        <f>DAMAS_Daily!B137</f>
        <v/>
      </c>
      <c r="C137" s="42">
        <f>IF((power_mw*hours_per_day*damas_afrr_up*capacity_mult_C*stack_capacity*acceptance_rate+(MIN(DAMAS_Daily!C137*market_share_C*acceptance_rate*stack_activation,power_mw*hours_per_day,capacity_mwh))*DAMAS_Daily!E137*activation_mult_C)&gt;=(power_mw*hours_per_day*damas_afrr_down*capacity_mult_C*stack_capacity*acceptance_rate+(MIN(DAMAS_Daily!D137*market_share_C*acceptance_rate*stack_activation,power_mw*hours_per_day,capacity_mwh))*DAMAS_Daily!F137*activation_mult_C),"aFRR+","aFRR-")</f>
        <v/>
      </c>
      <c r="D137" s="43">
        <f>IF(C137="aFRR+",damas_afrr_up*capacity_mult_C,damas_afrr_down*capacity_mult_C)</f>
        <v/>
      </c>
      <c r="E137" s="44">
        <f>acceptance_rate</f>
        <v/>
      </c>
      <c r="F137" s="23">
        <f>IF(C137="aFRR+",power_mw*hours_per_day*damas_afrr_up*capacity_mult_C*stack_capacity*acceptance_rate,power_mw*hours_per_day*damas_afrr_down*capacity_mult_C*stack_capacity*acceptance_rate)</f>
        <v/>
      </c>
      <c r="G137" s="42">
        <f>IF(C137="aFRR+",DAMAS_Daily!I137,DAMAS_Daily!J137)</f>
        <v/>
      </c>
      <c r="H137" s="43">
        <f>IF(C137="aFRR+",DAMAS_Daily!E137,DAMAS_Daily!F137)</f>
        <v/>
      </c>
      <c r="I137" s="43">
        <f>IF(C137="aFRR+",DAMAS_Daily!G137,DAMAS_Daily!H137)</f>
        <v/>
      </c>
      <c r="J137" s="45">
        <f>IF(C137="aFRR+",DAMAS_Daily!C137,DAMAS_Daily!D137)</f>
        <v/>
      </c>
      <c r="K137" s="45">
        <f>IF(C137="aFRR+",MIN(DAMAS_Daily!C137*market_share_C*acceptance_rate*stack_activation,power_mw*hours_per_day,capacity_mwh),MIN(DAMAS_Daily!D137*market_share_C*acceptance_rate*stack_activation,power_mw*hours_per_day,capacity_mwh))</f>
        <v/>
      </c>
      <c r="L137" s="42">
        <f>IF(K137&gt;=capacity_mwh-0.01,"yes","no")</f>
        <v/>
      </c>
      <c r="M137" s="23">
        <f>IF(C137="aFRR+",(MIN(DAMAS_Daily!C137*market_share_C*acceptance_rate*stack_activation,power_mw*hours_per_day,capacity_mwh))*DAMAS_Daily!E137*activation_mult_C,(MIN(DAMAS_Daily!D137*market_share_C*acceptance_rate*stack_activation,power_mw*hours_per_day,capacity_mwh))*DAMAS_Daily!F137*activation_mult_C)</f>
        <v/>
      </c>
      <c r="N137" s="24">
        <f>F137+M137</f>
        <v/>
      </c>
    </row>
    <row r="138">
      <c r="A138" s="41">
        <f>DAMAS_Daily!A138</f>
        <v/>
      </c>
      <c r="B138" s="42">
        <f>DAMAS_Daily!B138</f>
        <v/>
      </c>
      <c r="C138" s="42">
        <f>IF((power_mw*hours_per_day*damas_afrr_up*capacity_mult_C*stack_capacity*acceptance_rate+(MIN(DAMAS_Daily!C138*market_share_C*acceptance_rate*stack_activation,power_mw*hours_per_day,capacity_mwh))*DAMAS_Daily!E138*activation_mult_C)&gt;=(power_mw*hours_per_day*damas_afrr_down*capacity_mult_C*stack_capacity*acceptance_rate+(MIN(DAMAS_Daily!D138*market_share_C*acceptance_rate*stack_activation,power_mw*hours_per_day,capacity_mwh))*DAMAS_Daily!F138*activation_mult_C),"aFRR+","aFRR-")</f>
        <v/>
      </c>
      <c r="D138" s="43">
        <f>IF(C138="aFRR+",damas_afrr_up*capacity_mult_C,damas_afrr_down*capacity_mult_C)</f>
        <v/>
      </c>
      <c r="E138" s="44">
        <f>acceptance_rate</f>
        <v/>
      </c>
      <c r="F138" s="23">
        <f>IF(C138="aFRR+",power_mw*hours_per_day*damas_afrr_up*capacity_mult_C*stack_capacity*acceptance_rate,power_mw*hours_per_day*damas_afrr_down*capacity_mult_C*stack_capacity*acceptance_rate)</f>
        <v/>
      </c>
      <c r="G138" s="42">
        <f>IF(C138="aFRR+",DAMAS_Daily!I138,DAMAS_Daily!J138)</f>
        <v/>
      </c>
      <c r="H138" s="43">
        <f>IF(C138="aFRR+",DAMAS_Daily!E138,DAMAS_Daily!F138)</f>
        <v/>
      </c>
      <c r="I138" s="43">
        <f>IF(C138="aFRR+",DAMAS_Daily!G138,DAMAS_Daily!H138)</f>
        <v/>
      </c>
      <c r="J138" s="45">
        <f>IF(C138="aFRR+",DAMAS_Daily!C138,DAMAS_Daily!D138)</f>
        <v/>
      </c>
      <c r="K138" s="45">
        <f>IF(C138="aFRR+",MIN(DAMAS_Daily!C138*market_share_C*acceptance_rate*stack_activation,power_mw*hours_per_day,capacity_mwh),MIN(DAMAS_Daily!D138*market_share_C*acceptance_rate*stack_activation,power_mw*hours_per_day,capacity_mwh))</f>
        <v/>
      </c>
      <c r="L138" s="42">
        <f>IF(K138&gt;=capacity_mwh-0.01,"yes","no")</f>
        <v/>
      </c>
      <c r="M138" s="23">
        <f>IF(C138="aFRR+",(MIN(DAMAS_Daily!C138*market_share_C*acceptance_rate*stack_activation,power_mw*hours_per_day,capacity_mwh))*DAMAS_Daily!E138*activation_mult_C,(MIN(DAMAS_Daily!D138*market_share_C*acceptance_rate*stack_activation,power_mw*hours_per_day,capacity_mwh))*DAMAS_Daily!F138*activation_mult_C)</f>
        <v/>
      </c>
      <c r="N138" s="24">
        <f>F138+M138</f>
        <v/>
      </c>
    </row>
    <row r="139">
      <c r="A139" s="41">
        <f>DAMAS_Daily!A139</f>
        <v/>
      </c>
      <c r="B139" s="42">
        <f>DAMAS_Daily!B139</f>
        <v/>
      </c>
      <c r="C139" s="42">
        <f>IF((power_mw*hours_per_day*damas_afrr_up*capacity_mult_C*stack_capacity*acceptance_rate+(MIN(DAMAS_Daily!C139*market_share_C*acceptance_rate*stack_activation,power_mw*hours_per_day,capacity_mwh))*DAMAS_Daily!E139*activation_mult_C)&gt;=(power_mw*hours_per_day*damas_afrr_down*capacity_mult_C*stack_capacity*acceptance_rate+(MIN(DAMAS_Daily!D139*market_share_C*acceptance_rate*stack_activation,power_mw*hours_per_day,capacity_mwh))*DAMAS_Daily!F139*activation_mult_C),"aFRR+","aFRR-")</f>
        <v/>
      </c>
      <c r="D139" s="43">
        <f>IF(C139="aFRR+",damas_afrr_up*capacity_mult_C,damas_afrr_down*capacity_mult_C)</f>
        <v/>
      </c>
      <c r="E139" s="44">
        <f>acceptance_rate</f>
        <v/>
      </c>
      <c r="F139" s="23">
        <f>IF(C139="aFRR+",power_mw*hours_per_day*damas_afrr_up*capacity_mult_C*stack_capacity*acceptance_rate,power_mw*hours_per_day*damas_afrr_down*capacity_mult_C*stack_capacity*acceptance_rate)</f>
        <v/>
      </c>
      <c r="G139" s="42">
        <f>IF(C139="aFRR+",DAMAS_Daily!I139,DAMAS_Daily!J139)</f>
        <v/>
      </c>
      <c r="H139" s="43">
        <f>IF(C139="aFRR+",DAMAS_Daily!E139,DAMAS_Daily!F139)</f>
        <v/>
      </c>
      <c r="I139" s="43">
        <f>IF(C139="aFRR+",DAMAS_Daily!G139,DAMAS_Daily!H139)</f>
        <v/>
      </c>
      <c r="J139" s="45">
        <f>IF(C139="aFRR+",DAMAS_Daily!C139,DAMAS_Daily!D139)</f>
        <v/>
      </c>
      <c r="K139" s="45">
        <f>IF(C139="aFRR+",MIN(DAMAS_Daily!C139*market_share_C*acceptance_rate*stack_activation,power_mw*hours_per_day,capacity_mwh),MIN(DAMAS_Daily!D139*market_share_C*acceptance_rate*stack_activation,power_mw*hours_per_day,capacity_mwh))</f>
        <v/>
      </c>
      <c r="L139" s="42">
        <f>IF(K139&gt;=capacity_mwh-0.01,"yes","no")</f>
        <v/>
      </c>
      <c r="M139" s="23">
        <f>IF(C139="aFRR+",(MIN(DAMAS_Daily!C139*market_share_C*acceptance_rate*stack_activation,power_mw*hours_per_day,capacity_mwh))*DAMAS_Daily!E139*activation_mult_C,(MIN(DAMAS_Daily!D139*market_share_C*acceptance_rate*stack_activation,power_mw*hours_per_day,capacity_mwh))*DAMAS_Daily!F139*activation_mult_C)</f>
        <v/>
      </c>
      <c r="N139" s="24">
        <f>F139+M139</f>
        <v/>
      </c>
    </row>
    <row r="140">
      <c r="A140" s="41">
        <f>DAMAS_Daily!A140</f>
        <v/>
      </c>
      <c r="B140" s="42">
        <f>DAMAS_Daily!B140</f>
        <v/>
      </c>
      <c r="C140" s="42">
        <f>IF((power_mw*hours_per_day*damas_afrr_up*capacity_mult_C*stack_capacity*acceptance_rate+(MIN(DAMAS_Daily!C140*market_share_C*acceptance_rate*stack_activation,power_mw*hours_per_day,capacity_mwh))*DAMAS_Daily!E140*activation_mult_C)&gt;=(power_mw*hours_per_day*damas_afrr_down*capacity_mult_C*stack_capacity*acceptance_rate+(MIN(DAMAS_Daily!D140*market_share_C*acceptance_rate*stack_activation,power_mw*hours_per_day,capacity_mwh))*DAMAS_Daily!F140*activation_mult_C),"aFRR+","aFRR-")</f>
        <v/>
      </c>
      <c r="D140" s="43">
        <f>IF(C140="aFRR+",damas_afrr_up*capacity_mult_C,damas_afrr_down*capacity_mult_C)</f>
        <v/>
      </c>
      <c r="E140" s="44">
        <f>acceptance_rate</f>
        <v/>
      </c>
      <c r="F140" s="23">
        <f>IF(C140="aFRR+",power_mw*hours_per_day*damas_afrr_up*capacity_mult_C*stack_capacity*acceptance_rate,power_mw*hours_per_day*damas_afrr_down*capacity_mult_C*stack_capacity*acceptance_rate)</f>
        <v/>
      </c>
      <c r="G140" s="42">
        <f>IF(C140="aFRR+",DAMAS_Daily!I140,DAMAS_Daily!J140)</f>
        <v/>
      </c>
      <c r="H140" s="43">
        <f>IF(C140="aFRR+",DAMAS_Daily!E140,DAMAS_Daily!F140)</f>
        <v/>
      </c>
      <c r="I140" s="43">
        <f>IF(C140="aFRR+",DAMAS_Daily!G140,DAMAS_Daily!H140)</f>
        <v/>
      </c>
      <c r="J140" s="45">
        <f>IF(C140="aFRR+",DAMAS_Daily!C140,DAMAS_Daily!D140)</f>
        <v/>
      </c>
      <c r="K140" s="45">
        <f>IF(C140="aFRR+",MIN(DAMAS_Daily!C140*market_share_C*acceptance_rate*stack_activation,power_mw*hours_per_day,capacity_mwh),MIN(DAMAS_Daily!D140*market_share_C*acceptance_rate*stack_activation,power_mw*hours_per_day,capacity_mwh))</f>
        <v/>
      </c>
      <c r="L140" s="42">
        <f>IF(K140&gt;=capacity_mwh-0.01,"yes","no")</f>
        <v/>
      </c>
      <c r="M140" s="23">
        <f>IF(C140="aFRR+",(MIN(DAMAS_Daily!C140*market_share_C*acceptance_rate*stack_activation,power_mw*hours_per_day,capacity_mwh))*DAMAS_Daily!E140*activation_mult_C,(MIN(DAMAS_Daily!D140*market_share_C*acceptance_rate*stack_activation,power_mw*hours_per_day,capacity_mwh))*DAMAS_Daily!F140*activation_mult_C)</f>
        <v/>
      </c>
      <c r="N140" s="24">
        <f>F140+M140</f>
        <v/>
      </c>
    </row>
    <row r="141">
      <c r="A141" s="41">
        <f>DAMAS_Daily!A141</f>
        <v/>
      </c>
      <c r="B141" s="42">
        <f>DAMAS_Daily!B141</f>
        <v/>
      </c>
      <c r="C141" s="42">
        <f>IF((power_mw*hours_per_day*damas_afrr_up*capacity_mult_C*stack_capacity*acceptance_rate+(MIN(DAMAS_Daily!C141*market_share_C*acceptance_rate*stack_activation,power_mw*hours_per_day,capacity_mwh))*DAMAS_Daily!E141*activation_mult_C)&gt;=(power_mw*hours_per_day*damas_afrr_down*capacity_mult_C*stack_capacity*acceptance_rate+(MIN(DAMAS_Daily!D141*market_share_C*acceptance_rate*stack_activation,power_mw*hours_per_day,capacity_mwh))*DAMAS_Daily!F141*activation_mult_C),"aFRR+","aFRR-")</f>
        <v/>
      </c>
      <c r="D141" s="43">
        <f>IF(C141="aFRR+",damas_afrr_up*capacity_mult_C,damas_afrr_down*capacity_mult_C)</f>
        <v/>
      </c>
      <c r="E141" s="44">
        <f>acceptance_rate</f>
        <v/>
      </c>
      <c r="F141" s="23">
        <f>IF(C141="aFRR+",power_mw*hours_per_day*damas_afrr_up*capacity_mult_C*stack_capacity*acceptance_rate,power_mw*hours_per_day*damas_afrr_down*capacity_mult_C*stack_capacity*acceptance_rate)</f>
        <v/>
      </c>
      <c r="G141" s="42">
        <f>IF(C141="aFRR+",DAMAS_Daily!I141,DAMAS_Daily!J141)</f>
        <v/>
      </c>
      <c r="H141" s="43">
        <f>IF(C141="aFRR+",DAMAS_Daily!E141,DAMAS_Daily!F141)</f>
        <v/>
      </c>
      <c r="I141" s="43">
        <f>IF(C141="aFRR+",DAMAS_Daily!G141,DAMAS_Daily!H141)</f>
        <v/>
      </c>
      <c r="J141" s="45">
        <f>IF(C141="aFRR+",DAMAS_Daily!C141,DAMAS_Daily!D141)</f>
        <v/>
      </c>
      <c r="K141" s="45">
        <f>IF(C141="aFRR+",MIN(DAMAS_Daily!C141*market_share_C*acceptance_rate*stack_activation,power_mw*hours_per_day,capacity_mwh),MIN(DAMAS_Daily!D141*market_share_C*acceptance_rate*stack_activation,power_mw*hours_per_day,capacity_mwh))</f>
        <v/>
      </c>
      <c r="L141" s="42">
        <f>IF(K141&gt;=capacity_mwh-0.01,"yes","no")</f>
        <v/>
      </c>
      <c r="M141" s="23">
        <f>IF(C141="aFRR+",(MIN(DAMAS_Daily!C141*market_share_C*acceptance_rate*stack_activation,power_mw*hours_per_day,capacity_mwh))*DAMAS_Daily!E141*activation_mult_C,(MIN(DAMAS_Daily!D141*market_share_C*acceptance_rate*stack_activation,power_mw*hours_per_day,capacity_mwh))*DAMAS_Daily!F141*activation_mult_C)</f>
        <v/>
      </c>
      <c r="N141" s="24">
        <f>F141+M141</f>
        <v/>
      </c>
    </row>
    <row r="142">
      <c r="A142" s="41">
        <f>DAMAS_Daily!A142</f>
        <v/>
      </c>
      <c r="B142" s="42">
        <f>DAMAS_Daily!B142</f>
        <v/>
      </c>
      <c r="C142" s="42">
        <f>IF((power_mw*hours_per_day*damas_afrr_up*capacity_mult_C*stack_capacity*acceptance_rate+(MIN(DAMAS_Daily!C142*market_share_C*acceptance_rate*stack_activation,power_mw*hours_per_day,capacity_mwh))*DAMAS_Daily!E142*activation_mult_C)&gt;=(power_mw*hours_per_day*damas_afrr_down*capacity_mult_C*stack_capacity*acceptance_rate+(MIN(DAMAS_Daily!D142*market_share_C*acceptance_rate*stack_activation,power_mw*hours_per_day,capacity_mwh))*DAMAS_Daily!F142*activation_mult_C),"aFRR+","aFRR-")</f>
        <v/>
      </c>
      <c r="D142" s="43">
        <f>IF(C142="aFRR+",damas_afrr_up*capacity_mult_C,damas_afrr_down*capacity_mult_C)</f>
        <v/>
      </c>
      <c r="E142" s="44">
        <f>acceptance_rate</f>
        <v/>
      </c>
      <c r="F142" s="23">
        <f>IF(C142="aFRR+",power_mw*hours_per_day*damas_afrr_up*capacity_mult_C*stack_capacity*acceptance_rate,power_mw*hours_per_day*damas_afrr_down*capacity_mult_C*stack_capacity*acceptance_rate)</f>
        <v/>
      </c>
      <c r="G142" s="42">
        <f>IF(C142="aFRR+",DAMAS_Daily!I142,DAMAS_Daily!J142)</f>
        <v/>
      </c>
      <c r="H142" s="43">
        <f>IF(C142="aFRR+",DAMAS_Daily!E142,DAMAS_Daily!F142)</f>
        <v/>
      </c>
      <c r="I142" s="43">
        <f>IF(C142="aFRR+",DAMAS_Daily!G142,DAMAS_Daily!H142)</f>
        <v/>
      </c>
      <c r="J142" s="45">
        <f>IF(C142="aFRR+",DAMAS_Daily!C142,DAMAS_Daily!D142)</f>
        <v/>
      </c>
      <c r="K142" s="45">
        <f>IF(C142="aFRR+",MIN(DAMAS_Daily!C142*market_share_C*acceptance_rate*stack_activation,power_mw*hours_per_day,capacity_mwh),MIN(DAMAS_Daily!D142*market_share_C*acceptance_rate*stack_activation,power_mw*hours_per_day,capacity_mwh))</f>
        <v/>
      </c>
      <c r="L142" s="42">
        <f>IF(K142&gt;=capacity_mwh-0.01,"yes","no")</f>
        <v/>
      </c>
      <c r="M142" s="23">
        <f>IF(C142="aFRR+",(MIN(DAMAS_Daily!C142*market_share_C*acceptance_rate*stack_activation,power_mw*hours_per_day,capacity_mwh))*DAMAS_Daily!E142*activation_mult_C,(MIN(DAMAS_Daily!D142*market_share_C*acceptance_rate*stack_activation,power_mw*hours_per_day,capacity_mwh))*DAMAS_Daily!F142*activation_mult_C)</f>
        <v/>
      </c>
      <c r="N142" s="24">
        <f>F142+M142</f>
        <v/>
      </c>
    </row>
    <row r="143">
      <c r="A143" s="41">
        <f>DAMAS_Daily!A143</f>
        <v/>
      </c>
      <c r="B143" s="42">
        <f>DAMAS_Daily!B143</f>
        <v/>
      </c>
      <c r="C143" s="42">
        <f>IF((power_mw*hours_per_day*damas_afrr_up*capacity_mult_C*stack_capacity*acceptance_rate+(MIN(DAMAS_Daily!C143*market_share_C*acceptance_rate*stack_activation,power_mw*hours_per_day,capacity_mwh))*DAMAS_Daily!E143*activation_mult_C)&gt;=(power_mw*hours_per_day*damas_afrr_down*capacity_mult_C*stack_capacity*acceptance_rate+(MIN(DAMAS_Daily!D143*market_share_C*acceptance_rate*stack_activation,power_mw*hours_per_day,capacity_mwh))*DAMAS_Daily!F143*activation_mult_C),"aFRR+","aFRR-")</f>
        <v/>
      </c>
      <c r="D143" s="43">
        <f>IF(C143="aFRR+",damas_afrr_up*capacity_mult_C,damas_afrr_down*capacity_mult_C)</f>
        <v/>
      </c>
      <c r="E143" s="44">
        <f>acceptance_rate</f>
        <v/>
      </c>
      <c r="F143" s="23">
        <f>IF(C143="aFRR+",power_mw*hours_per_day*damas_afrr_up*capacity_mult_C*stack_capacity*acceptance_rate,power_mw*hours_per_day*damas_afrr_down*capacity_mult_C*stack_capacity*acceptance_rate)</f>
        <v/>
      </c>
      <c r="G143" s="42">
        <f>IF(C143="aFRR+",DAMAS_Daily!I143,DAMAS_Daily!J143)</f>
        <v/>
      </c>
      <c r="H143" s="43">
        <f>IF(C143="aFRR+",DAMAS_Daily!E143,DAMAS_Daily!F143)</f>
        <v/>
      </c>
      <c r="I143" s="43">
        <f>IF(C143="aFRR+",DAMAS_Daily!G143,DAMAS_Daily!H143)</f>
        <v/>
      </c>
      <c r="J143" s="45">
        <f>IF(C143="aFRR+",DAMAS_Daily!C143,DAMAS_Daily!D143)</f>
        <v/>
      </c>
      <c r="K143" s="45">
        <f>IF(C143="aFRR+",MIN(DAMAS_Daily!C143*market_share_C*acceptance_rate*stack_activation,power_mw*hours_per_day,capacity_mwh),MIN(DAMAS_Daily!D143*market_share_C*acceptance_rate*stack_activation,power_mw*hours_per_day,capacity_mwh))</f>
        <v/>
      </c>
      <c r="L143" s="42">
        <f>IF(K143&gt;=capacity_mwh-0.01,"yes","no")</f>
        <v/>
      </c>
      <c r="M143" s="23">
        <f>IF(C143="aFRR+",(MIN(DAMAS_Daily!C143*market_share_C*acceptance_rate*stack_activation,power_mw*hours_per_day,capacity_mwh))*DAMAS_Daily!E143*activation_mult_C,(MIN(DAMAS_Daily!D143*market_share_C*acceptance_rate*stack_activation,power_mw*hours_per_day,capacity_mwh))*DAMAS_Daily!F143*activation_mult_C)</f>
        <v/>
      </c>
      <c r="N143" s="24">
        <f>F143+M143</f>
        <v/>
      </c>
    </row>
    <row r="144">
      <c r="A144" s="41">
        <f>DAMAS_Daily!A144</f>
        <v/>
      </c>
      <c r="B144" s="42">
        <f>DAMAS_Daily!B144</f>
        <v/>
      </c>
      <c r="C144" s="42">
        <f>IF((power_mw*hours_per_day*damas_afrr_up*capacity_mult_C*stack_capacity*acceptance_rate+(MIN(DAMAS_Daily!C144*market_share_C*acceptance_rate*stack_activation,power_mw*hours_per_day,capacity_mwh))*DAMAS_Daily!E144*activation_mult_C)&gt;=(power_mw*hours_per_day*damas_afrr_down*capacity_mult_C*stack_capacity*acceptance_rate+(MIN(DAMAS_Daily!D144*market_share_C*acceptance_rate*stack_activation,power_mw*hours_per_day,capacity_mwh))*DAMAS_Daily!F144*activation_mult_C),"aFRR+","aFRR-")</f>
        <v/>
      </c>
      <c r="D144" s="43">
        <f>IF(C144="aFRR+",damas_afrr_up*capacity_mult_C,damas_afrr_down*capacity_mult_C)</f>
        <v/>
      </c>
      <c r="E144" s="44">
        <f>acceptance_rate</f>
        <v/>
      </c>
      <c r="F144" s="23">
        <f>IF(C144="aFRR+",power_mw*hours_per_day*damas_afrr_up*capacity_mult_C*stack_capacity*acceptance_rate,power_mw*hours_per_day*damas_afrr_down*capacity_mult_C*stack_capacity*acceptance_rate)</f>
        <v/>
      </c>
      <c r="G144" s="42">
        <f>IF(C144="aFRR+",DAMAS_Daily!I144,DAMAS_Daily!J144)</f>
        <v/>
      </c>
      <c r="H144" s="43">
        <f>IF(C144="aFRR+",DAMAS_Daily!E144,DAMAS_Daily!F144)</f>
        <v/>
      </c>
      <c r="I144" s="43">
        <f>IF(C144="aFRR+",DAMAS_Daily!G144,DAMAS_Daily!H144)</f>
        <v/>
      </c>
      <c r="J144" s="45">
        <f>IF(C144="aFRR+",DAMAS_Daily!C144,DAMAS_Daily!D144)</f>
        <v/>
      </c>
      <c r="K144" s="45">
        <f>IF(C144="aFRR+",MIN(DAMAS_Daily!C144*market_share_C*acceptance_rate*stack_activation,power_mw*hours_per_day,capacity_mwh),MIN(DAMAS_Daily!D144*market_share_C*acceptance_rate*stack_activation,power_mw*hours_per_day,capacity_mwh))</f>
        <v/>
      </c>
      <c r="L144" s="42">
        <f>IF(K144&gt;=capacity_mwh-0.01,"yes","no")</f>
        <v/>
      </c>
      <c r="M144" s="23">
        <f>IF(C144="aFRR+",(MIN(DAMAS_Daily!C144*market_share_C*acceptance_rate*stack_activation,power_mw*hours_per_day,capacity_mwh))*DAMAS_Daily!E144*activation_mult_C,(MIN(DAMAS_Daily!D144*market_share_C*acceptance_rate*stack_activation,power_mw*hours_per_day,capacity_mwh))*DAMAS_Daily!F144*activation_mult_C)</f>
        <v/>
      </c>
      <c r="N144" s="24">
        <f>F144+M144</f>
        <v/>
      </c>
    </row>
    <row r="145">
      <c r="A145" s="41">
        <f>DAMAS_Daily!A145</f>
        <v/>
      </c>
      <c r="B145" s="42">
        <f>DAMAS_Daily!B145</f>
        <v/>
      </c>
      <c r="C145" s="42">
        <f>IF((power_mw*hours_per_day*damas_afrr_up*capacity_mult_C*stack_capacity*acceptance_rate+(MIN(DAMAS_Daily!C145*market_share_C*acceptance_rate*stack_activation,power_mw*hours_per_day,capacity_mwh))*DAMAS_Daily!E145*activation_mult_C)&gt;=(power_mw*hours_per_day*damas_afrr_down*capacity_mult_C*stack_capacity*acceptance_rate+(MIN(DAMAS_Daily!D145*market_share_C*acceptance_rate*stack_activation,power_mw*hours_per_day,capacity_mwh))*DAMAS_Daily!F145*activation_mult_C),"aFRR+","aFRR-")</f>
        <v/>
      </c>
      <c r="D145" s="43">
        <f>IF(C145="aFRR+",damas_afrr_up*capacity_mult_C,damas_afrr_down*capacity_mult_C)</f>
        <v/>
      </c>
      <c r="E145" s="44">
        <f>acceptance_rate</f>
        <v/>
      </c>
      <c r="F145" s="23">
        <f>IF(C145="aFRR+",power_mw*hours_per_day*damas_afrr_up*capacity_mult_C*stack_capacity*acceptance_rate,power_mw*hours_per_day*damas_afrr_down*capacity_mult_C*stack_capacity*acceptance_rate)</f>
        <v/>
      </c>
      <c r="G145" s="42">
        <f>IF(C145="aFRR+",DAMAS_Daily!I145,DAMAS_Daily!J145)</f>
        <v/>
      </c>
      <c r="H145" s="43">
        <f>IF(C145="aFRR+",DAMAS_Daily!E145,DAMAS_Daily!F145)</f>
        <v/>
      </c>
      <c r="I145" s="43">
        <f>IF(C145="aFRR+",DAMAS_Daily!G145,DAMAS_Daily!H145)</f>
        <v/>
      </c>
      <c r="J145" s="45">
        <f>IF(C145="aFRR+",DAMAS_Daily!C145,DAMAS_Daily!D145)</f>
        <v/>
      </c>
      <c r="K145" s="45">
        <f>IF(C145="aFRR+",MIN(DAMAS_Daily!C145*market_share_C*acceptance_rate*stack_activation,power_mw*hours_per_day,capacity_mwh),MIN(DAMAS_Daily!D145*market_share_C*acceptance_rate*stack_activation,power_mw*hours_per_day,capacity_mwh))</f>
        <v/>
      </c>
      <c r="L145" s="42">
        <f>IF(K145&gt;=capacity_mwh-0.01,"yes","no")</f>
        <v/>
      </c>
      <c r="M145" s="23">
        <f>IF(C145="aFRR+",(MIN(DAMAS_Daily!C145*market_share_C*acceptance_rate*stack_activation,power_mw*hours_per_day,capacity_mwh))*DAMAS_Daily!E145*activation_mult_C,(MIN(DAMAS_Daily!D145*market_share_C*acceptance_rate*stack_activation,power_mw*hours_per_day,capacity_mwh))*DAMAS_Daily!F145*activation_mult_C)</f>
        <v/>
      </c>
      <c r="N145" s="24">
        <f>F145+M145</f>
        <v/>
      </c>
    </row>
    <row r="146">
      <c r="A146" s="41">
        <f>DAMAS_Daily!A146</f>
        <v/>
      </c>
      <c r="B146" s="42">
        <f>DAMAS_Daily!B146</f>
        <v/>
      </c>
      <c r="C146" s="42">
        <f>IF((power_mw*hours_per_day*damas_afrr_up*capacity_mult_C*stack_capacity*acceptance_rate+(MIN(DAMAS_Daily!C146*market_share_C*acceptance_rate*stack_activation,power_mw*hours_per_day,capacity_mwh))*DAMAS_Daily!E146*activation_mult_C)&gt;=(power_mw*hours_per_day*damas_afrr_down*capacity_mult_C*stack_capacity*acceptance_rate+(MIN(DAMAS_Daily!D146*market_share_C*acceptance_rate*stack_activation,power_mw*hours_per_day,capacity_mwh))*DAMAS_Daily!F146*activation_mult_C),"aFRR+","aFRR-")</f>
        <v/>
      </c>
      <c r="D146" s="43">
        <f>IF(C146="aFRR+",damas_afrr_up*capacity_mult_C,damas_afrr_down*capacity_mult_C)</f>
        <v/>
      </c>
      <c r="E146" s="44">
        <f>acceptance_rate</f>
        <v/>
      </c>
      <c r="F146" s="23">
        <f>IF(C146="aFRR+",power_mw*hours_per_day*damas_afrr_up*capacity_mult_C*stack_capacity*acceptance_rate,power_mw*hours_per_day*damas_afrr_down*capacity_mult_C*stack_capacity*acceptance_rate)</f>
        <v/>
      </c>
      <c r="G146" s="42">
        <f>IF(C146="aFRR+",DAMAS_Daily!I146,DAMAS_Daily!J146)</f>
        <v/>
      </c>
      <c r="H146" s="43">
        <f>IF(C146="aFRR+",DAMAS_Daily!E146,DAMAS_Daily!F146)</f>
        <v/>
      </c>
      <c r="I146" s="43">
        <f>IF(C146="aFRR+",DAMAS_Daily!G146,DAMAS_Daily!H146)</f>
        <v/>
      </c>
      <c r="J146" s="45">
        <f>IF(C146="aFRR+",DAMAS_Daily!C146,DAMAS_Daily!D146)</f>
        <v/>
      </c>
      <c r="K146" s="45">
        <f>IF(C146="aFRR+",MIN(DAMAS_Daily!C146*market_share_C*acceptance_rate*stack_activation,power_mw*hours_per_day,capacity_mwh),MIN(DAMAS_Daily!D146*market_share_C*acceptance_rate*stack_activation,power_mw*hours_per_day,capacity_mwh))</f>
        <v/>
      </c>
      <c r="L146" s="42">
        <f>IF(K146&gt;=capacity_mwh-0.01,"yes","no")</f>
        <v/>
      </c>
      <c r="M146" s="23">
        <f>IF(C146="aFRR+",(MIN(DAMAS_Daily!C146*market_share_C*acceptance_rate*stack_activation,power_mw*hours_per_day,capacity_mwh))*DAMAS_Daily!E146*activation_mult_C,(MIN(DAMAS_Daily!D146*market_share_C*acceptance_rate*stack_activation,power_mw*hours_per_day,capacity_mwh))*DAMAS_Daily!F146*activation_mult_C)</f>
        <v/>
      </c>
      <c r="N146" s="24">
        <f>F146+M146</f>
        <v/>
      </c>
    </row>
    <row r="147">
      <c r="A147" s="41">
        <f>DAMAS_Daily!A147</f>
        <v/>
      </c>
      <c r="B147" s="42">
        <f>DAMAS_Daily!B147</f>
        <v/>
      </c>
      <c r="C147" s="42">
        <f>IF((power_mw*hours_per_day*damas_afrr_up*capacity_mult_C*stack_capacity*acceptance_rate+(MIN(DAMAS_Daily!C147*market_share_C*acceptance_rate*stack_activation,power_mw*hours_per_day,capacity_mwh))*DAMAS_Daily!E147*activation_mult_C)&gt;=(power_mw*hours_per_day*damas_afrr_down*capacity_mult_C*stack_capacity*acceptance_rate+(MIN(DAMAS_Daily!D147*market_share_C*acceptance_rate*stack_activation,power_mw*hours_per_day,capacity_mwh))*DAMAS_Daily!F147*activation_mult_C),"aFRR+","aFRR-")</f>
        <v/>
      </c>
      <c r="D147" s="43">
        <f>IF(C147="aFRR+",damas_afrr_up*capacity_mult_C,damas_afrr_down*capacity_mult_C)</f>
        <v/>
      </c>
      <c r="E147" s="44">
        <f>acceptance_rate</f>
        <v/>
      </c>
      <c r="F147" s="23">
        <f>IF(C147="aFRR+",power_mw*hours_per_day*damas_afrr_up*capacity_mult_C*stack_capacity*acceptance_rate,power_mw*hours_per_day*damas_afrr_down*capacity_mult_C*stack_capacity*acceptance_rate)</f>
        <v/>
      </c>
      <c r="G147" s="42">
        <f>IF(C147="aFRR+",DAMAS_Daily!I147,DAMAS_Daily!J147)</f>
        <v/>
      </c>
      <c r="H147" s="43">
        <f>IF(C147="aFRR+",DAMAS_Daily!E147,DAMAS_Daily!F147)</f>
        <v/>
      </c>
      <c r="I147" s="43">
        <f>IF(C147="aFRR+",DAMAS_Daily!G147,DAMAS_Daily!H147)</f>
        <v/>
      </c>
      <c r="J147" s="45">
        <f>IF(C147="aFRR+",DAMAS_Daily!C147,DAMAS_Daily!D147)</f>
        <v/>
      </c>
      <c r="K147" s="45">
        <f>IF(C147="aFRR+",MIN(DAMAS_Daily!C147*market_share_C*acceptance_rate*stack_activation,power_mw*hours_per_day,capacity_mwh),MIN(DAMAS_Daily!D147*market_share_C*acceptance_rate*stack_activation,power_mw*hours_per_day,capacity_mwh))</f>
        <v/>
      </c>
      <c r="L147" s="42">
        <f>IF(K147&gt;=capacity_mwh-0.01,"yes","no")</f>
        <v/>
      </c>
      <c r="M147" s="23">
        <f>IF(C147="aFRR+",(MIN(DAMAS_Daily!C147*market_share_C*acceptance_rate*stack_activation,power_mw*hours_per_day,capacity_mwh))*DAMAS_Daily!E147*activation_mult_C,(MIN(DAMAS_Daily!D147*market_share_C*acceptance_rate*stack_activation,power_mw*hours_per_day,capacity_mwh))*DAMAS_Daily!F147*activation_mult_C)</f>
        <v/>
      </c>
      <c r="N147" s="24">
        <f>F147+M147</f>
        <v/>
      </c>
    </row>
    <row r="148">
      <c r="A148" s="41">
        <f>DAMAS_Daily!A148</f>
        <v/>
      </c>
      <c r="B148" s="42">
        <f>DAMAS_Daily!B148</f>
        <v/>
      </c>
      <c r="C148" s="42">
        <f>IF((power_mw*hours_per_day*damas_afrr_up*capacity_mult_C*stack_capacity*acceptance_rate+(MIN(DAMAS_Daily!C148*market_share_C*acceptance_rate*stack_activation,power_mw*hours_per_day,capacity_mwh))*DAMAS_Daily!E148*activation_mult_C)&gt;=(power_mw*hours_per_day*damas_afrr_down*capacity_mult_C*stack_capacity*acceptance_rate+(MIN(DAMAS_Daily!D148*market_share_C*acceptance_rate*stack_activation,power_mw*hours_per_day,capacity_mwh))*DAMAS_Daily!F148*activation_mult_C),"aFRR+","aFRR-")</f>
        <v/>
      </c>
      <c r="D148" s="43">
        <f>IF(C148="aFRR+",damas_afrr_up*capacity_mult_C,damas_afrr_down*capacity_mult_C)</f>
        <v/>
      </c>
      <c r="E148" s="44">
        <f>acceptance_rate</f>
        <v/>
      </c>
      <c r="F148" s="23">
        <f>IF(C148="aFRR+",power_mw*hours_per_day*damas_afrr_up*capacity_mult_C*stack_capacity*acceptance_rate,power_mw*hours_per_day*damas_afrr_down*capacity_mult_C*stack_capacity*acceptance_rate)</f>
        <v/>
      </c>
      <c r="G148" s="42">
        <f>IF(C148="aFRR+",DAMAS_Daily!I148,DAMAS_Daily!J148)</f>
        <v/>
      </c>
      <c r="H148" s="43">
        <f>IF(C148="aFRR+",DAMAS_Daily!E148,DAMAS_Daily!F148)</f>
        <v/>
      </c>
      <c r="I148" s="43">
        <f>IF(C148="aFRR+",DAMAS_Daily!G148,DAMAS_Daily!H148)</f>
        <v/>
      </c>
      <c r="J148" s="45">
        <f>IF(C148="aFRR+",DAMAS_Daily!C148,DAMAS_Daily!D148)</f>
        <v/>
      </c>
      <c r="K148" s="45">
        <f>IF(C148="aFRR+",MIN(DAMAS_Daily!C148*market_share_C*acceptance_rate*stack_activation,power_mw*hours_per_day,capacity_mwh),MIN(DAMAS_Daily!D148*market_share_C*acceptance_rate*stack_activation,power_mw*hours_per_day,capacity_mwh))</f>
        <v/>
      </c>
      <c r="L148" s="42">
        <f>IF(K148&gt;=capacity_mwh-0.01,"yes","no")</f>
        <v/>
      </c>
      <c r="M148" s="23">
        <f>IF(C148="aFRR+",(MIN(DAMAS_Daily!C148*market_share_C*acceptance_rate*stack_activation,power_mw*hours_per_day,capacity_mwh))*DAMAS_Daily!E148*activation_mult_C,(MIN(DAMAS_Daily!D148*market_share_C*acceptance_rate*stack_activation,power_mw*hours_per_day,capacity_mwh))*DAMAS_Daily!F148*activation_mult_C)</f>
        <v/>
      </c>
      <c r="N148" s="24">
        <f>F148+M148</f>
        <v/>
      </c>
    </row>
    <row r="149">
      <c r="A149" s="41">
        <f>DAMAS_Daily!A149</f>
        <v/>
      </c>
      <c r="B149" s="42">
        <f>DAMAS_Daily!B149</f>
        <v/>
      </c>
      <c r="C149" s="42">
        <f>IF((power_mw*hours_per_day*damas_afrr_up*capacity_mult_C*stack_capacity*acceptance_rate+(MIN(DAMAS_Daily!C149*market_share_C*acceptance_rate*stack_activation,power_mw*hours_per_day,capacity_mwh))*DAMAS_Daily!E149*activation_mult_C)&gt;=(power_mw*hours_per_day*damas_afrr_down*capacity_mult_C*stack_capacity*acceptance_rate+(MIN(DAMAS_Daily!D149*market_share_C*acceptance_rate*stack_activation,power_mw*hours_per_day,capacity_mwh))*DAMAS_Daily!F149*activation_mult_C),"aFRR+","aFRR-")</f>
        <v/>
      </c>
      <c r="D149" s="43">
        <f>IF(C149="aFRR+",damas_afrr_up*capacity_mult_C,damas_afrr_down*capacity_mult_C)</f>
        <v/>
      </c>
      <c r="E149" s="44">
        <f>acceptance_rate</f>
        <v/>
      </c>
      <c r="F149" s="23">
        <f>IF(C149="aFRR+",power_mw*hours_per_day*damas_afrr_up*capacity_mult_C*stack_capacity*acceptance_rate,power_mw*hours_per_day*damas_afrr_down*capacity_mult_C*stack_capacity*acceptance_rate)</f>
        <v/>
      </c>
      <c r="G149" s="42">
        <f>IF(C149="aFRR+",DAMAS_Daily!I149,DAMAS_Daily!J149)</f>
        <v/>
      </c>
      <c r="H149" s="43">
        <f>IF(C149="aFRR+",DAMAS_Daily!E149,DAMAS_Daily!F149)</f>
        <v/>
      </c>
      <c r="I149" s="43">
        <f>IF(C149="aFRR+",DAMAS_Daily!G149,DAMAS_Daily!H149)</f>
        <v/>
      </c>
      <c r="J149" s="45">
        <f>IF(C149="aFRR+",DAMAS_Daily!C149,DAMAS_Daily!D149)</f>
        <v/>
      </c>
      <c r="K149" s="45">
        <f>IF(C149="aFRR+",MIN(DAMAS_Daily!C149*market_share_C*acceptance_rate*stack_activation,power_mw*hours_per_day,capacity_mwh),MIN(DAMAS_Daily!D149*market_share_C*acceptance_rate*stack_activation,power_mw*hours_per_day,capacity_mwh))</f>
        <v/>
      </c>
      <c r="L149" s="42">
        <f>IF(K149&gt;=capacity_mwh-0.01,"yes","no")</f>
        <v/>
      </c>
      <c r="M149" s="23">
        <f>IF(C149="aFRR+",(MIN(DAMAS_Daily!C149*market_share_C*acceptance_rate*stack_activation,power_mw*hours_per_day,capacity_mwh))*DAMAS_Daily!E149*activation_mult_C,(MIN(DAMAS_Daily!D149*market_share_C*acceptance_rate*stack_activation,power_mw*hours_per_day,capacity_mwh))*DAMAS_Daily!F149*activation_mult_C)</f>
        <v/>
      </c>
      <c r="N149" s="24">
        <f>F149+M149</f>
        <v/>
      </c>
    </row>
    <row r="150">
      <c r="A150" s="41">
        <f>DAMAS_Daily!A150</f>
        <v/>
      </c>
      <c r="B150" s="42">
        <f>DAMAS_Daily!B150</f>
        <v/>
      </c>
      <c r="C150" s="42">
        <f>IF((power_mw*hours_per_day*damas_afrr_up*capacity_mult_C*stack_capacity*acceptance_rate+(MIN(DAMAS_Daily!C150*market_share_C*acceptance_rate*stack_activation,power_mw*hours_per_day,capacity_mwh))*DAMAS_Daily!E150*activation_mult_C)&gt;=(power_mw*hours_per_day*damas_afrr_down*capacity_mult_C*stack_capacity*acceptance_rate+(MIN(DAMAS_Daily!D150*market_share_C*acceptance_rate*stack_activation,power_mw*hours_per_day,capacity_mwh))*DAMAS_Daily!F150*activation_mult_C),"aFRR+","aFRR-")</f>
        <v/>
      </c>
      <c r="D150" s="43">
        <f>IF(C150="aFRR+",damas_afrr_up*capacity_mult_C,damas_afrr_down*capacity_mult_C)</f>
        <v/>
      </c>
      <c r="E150" s="44">
        <f>acceptance_rate</f>
        <v/>
      </c>
      <c r="F150" s="23">
        <f>IF(C150="aFRR+",power_mw*hours_per_day*damas_afrr_up*capacity_mult_C*stack_capacity*acceptance_rate,power_mw*hours_per_day*damas_afrr_down*capacity_mult_C*stack_capacity*acceptance_rate)</f>
        <v/>
      </c>
      <c r="G150" s="42">
        <f>IF(C150="aFRR+",DAMAS_Daily!I150,DAMAS_Daily!J150)</f>
        <v/>
      </c>
      <c r="H150" s="43">
        <f>IF(C150="aFRR+",DAMAS_Daily!E150,DAMAS_Daily!F150)</f>
        <v/>
      </c>
      <c r="I150" s="43">
        <f>IF(C150="aFRR+",DAMAS_Daily!G150,DAMAS_Daily!H150)</f>
        <v/>
      </c>
      <c r="J150" s="45">
        <f>IF(C150="aFRR+",DAMAS_Daily!C150,DAMAS_Daily!D150)</f>
        <v/>
      </c>
      <c r="K150" s="45">
        <f>IF(C150="aFRR+",MIN(DAMAS_Daily!C150*market_share_C*acceptance_rate*stack_activation,power_mw*hours_per_day,capacity_mwh),MIN(DAMAS_Daily!D150*market_share_C*acceptance_rate*stack_activation,power_mw*hours_per_day,capacity_mwh))</f>
        <v/>
      </c>
      <c r="L150" s="42">
        <f>IF(K150&gt;=capacity_mwh-0.01,"yes","no")</f>
        <v/>
      </c>
      <c r="M150" s="23">
        <f>IF(C150="aFRR+",(MIN(DAMAS_Daily!C150*market_share_C*acceptance_rate*stack_activation,power_mw*hours_per_day,capacity_mwh))*DAMAS_Daily!E150*activation_mult_C,(MIN(DAMAS_Daily!D150*market_share_C*acceptance_rate*stack_activation,power_mw*hours_per_day,capacity_mwh))*DAMAS_Daily!F150*activation_mult_C)</f>
        <v/>
      </c>
      <c r="N150" s="24">
        <f>F150+M150</f>
        <v/>
      </c>
    </row>
    <row r="151">
      <c r="A151" s="41">
        <f>DAMAS_Daily!A151</f>
        <v/>
      </c>
      <c r="B151" s="42">
        <f>DAMAS_Daily!B151</f>
        <v/>
      </c>
      <c r="C151" s="42">
        <f>IF((power_mw*hours_per_day*damas_afrr_up*capacity_mult_C*stack_capacity*acceptance_rate+(MIN(DAMAS_Daily!C151*market_share_C*acceptance_rate*stack_activation,power_mw*hours_per_day,capacity_mwh))*DAMAS_Daily!E151*activation_mult_C)&gt;=(power_mw*hours_per_day*damas_afrr_down*capacity_mult_C*stack_capacity*acceptance_rate+(MIN(DAMAS_Daily!D151*market_share_C*acceptance_rate*stack_activation,power_mw*hours_per_day,capacity_mwh))*DAMAS_Daily!F151*activation_mult_C),"aFRR+","aFRR-")</f>
        <v/>
      </c>
      <c r="D151" s="43">
        <f>IF(C151="aFRR+",damas_afrr_up*capacity_mult_C,damas_afrr_down*capacity_mult_C)</f>
        <v/>
      </c>
      <c r="E151" s="44">
        <f>acceptance_rate</f>
        <v/>
      </c>
      <c r="F151" s="23">
        <f>IF(C151="aFRR+",power_mw*hours_per_day*damas_afrr_up*capacity_mult_C*stack_capacity*acceptance_rate,power_mw*hours_per_day*damas_afrr_down*capacity_mult_C*stack_capacity*acceptance_rate)</f>
        <v/>
      </c>
      <c r="G151" s="42">
        <f>IF(C151="aFRR+",DAMAS_Daily!I151,DAMAS_Daily!J151)</f>
        <v/>
      </c>
      <c r="H151" s="43">
        <f>IF(C151="aFRR+",DAMAS_Daily!E151,DAMAS_Daily!F151)</f>
        <v/>
      </c>
      <c r="I151" s="43">
        <f>IF(C151="aFRR+",DAMAS_Daily!G151,DAMAS_Daily!H151)</f>
        <v/>
      </c>
      <c r="J151" s="45">
        <f>IF(C151="aFRR+",DAMAS_Daily!C151,DAMAS_Daily!D151)</f>
        <v/>
      </c>
      <c r="K151" s="45">
        <f>IF(C151="aFRR+",MIN(DAMAS_Daily!C151*market_share_C*acceptance_rate*stack_activation,power_mw*hours_per_day,capacity_mwh),MIN(DAMAS_Daily!D151*market_share_C*acceptance_rate*stack_activation,power_mw*hours_per_day,capacity_mwh))</f>
        <v/>
      </c>
      <c r="L151" s="42">
        <f>IF(K151&gt;=capacity_mwh-0.01,"yes","no")</f>
        <v/>
      </c>
      <c r="M151" s="23">
        <f>IF(C151="aFRR+",(MIN(DAMAS_Daily!C151*market_share_C*acceptance_rate*stack_activation,power_mw*hours_per_day,capacity_mwh))*DAMAS_Daily!E151*activation_mult_C,(MIN(DAMAS_Daily!D151*market_share_C*acceptance_rate*stack_activation,power_mw*hours_per_day,capacity_mwh))*DAMAS_Daily!F151*activation_mult_C)</f>
        <v/>
      </c>
      <c r="N151" s="24">
        <f>F151+M151</f>
        <v/>
      </c>
    </row>
    <row r="152">
      <c r="A152" s="41">
        <f>DAMAS_Daily!A152</f>
        <v/>
      </c>
      <c r="B152" s="42">
        <f>DAMAS_Daily!B152</f>
        <v/>
      </c>
      <c r="C152" s="42">
        <f>IF((power_mw*hours_per_day*damas_afrr_up*capacity_mult_C*stack_capacity*acceptance_rate+(MIN(DAMAS_Daily!C152*market_share_C*acceptance_rate*stack_activation,power_mw*hours_per_day,capacity_mwh))*DAMAS_Daily!E152*activation_mult_C)&gt;=(power_mw*hours_per_day*damas_afrr_down*capacity_mult_C*stack_capacity*acceptance_rate+(MIN(DAMAS_Daily!D152*market_share_C*acceptance_rate*stack_activation,power_mw*hours_per_day,capacity_mwh))*DAMAS_Daily!F152*activation_mult_C),"aFRR+","aFRR-")</f>
        <v/>
      </c>
      <c r="D152" s="43">
        <f>IF(C152="aFRR+",damas_afrr_up*capacity_mult_C,damas_afrr_down*capacity_mult_C)</f>
        <v/>
      </c>
      <c r="E152" s="44">
        <f>acceptance_rate</f>
        <v/>
      </c>
      <c r="F152" s="23">
        <f>IF(C152="aFRR+",power_mw*hours_per_day*damas_afrr_up*capacity_mult_C*stack_capacity*acceptance_rate,power_mw*hours_per_day*damas_afrr_down*capacity_mult_C*stack_capacity*acceptance_rate)</f>
        <v/>
      </c>
      <c r="G152" s="42">
        <f>IF(C152="aFRR+",DAMAS_Daily!I152,DAMAS_Daily!J152)</f>
        <v/>
      </c>
      <c r="H152" s="43">
        <f>IF(C152="aFRR+",DAMAS_Daily!E152,DAMAS_Daily!F152)</f>
        <v/>
      </c>
      <c r="I152" s="43">
        <f>IF(C152="aFRR+",DAMAS_Daily!G152,DAMAS_Daily!H152)</f>
        <v/>
      </c>
      <c r="J152" s="45">
        <f>IF(C152="aFRR+",DAMAS_Daily!C152,DAMAS_Daily!D152)</f>
        <v/>
      </c>
      <c r="K152" s="45">
        <f>IF(C152="aFRR+",MIN(DAMAS_Daily!C152*market_share_C*acceptance_rate*stack_activation,power_mw*hours_per_day,capacity_mwh),MIN(DAMAS_Daily!D152*market_share_C*acceptance_rate*stack_activation,power_mw*hours_per_day,capacity_mwh))</f>
        <v/>
      </c>
      <c r="L152" s="42">
        <f>IF(K152&gt;=capacity_mwh-0.01,"yes","no")</f>
        <v/>
      </c>
      <c r="M152" s="23">
        <f>IF(C152="aFRR+",(MIN(DAMAS_Daily!C152*market_share_C*acceptance_rate*stack_activation,power_mw*hours_per_day,capacity_mwh))*DAMAS_Daily!E152*activation_mult_C,(MIN(DAMAS_Daily!D152*market_share_C*acceptance_rate*stack_activation,power_mw*hours_per_day,capacity_mwh))*DAMAS_Daily!F152*activation_mult_C)</f>
        <v/>
      </c>
      <c r="N152" s="24">
        <f>F152+M152</f>
        <v/>
      </c>
    </row>
    <row r="153">
      <c r="A153" s="41">
        <f>DAMAS_Daily!A153</f>
        <v/>
      </c>
      <c r="B153" s="42">
        <f>DAMAS_Daily!B153</f>
        <v/>
      </c>
      <c r="C153" s="42">
        <f>IF((power_mw*hours_per_day*damas_afrr_up*capacity_mult_C*stack_capacity*acceptance_rate+(MIN(DAMAS_Daily!C153*market_share_C*acceptance_rate*stack_activation,power_mw*hours_per_day,capacity_mwh))*DAMAS_Daily!E153*activation_mult_C)&gt;=(power_mw*hours_per_day*damas_afrr_down*capacity_mult_C*stack_capacity*acceptance_rate+(MIN(DAMAS_Daily!D153*market_share_C*acceptance_rate*stack_activation,power_mw*hours_per_day,capacity_mwh))*DAMAS_Daily!F153*activation_mult_C),"aFRR+","aFRR-")</f>
        <v/>
      </c>
      <c r="D153" s="43">
        <f>IF(C153="aFRR+",damas_afrr_up*capacity_mult_C,damas_afrr_down*capacity_mult_C)</f>
        <v/>
      </c>
      <c r="E153" s="44">
        <f>acceptance_rate</f>
        <v/>
      </c>
      <c r="F153" s="23">
        <f>IF(C153="aFRR+",power_mw*hours_per_day*damas_afrr_up*capacity_mult_C*stack_capacity*acceptance_rate,power_mw*hours_per_day*damas_afrr_down*capacity_mult_C*stack_capacity*acceptance_rate)</f>
        <v/>
      </c>
      <c r="G153" s="42">
        <f>IF(C153="aFRR+",DAMAS_Daily!I153,DAMAS_Daily!J153)</f>
        <v/>
      </c>
      <c r="H153" s="43">
        <f>IF(C153="aFRR+",DAMAS_Daily!E153,DAMAS_Daily!F153)</f>
        <v/>
      </c>
      <c r="I153" s="43">
        <f>IF(C153="aFRR+",DAMAS_Daily!G153,DAMAS_Daily!H153)</f>
        <v/>
      </c>
      <c r="J153" s="45">
        <f>IF(C153="aFRR+",DAMAS_Daily!C153,DAMAS_Daily!D153)</f>
        <v/>
      </c>
      <c r="K153" s="45">
        <f>IF(C153="aFRR+",MIN(DAMAS_Daily!C153*market_share_C*acceptance_rate*stack_activation,power_mw*hours_per_day,capacity_mwh),MIN(DAMAS_Daily!D153*market_share_C*acceptance_rate*stack_activation,power_mw*hours_per_day,capacity_mwh))</f>
        <v/>
      </c>
      <c r="L153" s="42">
        <f>IF(K153&gt;=capacity_mwh-0.01,"yes","no")</f>
        <v/>
      </c>
      <c r="M153" s="23">
        <f>IF(C153="aFRR+",(MIN(DAMAS_Daily!C153*market_share_C*acceptance_rate*stack_activation,power_mw*hours_per_day,capacity_mwh))*DAMAS_Daily!E153*activation_mult_C,(MIN(DAMAS_Daily!D153*market_share_C*acceptance_rate*stack_activation,power_mw*hours_per_day,capacity_mwh))*DAMAS_Daily!F153*activation_mult_C)</f>
        <v/>
      </c>
      <c r="N153" s="24">
        <f>F153+M153</f>
        <v/>
      </c>
    </row>
    <row r="154">
      <c r="A154" s="41">
        <f>DAMAS_Daily!A154</f>
        <v/>
      </c>
      <c r="B154" s="42">
        <f>DAMAS_Daily!B154</f>
        <v/>
      </c>
      <c r="C154" s="42">
        <f>IF((power_mw*hours_per_day*damas_afrr_up*capacity_mult_C*stack_capacity*acceptance_rate+(MIN(DAMAS_Daily!C154*market_share_C*acceptance_rate*stack_activation,power_mw*hours_per_day,capacity_mwh))*DAMAS_Daily!E154*activation_mult_C)&gt;=(power_mw*hours_per_day*damas_afrr_down*capacity_mult_C*stack_capacity*acceptance_rate+(MIN(DAMAS_Daily!D154*market_share_C*acceptance_rate*stack_activation,power_mw*hours_per_day,capacity_mwh))*DAMAS_Daily!F154*activation_mult_C),"aFRR+","aFRR-")</f>
        <v/>
      </c>
      <c r="D154" s="43">
        <f>IF(C154="aFRR+",damas_afrr_up*capacity_mult_C,damas_afrr_down*capacity_mult_C)</f>
        <v/>
      </c>
      <c r="E154" s="44">
        <f>acceptance_rate</f>
        <v/>
      </c>
      <c r="F154" s="23">
        <f>IF(C154="aFRR+",power_mw*hours_per_day*damas_afrr_up*capacity_mult_C*stack_capacity*acceptance_rate,power_mw*hours_per_day*damas_afrr_down*capacity_mult_C*stack_capacity*acceptance_rate)</f>
        <v/>
      </c>
      <c r="G154" s="42">
        <f>IF(C154="aFRR+",DAMAS_Daily!I154,DAMAS_Daily!J154)</f>
        <v/>
      </c>
      <c r="H154" s="43">
        <f>IF(C154="aFRR+",DAMAS_Daily!E154,DAMAS_Daily!F154)</f>
        <v/>
      </c>
      <c r="I154" s="43">
        <f>IF(C154="aFRR+",DAMAS_Daily!G154,DAMAS_Daily!H154)</f>
        <v/>
      </c>
      <c r="J154" s="45">
        <f>IF(C154="aFRR+",DAMAS_Daily!C154,DAMAS_Daily!D154)</f>
        <v/>
      </c>
      <c r="K154" s="45">
        <f>IF(C154="aFRR+",MIN(DAMAS_Daily!C154*market_share_C*acceptance_rate*stack_activation,power_mw*hours_per_day,capacity_mwh),MIN(DAMAS_Daily!D154*market_share_C*acceptance_rate*stack_activation,power_mw*hours_per_day,capacity_mwh))</f>
        <v/>
      </c>
      <c r="L154" s="42">
        <f>IF(K154&gt;=capacity_mwh-0.01,"yes","no")</f>
        <v/>
      </c>
      <c r="M154" s="23">
        <f>IF(C154="aFRR+",(MIN(DAMAS_Daily!C154*market_share_C*acceptance_rate*stack_activation,power_mw*hours_per_day,capacity_mwh))*DAMAS_Daily!E154*activation_mult_C,(MIN(DAMAS_Daily!D154*market_share_C*acceptance_rate*stack_activation,power_mw*hours_per_day,capacity_mwh))*DAMAS_Daily!F154*activation_mult_C)</f>
        <v/>
      </c>
      <c r="N154" s="24">
        <f>F154+M154</f>
        <v/>
      </c>
    </row>
    <row r="155">
      <c r="A155" s="41">
        <f>DAMAS_Daily!A155</f>
        <v/>
      </c>
      <c r="B155" s="42">
        <f>DAMAS_Daily!B155</f>
        <v/>
      </c>
      <c r="C155" s="42">
        <f>IF((power_mw*hours_per_day*damas_afrr_up*capacity_mult_C*stack_capacity*acceptance_rate+(MIN(DAMAS_Daily!C155*market_share_C*acceptance_rate*stack_activation,power_mw*hours_per_day,capacity_mwh))*DAMAS_Daily!E155*activation_mult_C)&gt;=(power_mw*hours_per_day*damas_afrr_down*capacity_mult_C*stack_capacity*acceptance_rate+(MIN(DAMAS_Daily!D155*market_share_C*acceptance_rate*stack_activation,power_mw*hours_per_day,capacity_mwh))*DAMAS_Daily!F155*activation_mult_C),"aFRR+","aFRR-")</f>
        <v/>
      </c>
      <c r="D155" s="43">
        <f>IF(C155="aFRR+",damas_afrr_up*capacity_mult_C,damas_afrr_down*capacity_mult_C)</f>
        <v/>
      </c>
      <c r="E155" s="44">
        <f>acceptance_rate</f>
        <v/>
      </c>
      <c r="F155" s="23">
        <f>IF(C155="aFRR+",power_mw*hours_per_day*damas_afrr_up*capacity_mult_C*stack_capacity*acceptance_rate,power_mw*hours_per_day*damas_afrr_down*capacity_mult_C*stack_capacity*acceptance_rate)</f>
        <v/>
      </c>
      <c r="G155" s="42">
        <f>IF(C155="aFRR+",DAMAS_Daily!I155,DAMAS_Daily!J155)</f>
        <v/>
      </c>
      <c r="H155" s="43">
        <f>IF(C155="aFRR+",DAMAS_Daily!E155,DAMAS_Daily!F155)</f>
        <v/>
      </c>
      <c r="I155" s="43">
        <f>IF(C155="aFRR+",DAMAS_Daily!G155,DAMAS_Daily!H155)</f>
        <v/>
      </c>
      <c r="J155" s="45">
        <f>IF(C155="aFRR+",DAMAS_Daily!C155,DAMAS_Daily!D155)</f>
        <v/>
      </c>
      <c r="K155" s="45">
        <f>IF(C155="aFRR+",MIN(DAMAS_Daily!C155*market_share_C*acceptance_rate*stack_activation,power_mw*hours_per_day,capacity_mwh),MIN(DAMAS_Daily!D155*market_share_C*acceptance_rate*stack_activation,power_mw*hours_per_day,capacity_mwh))</f>
        <v/>
      </c>
      <c r="L155" s="42">
        <f>IF(K155&gt;=capacity_mwh-0.01,"yes","no")</f>
        <v/>
      </c>
      <c r="M155" s="23">
        <f>IF(C155="aFRR+",(MIN(DAMAS_Daily!C155*market_share_C*acceptance_rate*stack_activation,power_mw*hours_per_day,capacity_mwh))*DAMAS_Daily!E155*activation_mult_C,(MIN(DAMAS_Daily!D155*market_share_C*acceptance_rate*stack_activation,power_mw*hours_per_day,capacity_mwh))*DAMAS_Daily!F155*activation_mult_C)</f>
        <v/>
      </c>
      <c r="N155" s="24">
        <f>F155+M155</f>
        <v/>
      </c>
    </row>
    <row r="156">
      <c r="A156" s="41">
        <f>DAMAS_Daily!A156</f>
        <v/>
      </c>
      <c r="B156" s="42">
        <f>DAMAS_Daily!B156</f>
        <v/>
      </c>
      <c r="C156" s="42">
        <f>IF((power_mw*hours_per_day*damas_afrr_up*capacity_mult_C*stack_capacity*acceptance_rate+(MIN(DAMAS_Daily!C156*market_share_C*acceptance_rate*stack_activation,power_mw*hours_per_day,capacity_mwh))*DAMAS_Daily!E156*activation_mult_C)&gt;=(power_mw*hours_per_day*damas_afrr_down*capacity_mult_C*stack_capacity*acceptance_rate+(MIN(DAMAS_Daily!D156*market_share_C*acceptance_rate*stack_activation,power_mw*hours_per_day,capacity_mwh))*DAMAS_Daily!F156*activation_mult_C),"aFRR+","aFRR-")</f>
        <v/>
      </c>
      <c r="D156" s="43">
        <f>IF(C156="aFRR+",damas_afrr_up*capacity_mult_C,damas_afrr_down*capacity_mult_C)</f>
        <v/>
      </c>
      <c r="E156" s="44">
        <f>acceptance_rate</f>
        <v/>
      </c>
      <c r="F156" s="23">
        <f>IF(C156="aFRR+",power_mw*hours_per_day*damas_afrr_up*capacity_mult_C*stack_capacity*acceptance_rate,power_mw*hours_per_day*damas_afrr_down*capacity_mult_C*stack_capacity*acceptance_rate)</f>
        <v/>
      </c>
      <c r="G156" s="42">
        <f>IF(C156="aFRR+",DAMAS_Daily!I156,DAMAS_Daily!J156)</f>
        <v/>
      </c>
      <c r="H156" s="43">
        <f>IF(C156="aFRR+",DAMAS_Daily!E156,DAMAS_Daily!F156)</f>
        <v/>
      </c>
      <c r="I156" s="43">
        <f>IF(C156="aFRR+",DAMAS_Daily!G156,DAMAS_Daily!H156)</f>
        <v/>
      </c>
      <c r="J156" s="45">
        <f>IF(C156="aFRR+",DAMAS_Daily!C156,DAMAS_Daily!D156)</f>
        <v/>
      </c>
      <c r="K156" s="45">
        <f>IF(C156="aFRR+",MIN(DAMAS_Daily!C156*market_share_C*acceptance_rate*stack_activation,power_mw*hours_per_day,capacity_mwh),MIN(DAMAS_Daily!D156*market_share_C*acceptance_rate*stack_activation,power_mw*hours_per_day,capacity_mwh))</f>
        <v/>
      </c>
      <c r="L156" s="42">
        <f>IF(K156&gt;=capacity_mwh-0.01,"yes","no")</f>
        <v/>
      </c>
      <c r="M156" s="23">
        <f>IF(C156="aFRR+",(MIN(DAMAS_Daily!C156*market_share_C*acceptance_rate*stack_activation,power_mw*hours_per_day,capacity_mwh))*DAMAS_Daily!E156*activation_mult_C,(MIN(DAMAS_Daily!D156*market_share_C*acceptance_rate*stack_activation,power_mw*hours_per_day,capacity_mwh))*DAMAS_Daily!F156*activation_mult_C)</f>
        <v/>
      </c>
      <c r="N156" s="24">
        <f>F156+M156</f>
        <v/>
      </c>
    </row>
    <row r="157">
      <c r="A157" s="41">
        <f>DAMAS_Daily!A157</f>
        <v/>
      </c>
      <c r="B157" s="42">
        <f>DAMAS_Daily!B157</f>
        <v/>
      </c>
      <c r="C157" s="42">
        <f>IF((power_mw*hours_per_day*damas_afrr_up*capacity_mult_C*stack_capacity*acceptance_rate+(MIN(DAMAS_Daily!C157*market_share_C*acceptance_rate*stack_activation,power_mw*hours_per_day,capacity_mwh))*DAMAS_Daily!E157*activation_mult_C)&gt;=(power_mw*hours_per_day*damas_afrr_down*capacity_mult_C*stack_capacity*acceptance_rate+(MIN(DAMAS_Daily!D157*market_share_C*acceptance_rate*stack_activation,power_mw*hours_per_day,capacity_mwh))*DAMAS_Daily!F157*activation_mult_C),"aFRR+","aFRR-")</f>
        <v/>
      </c>
      <c r="D157" s="43">
        <f>IF(C157="aFRR+",damas_afrr_up*capacity_mult_C,damas_afrr_down*capacity_mult_C)</f>
        <v/>
      </c>
      <c r="E157" s="44">
        <f>acceptance_rate</f>
        <v/>
      </c>
      <c r="F157" s="23">
        <f>IF(C157="aFRR+",power_mw*hours_per_day*damas_afrr_up*capacity_mult_C*stack_capacity*acceptance_rate,power_mw*hours_per_day*damas_afrr_down*capacity_mult_C*stack_capacity*acceptance_rate)</f>
        <v/>
      </c>
      <c r="G157" s="42">
        <f>IF(C157="aFRR+",DAMAS_Daily!I157,DAMAS_Daily!J157)</f>
        <v/>
      </c>
      <c r="H157" s="43">
        <f>IF(C157="aFRR+",DAMAS_Daily!E157,DAMAS_Daily!F157)</f>
        <v/>
      </c>
      <c r="I157" s="43">
        <f>IF(C157="aFRR+",DAMAS_Daily!G157,DAMAS_Daily!H157)</f>
        <v/>
      </c>
      <c r="J157" s="45">
        <f>IF(C157="aFRR+",DAMAS_Daily!C157,DAMAS_Daily!D157)</f>
        <v/>
      </c>
      <c r="K157" s="45">
        <f>IF(C157="aFRR+",MIN(DAMAS_Daily!C157*market_share_C*acceptance_rate*stack_activation,power_mw*hours_per_day,capacity_mwh),MIN(DAMAS_Daily!D157*market_share_C*acceptance_rate*stack_activation,power_mw*hours_per_day,capacity_mwh))</f>
        <v/>
      </c>
      <c r="L157" s="42">
        <f>IF(K157&gt;=capacity_mwh-0.01,"yes","no")</f>
        <v/>
      </c>
      <c r="M157" s="23">
        <f>IF(C157="aFRR+",(MIN(DAMAS_Daily!C157*market_share_C*acceptance_rate*stack_activation,power_mw*hours_per_day,capacity_mwh))*DAMAS_Daily!E157*activation_mult_C,(MIN(DAMAS_Daily!D157*market_share_C*acceptance_rate*stack_activation,power_mw*hours_per_day,capacity_mwh))*DAMAS_Daily!F157*activation_mult_C)</f>
        <v/>
      </c>
      <c r="N157" s="24">
        <f>F157+M157</f>
        <v/>
      </c>
    </row>
    <row r="158">
      <c r="A158" s="41">
        <f>DAMAS_Daily!A158</f>
        <v/>
      </c>
      <c r="B158" s="42">
        <f>DAMAS_Daily!B158</f>
        <v/>
      </c>
      <c r="C158" s="42">
        <f>IF((power_mw*hours_per_day*damas_afrr_up*capacity_mult_C*stack_capacity*acceptance_rate+(MIN(DAMAS_Daily!C158*market_share_C*acceptance_rate*stack_activation,power_mw*hours_per_day,capacity_mwh))*DAMAS_Daily!E158*activation_mult_C)&gt;=(power_mw*hours_per_day*damas_afrr_down*capacity_mult_C*stack_capacity*acceptance_rate+(MIN(DAMAS_Daily!D158*market_share_C*acceptance_rate*stack_activation,power_mw*hours_per_day,capacity_mwh))*DAMAS_Daily!F158*activation_mult_C),"aFRR+","aFRR-")</f>
        <v/>
      </c>
      <c r="D158" s="43">
        <f>IF(C158="aFRR+",damas_afrr_up*capacity_mult_C,damas_afrr_down*capacity_mult_C)</f>
        <v/>
      </c>
      <c r="E158" s="44">
        <f>acceptance_rate</f>
        <v/>
      </c>
      <c r="F158" s="23">
        <f>IF(C158="aFRR+",power_mw*hours_per_day*damas_afrr_up*capacity_mult_C*stack_capacity*acceptance_rate,power_mw*hours_per_day*damas_afrr_down*capacity_mult_C*stack_capacity*acceptance_rate)</f>
        <v/>
      </c>
      <c r="G158" s="42">
        <f>IF(C158="aFRR+",DAMAS_Daily!I158,DAMAS_Daily!J158)</f>
        <v/>
      </c>
      <c r="H158" s="43">
        <f>IF(C158="aFRR+",DAMAS_Daily!E158,DAMAS_Daily!F158)</f>
        <v/>
      </c>
      <c r="I158" s="43">
        <f>IF(C158="aFRR+",DAMAS_Daily!G158,DAMAS_Daily!H158)</f>
        <v/>
      </c>
      <c r="J158" s="45">
        <f>IF(C158="aFRR+",DAMAS_Daily!C158,DAMAS_Daily!D158)</f>
        <v/>
      </c>
      <c r="K158" s="45">
        <f>IF(C158="aFRR+",MIN(DAMAS_Daily!C158*market_share_C*acceptance_rate*stack_activation,power_mw*hours_per_day,capacity_mwh),MIN(DAMAS_Daily!D158*market_share_C*acceptance_rate*stack_activation,power_mw*hours_per_day,capacity_mwh))</f>
        <v/>
      </c>
      <c r="L158" s="42">
        <f>IF(K158&gt;=capacity_mwh-0.01,"yes","no")</f>
        <v/>
      </c>
      <c r="M158" s="23">
        <f>IF(C158="aFRR+",(MIN(DAMAS_Daily!C158*market_share_C*acceptance_rate*stack_activation,power_mw*hours_per_day,capacity_mwh))*DAMAS_Daily!E158*activation_mult_C,(MIN(DAMAS_Daily!D158*market_share_C*acceptance_rate*stack_activation,power_mw*hours_per_day,capacity_mwh))*DAMAS_Daily!F158*activation_mult_C)</f>
        <v/>
      </c>
      <c r="N158" s="24">
        <f>F158+M158</f>
        <v/>
      </c>
    </row>
    <row r="159">
      <c r="A159" s="41">
        <f>DAMAS_Daily!A159</f>
        <v/>
      </c>
      <c r="B159" s="42">
        <f>DAMAS_Daily!B159</f>
        <v/>
      </c>
      <c r="C159" s="42">
        <f>IF((power_mw*hours_per_day*damas_afrr_up*capacity_mult_C*stack_capacity*acceptance_rate+(MIN(DAMAS_Daily!C159*market_share_C*acceptance_rate*stack_activation,power_mw*hours_per_day,capacity_mwh))*DAMAS_Daily!E159*activation_mult_C)&gt;=(power_mw*hours_per_day*damas_afrr_down*capacity_mult_C*stack_capacity*acceptance_rate+(MIN(DAMAS_Daily!D159*market_share_C*acceptance_rate*stack_activation,power_mw*hours_per_day,capacity_mwh))*DAMAS_Daily!F159*activation_mult_C),"aFRR+","aFRR-")</f>
        <v/>
      </c>
      <c r="D159" s="43">
        <f>IF(C159="aFRR+",damas_afrr_up*capacity_mult_C,damas_afrr_down*capacity_mult_C)</f>
        <v/>
      </c>
      <c r="E159" s="44">
        <f>acceptance_rate</f>
        <v/>
      </c>
      <c r="F159" s="23">
        <f>IF(C159="aFRR+",power_mw*hours_per_day*damas_afrr_up*capacity_mult_C*stack_capacity*acceptance_rate,power_mw*hours_per_day*damas_afrr_down*capacity_mult_C*stack_capacity*acceptance_rate)</f>
        <v/>
      </c>
      <c r="G159" s="42">
        <f>IF(C159="aFRR+",DAMAS_Daily!I159,DAMAS_Daily!J159)</f>
        <v/>
      </c>
      <c r="H159" s="43">
        <f>IF(C159="aFRR+",DAMAS_Daily!E159,DAMAS_Daily!F159)</f>
        <v/>
      </c>
      <c r="I159" s="43">
        <f>IF(C159="aFRR+",DAMAS_Daily!G159,DAMAS_Daily!H159)</f>
        <v/>
      </c>
      <c r="J159" s="45">
        <f>IF(C159="aFRR+",DAMAS_Daily!C159,DAMAS_Daily!D159)</f>
        <v/>
      </c>
      <c r="K159" s="45">
        <f>IF(C159="aFRR+",MIN(DAMAS_Daily!C159*market_share_C*acceptance_rate*stack_activation,power_mw*hours_per_day,capacity_mwh),MIN(DAMAS_Daily!D159*market_share_C*acceptance_rate*stack_activation,power_mw*hours_per_day,capacity_mwh))</f>
        <v/>
      </c>
      <c r="L159" s="42">
        <f>IF(K159&gt;=capacity_mwh-0.01,"yes","no")</f>
        <v/>
      </c>
      <c r="M159" s="23">
        <f>IF(C159="aFRR+",(MIN(DAMAS_Daily!C159*market_share_C*acceptance_rate*stack_activation,power_mw*hours_per_day,capacity_mwh))*DAMAS_Daily!E159*activation_mult_C,(MIN(DAMAS_Daily!D159*market_share_C*acceptance_rate*stack_activation,power_mw*hours_per_day,capacity_mwh))*DAMAS_Daily!F159*activation_mult_C)</f>
        <v/>
      </c>
      <c r="N159" s="24">
        <f>F159+M159</f>
        <v/>
      </c>
    </row>
    <row r="160">
      <c r="A160" s="41">
        <f>DAMAS_Daily!A160</f>
        <v/>
      </c>
      <c r="B160" s="42">
        <f>DAMAS_Daily!B160</f>
        <v/>
      </c>
      <c r="C160" s="42">
        <f>IF((power_mw*hours_per_day*damas_afrr_up*capacity_mult_C*stack_capacity*acceptance_rate+(MIN(DAMAS_Daily!C160*market_share_C*acceptance_rate*stack_activation,power_mw*hours_per_day,capacity_mwh))*DAMAS_Daily!E160*activation_mult_C)&gt;=(power_mw*hours_per_day*damas_afrr_down*capacity_mult_C*stack_capacity*acceptance_rate+(MIN(DAMAS_Daily!D160*market_share_C*acceptance_rate*stack_activation,power_mw*hours_per_day,capacity_mwh))*DAMAS_Daily!F160*activation_mult_C),"aFRR+","aFRR-")</f>
        <v/>
      </c>
      <c r="D160" s="43">
        <f>IF(C160="aFRR+",damas_afrr_up*capacity_mult_C,damas_afrr_down*capacity_mult_C)</f>
        <v/>
      </c>
      <c r="E160" s="44">
        <f>acceptance_rate</f>
        <v/>
      </c>
      <c r="F160" s="23">
        <f>IF(C160="aFRR+",power_mw*hours_per_day*damas_afrr_up*capacity_mult_C*stack_capacity*acceptance_rate,power_mw*hours_per_day*damas_afrr_down*capacity_mult_C*stack_capacity*acceptance_rate)</f>
        <v/>
      </c>
      <c r="G160" s="42">
        <f>IF(C160="aFRR+",DAMAS_Daily!I160,DAMAS_Daily!J160)</f>
        <v/>
      </c>
      <c r="H160" s="43">
        <f>IF(C160="aFRR+",DAMAS_Daily!E160,DAMAS_Daily!F160)</f>
        <v/>
      </c>
      <c r="I160" s="43">
        <f>IF(C160="aFRR+",DAMAS_Daily!G160,DAMAS_Daily!H160)</f>
        <v/>
      </c>
      <c r="J160" s="45">
        <f>IF(C160="aFRR+",DAMAS_Daily!C160,DAMAS_Daily!D160)</f>
        <v/>
      </c>
      <c r="K160" s="45">
        <f>IF(C160="aFRR+",MIN(DAMAS_Daily!C160*market_share_C*acceptance_rate*stack_activation,power_mw*hours_per_day,capacity_mwh),MIN(DAMAS_Daily!D160*market_share_C*acceptance_rate*stack_activation,power_mw*hours_per_day,capacity_mwh))</f>
        <v/>
      </c>
      <c r="L160" s="42">
        <f>IF(K160&gt;=capacity_mwh-0.01,"yes","no")</f>
        <v/>
      </c>
      <c r="M160" s="23">
        <f>IF(C160="aFRR+",(MIN(DAMAS_Daily!C160*market_share_C*acceptance_rate*stack_activation,power_mw*hours_per_day,capacity_mwh))*DAMAS_Daily!E160*activation_mult_C,(MIN(DAMAS_Daily!D160*market_share_C*acceptance_rate*stack_activation,power_mw*hours_per_day,capacity_mwh))*DAMAS_Daily!F160*activation_mult_C)</f>
        <v/>
      </c>
      <c r="N160" s="24">
        <f>F160+M160</f>
        <v/>
      </c>
    </row>
    <row r="161">
      <c r="A161" s="41">
        <f>DAMAS_Daily!A161</f>
        <v/>
      </c>
      <c r="B161" s="42">
        <f>DAMAS_Daily!B161</f>
        <v/>
      </c>
      <c r="C161" s="42">
        <f>IF((power_mw*hours_per_day*damas_afrr_up*capacity_mult_C*stack_capacity*acceptance_rate+(MIN(DAMAS_Daily!C161*market_share_C*acceptance_rate*stack_activation,power_mw*hours_per_day,capacity_mwh))*DAMAS_Daily!E161*activation_mult_C)&gt;=(power_mw*hours_per_day*damas_afrr_down*capacity_mult_C*stack_capacity*acceptance_rate+(MIN(DAMAS_Daily!D161*market_share_C*acceptance_rate*stack_activation,power_mw*hours_per_day,capacity_mwh))*DAMAS_Daily!F161*activation_mult_C),"aFRR+","aFRR-")</f>
        <v/>
      </c>
      <c r="D161" s="43">
        <f>IF(C161="aFRR+",damas_afrr_up*capacity_mult_C,damas_afrr_down*capacity_mult_C)</f>
        <v/>
      </c>
      <c r="E161" s="44">
        <f>acceptance_rate</f>
        <v/>
      </c>
      <c r="F161" s="23">
        <f>IF(C161="aFRR+",power_mw*hours_per_day*damas_afrr_up*capacity_mult_C*stack_capacity*acceptance_rate,power_mw*hours_per_day*damas_afrr_down*capacity_mult_C*stack_capacity*acceptance_rate)</f>
        <v/>
      </c>
      <c r="G161" s="42">
        <f>IF(C161="aFRR+",DAMAS_Daily!I161,DAMAS_Daily!J161)</f>
        <v/>
      </c>
      <c r="H161" s="43">
        <f>IF(C161="aFRR+",DAMAS_Daily!E161,DAMAS_Daily!F161)</f>
        <v/>
      </c>
      <c r="I161" s="43">
        <f>IF(C161="aFRR+",DAMAS_Daily!G161,DAMAS_Daily!H161)</f>
        <v/>
      </c>
      <c r="J161" s="45">
        <f>IF(C161="aFRR+",DAMAS_Daily!C161,DAMAS_Daily!D161)</f>
        <v/>
      </c>
      <c r="K161" s="45">
        <f>IF(C161="aFRR+",MIN(DAMAS_Daily!C161*market_share_C*acceptance_rate*stack_activation,power_mw*hours_per_day,capacity_mwh),MIN(DAMAS_Daily!D161*market_share_C*acceptance_rate*stack_activation,power_mw*hours_per_day,capacity_mwh))</f>
        <v/>
      </c>
      <c r="L161" s="42">
        <f>IF(K161&gt;=capacity_mwh-0.01,"yes","no")</f>
        <v/>
      </c>
      <c r="M161" s="23">
        <f>IF(C161="aFRR+",(MIN(DAMAS_Daily!C161*market_share_C*acceptance_rate*stack_activation,power_mw*hours_per_day,capacity_mwh))*DAMAS_Daily!E161*activation_mult_C,(MIN(DAMAS_Daily!D161*market_share_C*acceptance_rate*stack_activation,power_mw*hours_per_day,capacity_mwh))*DAMAS_Daily!F161*activation_mult_C)</f>
        <v/>
      </c>
      <c r="N161" s="24">
        <f>F161+M161</f>
        <v/>
      </c>
    </row>
    <row r="162">
      <c r="A162" s="41">
        <f>DAMAS_Daily!A162</f>
        <v/>
      </c>
      <c r="B162" s="42">
        <f>DAMAS_Daily!B162</f>
        <v/>
      </c>
      <c r="C162" s="42">
        <f>IF((power_mw*hours_per_day*damas_afrr_up*capacity_mult_C*stack_capacity*acceptance_rate+(MIN(DAMAS_Daily!C162*market_share_C*acceptance_rate*stack_activation,power_mw*hours_per_day,capacity_mwh))*DAMAS_Daily!E162*activation_mult_C)&gt;=(power_mw*hours_per_day*damas_afrr_down*capacity_mult_C*stack_capacity*acceptance_rate+(MIN(DAMAS_Daily!D162*market_share_C*acceptance_rate*stack_activation,power_mw*hours_per_day,capacity_mwh))*DAMAS_Daily!F162*activation_mult_C),"aFRR+","aFRR-")</f>
        <v/>
      </c>
      <c r="D162" s="43">
        <f>IF(C162="aFRR+",damas_afrr_up*capacity_mult_C,damas_afrr_down*capacity_mult_C)</f>
        <v/>
      </c>
      <c r="E162" s="44">
        <f>acceptance_rate</f>
        <v/>
      </c>
      <c r="F162" s="23">
        <f>IF(C162="aFRR+",power_mw*hours_per_day*damas_afrr_up*capacity_mult_C*stack_capacity*acceptance_rate,power_mw*hours_per_day*damas_afrr_down*capacity_mult_C*stack_capacity*acceptance_rate)</f>
        <v/>
      </c>
      <c r="G162" s="42">
        <f>IF(C162="aFRR+",DAMAS_Daily!I162,DAMAS_Daily!J162)</f>
        <v/>
      </c>
      <c r="H162" s="43">
        <f>IF(C162="aFRR+",DAMAS_Daily!E162,DAMAS_Daily!F162)</f>
        <v/>
      </c>
      <c r="I162" s="43">
        <f>IF(C162="aFRR+",DAMAS_Daily!G162,DAMAS_Daily!H162)</f>
        <v/>
      </c>
      <c r="J162" s="45">
        <f>IF(C162="aFRR+",DAMAS_Daily!C162,DAMAS_Daily!D162)</f>
        <v/>
      </c>
      <c r="K162" s="45">
        <f>IF(C162="aFRR+",MIN(DAMAS_Daily!C162*market_share_C*acceptance_rate*stack_activation,power_mw*hours_per_day,capacity_mwh),MIN(DAMAS_Daily!D162*market_share_C*acceptance_rate*stack_activation,power_mw*hours_per_day,capacity_mwh))</f>
        <v/>
      </c>
      <c r="L162" s="42">
        <f>IF(K162&gt;=capacity_mwh-0.01,"yes","no")</f>
        <v/>
      </c>
      <c r="M162" s="23">
        <f>IF(C162="aFRR+",(MIN(DAMAS_Daily!C162*market_share_C*acceptance_rate*stack_activation,power_mw*hours_per_day,capacity_mwh))*DAMAS_Daily!E162*activation_mult_C,(MIN(DAMAS_Daily!D162*market_share_C*acceptance_rate*stack_activation,power_mw*hours_per_day,capacity_mwh))*DAMAS_Daily!F162*activation_mult_C)</f>
        <v/>
      </c>
      <c r="N162" s="24">
        <f>F162+M162</f>
        <v/>
      </c>
    </row>
    <row r="163">
      <c r="A163" s="41">
        <f>DAMAS_Daily!A163</f>
        <v/>
      </c>
      <c r="B163" s="42">
        <f>DAMAS_Daily!B163</f>
        <v/>
      </c>
      <c r="C163" s="42">
        <f>IF((power_mw*hours_per_day*damas_afrr_up*capacity_mult_C*stack_capacity*acceptance_rate+(MIN(DAMAS_Daily!C163*market_share_C*acceptance_rate*stack_activation,power_mw*hours_per_day,capacity_mwh))*DAMAS_Daily!E163*activation_mult_C)&gt;=(power_mw*hours_per_day*damas_afrr_down*capacity_mult_C*stack_capacity*acceptance_rate+(MIN(DAMAS_Daily!D163*market_share_C*acceptance_rate*stack_activation,power_mw*hours_per_day,capacity_mwh))*DAMAS_Daily!F163*activation_mult_C),"aFRR+","aFRR-")</f>
        <v/>
      </c>
      <c r="D163" s="43">
        <f>IF(C163="aFRR+",damas_afrr_up*capacity_mult_C,damas_afrr_down*capacity_mult_C)</f>
        <v/>
      </c>
      <c r="E163" s="44">
        <f>acceptance_rate</f>
        <v/>
      </c>
      <c r="F163" s="23">
        <f>IF(C163="aFRR+",power_mw*hours_per_day*damas_afrr_up*capacity_mult_C*stack_capacity*acceptance_rate,power_mw*hours_per_day*damas_afrr_down*capacity_mult_C*stack_capacity*acceptance_rate)</f>
        <v/>
      </c>
      <c r="G163" s="42">
        <f>IF(C163="aFRR+",DAMAS_Daily!I163,DAMAS_Daily!J163)</f>
        <v/>
      </c>
      <c r="H163" s="43">
        <f>IF(C163="aFRR+",DAMAS_Daily!E163,DAMAS_Daily!F163)</f>
        <v/>
      </c>
      <c r="I163" s="43">
        <f>IF(C163="aFRR+",DAMAS_Daily!G163,DAMAS_Daily!H163)</f>
        <v/>
      </c>
      <c r="J163" s="45">
        <f>IF(C163="aFRR+",DAMAS_Daily!C163,DAMAS_Daily!D163)</f>
        <v/>
      </c>
      <c r="K163" s="45">
        <f>IF(C163="aFRR+",MIN(DAMAS_Daily!C163*market_share_C*acceptance_rate*stack_activation,power_mw*hours_per_day,capacity_mwh),MIN(DAMAS_Daily!D163*market_share_C*acceptance_rate*stack_activation,power_mw*hours_per_day,capacity_mwh))</f>
        <v/>
      </c>
      <c r="L163" s="42">
        <f>IF(K163&gt;=capacity_mwh-0.01,"yes","no")</f>
        <v/>
      </c>
      <c r="M163" s="23">
        <f>IF(C163="aFRR+",(MIN(DAMAS_Daily!C163*market_share_C*acceptance_rate*stack_activation,power_mw*hours_per_day,capacity_mwh))*DAMAS_Daily!E163*activation_mult_C,(MIN(DAMAS_Daily!D163*market_share_C*acceptance_rate*stack_activation,power_mw*hours_per_day,capacity_mwh))*DAMAS_Daily!F163*activation_mult_C)</f>
        <v/>
      </c>
      <c r="N163" s="24">
        <f>F163+M163</f>
        <v/>
      </c>
    </row>
    <row r="164">
      <c r="A164" s="41">
        <f>DAMAS_Daily!A164</f>
        <v/>
      </c>
      <c r="B164" s="42">
        <f>DAMAS_Daily!B164</f>
        <v/>
      </c>
      <c r="C164" s="42">
        <f>IF((power_mw*hours_per_day*damas_afrr_up*capacity_mult_C*stack_capacity*acceptance_rate+(MIN(DAMAS_Daily!C164*market_share_C*acceptance_rate*stack_activation,power_mw*hours_per_day,capacity_mwh))*DAMAS_Daily!E164*activation_mult_C)&gt;=(power_mw*hours_per_day*damas_afrr_down*capacity_mult_C*stack_capacity*acceptance_rate+(MIN(DAMAS_Daily!D164*market_share_C*acceptance_rate*stack_activation,power_mw*hours_per_day,capacity_mwh))*DAMAS_Daily!F164*activation_mult_C),"aFRR+","aFRR-")</f>
        <v/>
      </c>
      <c r="D164" s="43">
        <f>IF(C164="aFRR+",damas_afrr_up*capacity_mult_C,damas_afrr_down*capacity_mult_C)</f>
        <v/>
      </c>
      <c r="E164" s="44">
        <f>acceptance_rate</f>
        <v/>
      </c>
      <c r="F164" s="23">
        <f>IF(C164="aFRR+",power_mw*hours_per_day*damas_afrr_up*capacity_mult_C*stack_capacity*acceptance_rate,power_mw*hours_per_day*damas_afrr_down*capacity_mult_C*stack_capacity*acceptance_rate)</f>
        <v/>
      </c>
      <c r="G164" s="42">
        <f>IF(C164="aFRR+",DAMAS_Daily!I164,DAMAS_Daily!J164)</f>
        <v/>
      </c>
      <c r="H164" s="43">
        <f>IF(C164="aFRR+",DAMAS_Daily!E164,DAMAS_Daily!F164)</f>
        <v/>
      </c>
      <c r="I164" s="43">
        <f>IF(C164="aFRR+",DAMAS_Daily!G164,DAMAS_Daily!H164)</f>
        <v/>
      </c>
      <c r="J164" s="45">
        <f>IF(C164="aFRR+",DAMAS_Daily!C164,DAMAS_Daily!D164)</f>
        <v/>
      </c>
      <c r="K164" s="45">
        <f>IF(C164="aFRR+",MIN(DAMAS_Daily!C164*market_share_C*acceptance_rate*stack_activation,power_mw*hours_per_day,capacity_mwh),MIN(DAMAS_Daily!D164*market_share_C*acceptance_rate*stack_activation,power_mw*hours_per_day,capacity_mwh))</f>
        <v/>
      </c>
      <c r="L164" s="42">
        <f>IF(K164&gt;=capacity_mwh-0.01,"yes","no")</f>
        <v/>
      </c>
      <c r="M164" s="23">
        <f>IF(C164="aFRR+",(MIN(DAMAS_Daily!C164*market_share_C*acceptance_rate*stack_activation,power_mw*hours_per_day,capacity_mwh))*DAMAS_Daily!E164*activation_mult_C,(MIN(DAMAS_Daily!D164*market_share_C*acceptance_rate*stack_activation,power_mw*hours_per_day,capacity_mwh))*DAMAS_Daily!F164*activation_mult_C)</f>
        <v/>
      </c>
      <c r="N164" s="24">
        <f>F164+M164</f>
        <v/>
      </c>
    </row>
    <row r="165">
      <c r="A165" s="41">
        <f>DAMAS_Daily!A165</f>
        <v/>
      </c>
      <c r="B165" s="42">
        <f>DAMAS_Daily!B165</f>
        <v/>
      </c>
      <c r="C165" s="42">
        <f>IF((power_mw*hours_per_day*damas_afrr_up*capacity_mult_C*stack_capacity*acceptance_rate+(MIN(DAMAS_Daily!C165*market_share_C*acceptance_rate*stack_activation,power_mw*hours_per_day,capacity_mwh))*DAMAS_Daily!E165*activation_mult_C)&gt;=(power_mw*hours_per_day*damas_afrr_down*capacity_mult_C*stack_capacity*acceptance_rate+(MIN(DAMAS_Daily!D165*market_share_C*acceptance_rate*stack_activation,power_mw*hours_per_day,capacity_mwh))*DAMAS_Daily!F165*activation_mult_C),"aFRR+","aFRR-")</f>
        <v/>
      </c>
      <c r="D165" s="43">
        <f>IF(C165="aFRR+",damas_afrr_up*capacity_mult_C,damas_afrr_down*capacity_mult_C)</f>
        <v/>
      </c>
      <c r="E165" s="44">
        <f>acceptance_rate</f>
        <v/>
      </c>
      <c r="F165" s="23">
        <f>IF(C165="aFRR+",power_mw*hours_per_day*damas_afrr_up*capacity_mult_C*stack_capacity*acceptance_rate,power_mw*hours_per_day*damas_afrr_down*capacity_mult_C*stack_capacity*acceptance_rate)</f>
        <v/>
      </c>
      <c r="G165" s="42">
        <f>IF(C165="aFRR+",DAMAS_Daily!I165,DAMAS_Daily!J165)</f>
        <v/>
      </c>
      <c r="H165" s="43">
        <f>IF(C165="aFRR+",DAMAS_Daily!E165,DAMAS_Daily!F165)</f>
        <v/>
      </c>
      <c r="I165" s="43">
        <f>IF(C165="aFRR+",DAMAS_Daily!G165,DAMAS_Daily!H165)</f>
        <v/>
      </c>
      <c r="J165" s="45">
        <f>IF(C165="aFRR+",DAMAS_Daily!C165,DAMAS_Daily!D165)</f>
        <v/>
      </c>
      <c r="K165" s="45">
        <f>IF(C165="aFRR+",MIN(DAMAS_Daily!C165*market_share_C*acceptance_rate*stack_activation,power_mw*hours_per_day,capacity_mwh),MIN(DAMAS_Daily!D165*market_share_C*acceptance_rate*stack_activation,power_mw*hours_per_day,capacity_mwh))</f>
        <v/>
      </c>
      <c r="L165" s="42">
        <f>IF(K165&gt;=capacity_mwh-0.01,"yes","no")</f>
        <v/>
      </c>
      <c r="M165" s="23">
        <f>IF(C165="aFRR+",(MIN(DAMAS_Daily!C165*market_share_C*acceptance_rate*stack_activation,power_mw*hours_per_day,capacity_mwh))*DAMAS_Daily!E165*activation_mult_C,(MIN(DAMAS_Daily!D165*market_share_C*acceptance_rate*stack_activation,power_mw*hours_per_day,capacity_mwh))*DAMAS_Daily!F165*activation_mult_C)</f>
        <v/>
      </c>
      <c r="N165" s="24">
        <f>F165+M165</f>
        <v/>
      </c>
    </row>
    <row r="166">
      <c r="A166" s="41">
        <f>DAMAS_Daily!A166</f>
        <v/>
      </c>
      <c r="B166" s="42">
        <f>DAMAS_Daily!B166</f>
        <v/>
      </c>
      <c r="C166" s="42">
        <f>IF((power_mw*hours_per_day*damas_afrr_up*capacity_mult_C*stack_capacity*acceptance_rate+(MIN(DAMAS_Daily!C166*market_share_C*acceptance_rate*stack_activation,power_mw*hours_per_day,capacity_mwh))*DAMAS_Daily!E166*activation_mult_C)&gt;=(power_mw*hours_per_day*damas_afrr_down*capacity_mult_C*stack_capacity*acceptance_rate+(MIN(DAMAS_Daily!D166*market_share_C*acceptance_rate*stack_activation,power_mw*hours_per_day,capacity_mwh))*DAMAS_Daily!F166*activation_mult_C),"aFRR+","aFRR-")</f>
        <v/>
      </c>
      <c r="D166" s="43">
        <f>IF(C166="aFRR+",damas_afrr_up*capacity_mult_C,damas_afrr_down*capacity_mult_C)</f>
        <v/>
      </c>
      <c r="E166" s="44">
        <f>acceptance_rate</f>
        <v/>
      </c>
      <c r="F166" s="23">
        <f>IF(C166="aFRR+",power_mw*hours_per_day*damas_afrr_up*capacity_mult_C*stack_capacity*acceptance_rate,power_mw*hours_per_day*damas_afrr_down*capacity_mult_C*stack_capacity*acceptance_rate)</f>
        <v/>
      </c>
      <c r="G166" s="42">
        <f>IF(C166="aFRR+",DAMAS_Daily!I166,DAMAS_Daily!J166)</f>
        <v/>
      </c>
      <c r="H166" s="43">
        <f>IF(C166="aFRR+",DAMAS_Daily!E166,DAMAS_Daily!F166)</f>
        <v/>
      </c>
      <c r="I166" s="43">
        <f>IF(C166="aFRR+",DAMAS_Daily!G166,DAMAS_Daily!H166)</f>
        <v/>
      </c>
      <c r="J166" s="45">
        <f>IF(C166="aFRR+",DAMAS_Daily!C166,DAMAS_Daily!D166)</f>
        <v/>
      </c>
      <c r="K166" s="45">
        <f>IF(C166="aFRR+",MIN(DAMAS_Daily!C166*market_share_C*acceptance_rate*stack_activation,power_mw*hours_per_day,capacity_mwh),MIN(DAMAS_Daily!D166*market_share_C*acceptance_rate*stack_activation,power_mw*hours_per_day,capacity_mwh))</f>
        <v/>
      </c>
      <c r="L166" s="42">
        <f>IF(K166&gt;=capacity_mwh-0.01,"yes","no")</f>
        <v/>
      </c>
      <c r="M166" s="23">
        <f>IF(C166="aFRR+",(MIN(DAMAS_Daily!C166*market_share_C*acceptance_rate*stack_activation,power_mw*hours_per_day,capacity_mwh))*DAMAS_Daily!E166*activation_mult_C,(MIN(DAMAS_Daily!D166*market_share_C*acceptance_rate*stack_activation,power_mw*hours_per_day,capacity_mwh))*DAMAS_Daily!F166*activation_mult_C)</f>
        <v/>
      </c>
      <c r="N166" s="24">
        <f>F166+M166</f>
        <v/>
      </c>
    </row>
    <row r="167">
      <c r="A167" s="41">
        <f>DAMAS_Daily!A167</f>
        <v/>
      </c>
      <c r="B167" s="42">
        <f>DAMAS_Daily!B167</f>
        <v/>
      </c>
      <c r="C167" s="42">
        <f>IF((power_mw*hours_per_day*damas_afrr_up*capacity_mult_C*stack_capacity*acceptance_rate+(MIN(DAMAS_Daily!C167*market_share_C*acceptance_rate*stack_activation,power_mw*hours_per_day,capacity_mwh))*DAMAS_Daily!E167*activation_mult_C)&gt;=(power_mw*hours_per_day*damas_afrr_down*capacity_mult_C*stack_capacity*acceptance_rate+(MIN(DAMAS_Daily!D167*market_share_C*acceptance_rate*stack_activation,power_mw*hours_per_day,capacity_mwh))*DAMAS_Daily!F167*activation_mult_C),"aFRR+","aFRR-")</f>
        <v/>
      </c>
      <c r="D167" s="43">
        <f>IF(C167="aFRR+",damas_afrr_up*capacity_mult_C,damas_afrr_down*capacity_mult_C)</f>
        <v/>
      </c>
      <c r="E167" s="44">
        <f>acceptance_rate</f>
        <v/>
      </c>
      <c r="F167" s="23">
        <f>IF(C167="aFRR+",power_mw*hours_per_day*damas_afrr_up*capacity_mult_C*stack_capacity*acceptance_rate,power_mw*hours_per_day*damas_afrr_down*capacity_mult_C*stack_capacity*acceptance_rate)</f>
        <v/>
      </c>
      <c r="G167" s="42">
        <f>IF(C167="aFRR+",DAMAS_Daily!I167,DAMAS_Daily!J167)</f>
        <v/>
      </c>
      <c r="H167" s="43">
        <f>IF(C167="aFRR+",DAMAS_Daily!E167,DAMAS_Daily!F167)</f>
        <v/>
      </c>
      <c r="I167" s="43">
        <f>IF(C167="aFRR+",DAMAS_Daily!G167,DAMAS_Daily!H167)</f>
        <v/>
      </c>
      <c r="J167" s="45">
        <f>IF(C167="aFRR+",DAMAS_Daily!C167,DAMAS_Daily!D167)</f>
        <v/>
      </c>
      <c r="K167" s="45">
        <f>IF(C167="aFRR+",MIN(DAMAS_Daily!C167*market_share_C*acceptance_rate*stack_activation,power_mw*hours_per_day,capacity_mwh),MIN(DAMAS_Daily!D167*market_share_C*acceptance_rate*stack_activation,power_mw*hours_per_day,capacity_mwh))</f>
        <v/>
      </c>
      <c r="L167" s="42">
        <f>IF(K167&gt;=capacity_mwh-0.01,"yes","no")</f>
        <v/>
      </c>
      <c r="M167" s="23">
        <f>IF(C167="aFRR+",(MIN(DAMAS_Daily!C167*market_share_C*acceptance_rate*stack_activation,power_mw*hours_per_day,capacity_mwh))*DAMAS_Daily!E167*activation_mult_C,(MIN(DAMAS_Daily!D167*market_share_C*acceptance_rate*stack_activation,power_mw*hours_per_day,capacity_mwh))*DAMAS_Daily!F167*activation_mult_C)</f>
        <v/>
      </c>
      <c r="N167" s="24">
        <f>F167+M167</f>
        <v/>
      </c>
    </row>
    <row r="168">
      <c r="A168" s="41">
        <f>DAMAS_Daily!A168</f>
        <v/>
      </c>
      <c r="B168" s="42">
        <f>DAMAS_Daily!B168</f>
        <v/>
      </c>
      <c r="C168" s="42">
        <f>IF((power_mw*hours_per_day*damas_afrr_up*capacity_mult_C*stack_capacity*acceptance_rate+(MIN(DAMAS_Daily!C168*market_share_C*acceptance_rate*stack_activation,power_mw*hours_per_day,capacity_mwh))*DAMAS_Daily!E168*activation_mult_C)&gt;=(power_mw*hours_per_day*damas_afrr_down*capacity_mult_C*stack_capacity*acceptance_rate+(MIN(DAMAS_Daily!D168*market_share_C*acceptance_rate*stack_activation,power_mw*hours_per_day,capacity_mwh))*DAMAS_Daily!F168*activation_mult_C),"aFRR+","aFRR-")</f>
        <v/>
      </c>
      <c r="D168" s="43">
        <f>IF(C168="aFRR+",damas_afrr_up*capacity_mult_C,damas_afrr_down*capacity_mult_C)</f>
        <v/>
      </c>
      <c r="E168" s="44">
        <f>acceptance_rate</f>
        <v/>
      </c>
      <c r="F168" s="23">
        <f>IF(C168="aFRR+",power_mw*hours_per_day*damas_afrr_up*capacity_mult_C*stack_capacity*acceptance_rate,power_mw*hours_per_day*damas_afrr_down*capacity_mult_C*stack_capacity*acceptance_rate)</f>
        <v/>
      </c>
      <c r="G168" s="42">
        <f>IF(C168="aFRR+",DAMAS_Daily!I168,DAMAS_Daily!J168)</f>
        <v/>
      </c>
      <c r="H168" s="43">
        <f>IF(C168="aFRR+",DAMAS_Daily!E168,DAMAS_Daily!F168)</f>
        <v/>
      </c>
      <c r="I168" s="43">
        <f>IF(C168="aFRR+",DAMAS_Daily!G168,DAMAS_Daily!H168)</f>
        <v/>
      </c>
      <c r="J168" s="45">
        <f>IF(C168="aFRR+",DAMAS_Daily!C168,DAMAS_Daily!D168)</f>
        <v/>
      </c>
      <c r="K168" s="45">
        <f>IF(C168="aFRR+",MIN(DAMAS_Daily!C168*market_share_C*acceptance_rate*stack_activation,power_mw*hours_per_day,capacity_mwh),MIN(DAMAS_Daily!D168*market_share_C*acceptance_rate*stack_activation,power_mw*hours_per_day,capacity_mwh))</f>
        <v/>
      </c>
      <c r="L168" s="42">
        <f>IF(K168&gt;=capacity_mwh-0.01,"yes","no")</f>
        <v/>
      </c>
      <c r="M168" s="23">
        <f>IF(C168="aFRR+",(MIN(DAMAS_Daily!C168*market_share_C*acceptance_rate*stack_activation,power_mw*hours_per_day,capacity_mwh))*DAMAS_Daily!E168*activation_mult_C,(MIN(DAMAS_Daily!D168*market_share_C*acceptance_rate*stack_activation,power_mw*hours_per_day,capacity_mwh))*DAMAS_Daily!F168*activation_mult_C)</f>
        <v/>
      </c>
      <c r="N168" s="24">
        <f>F168+M168</f>
        <v/>
      </c>
    </row>
    <row r="169">
      <c r="A169" s="41">
        <f>DAMAS_Daily!A169</f>
        <v/>
      </c>
      <c r="B169" s="42">
        <f>DAMAS_Daily!B169</f>
        <v/>
      </c>
      <c r="C169" s="42">
        <f>IF((power_mw*hours_per_day*damas_afrr_up*capacity_mult_C*stack_capacity*acceptance_rate+(MIN(DAMAS_Daily!C169*market_share_C*acceptance_rate*stack_activation,power_mw*hours_per_day,capacity_mwh))*DAMAS_Daily!E169*activation_mult_C)&gt;=(power_mw*hours_per_day*damas_afrr_down*capacity_mult_C*stack_capacity*acceptance_rate+(MIN(DAMAS_Daily!D169*market_share_C*acceptance_rate*stack_activation,power_mw*hours_per_day,capacity_mwh))*DAMAS_Daily!F169*activation_mult_C),"aFRR+","aFRR-")</f>
        <v/>
      </c>
      <c r="D169" s="43">
        <f>IF(C169="aFRR+",damas_afrr_up*capacity_mult_C,damas_afrr_down*capacity_mult_C)</f>
        <v/>
      </c>
      <c r="E169" s="44">
        <f>acceptance_rate</f>
        <v/>
      </c>
      <c r="F169" s="23">
        <f>IF(C169="aFRR+",power_mw*hours_per_day*damas_afrr_up*capacity_mult_C*stack_capacity*acceptance_rate,power_mw*hours_per_day*damas_afrr_down*capacity_mult_C*stack_capacity*acceptance_rate)</f>
        <v/>
      </c>
      <c r="G169" s="42">
        <f>IF(C169="aFRR+",DAMAS_Daily!I169,DAMAS_Daily!J169)</f>
        <v/>
      </c>
      <c r="H169" s="43">
        <f>IF(C169="aFRR+",DAMAS_Daily!E169,DAMAS_Daily!F169)</f>
        <v/>
      </c>
      <c r="I169" s="43">
        <f>IF(C169="aFRR+",DAMAS_Daily!G169,DAMAS_Daily!H169)</f>
        <v/>
      </c>
      <c r="J169" s="45">
        <f>IF(C169="aFRR+",DAMAS_Daily!C169,DAMAS_Daily!D169)</f>
        <v/>
      </c>
      <c r="K169" s="45">
        <f>IF(C169="aFRR+",MIN(DAMAS_Daily!C169*market_share_C*acceptance_rate*stack_activation,power_mw*hours_per_day,capacity_mwh),MIN(DAMAS_Daily!D169*market_share_C*acceptance_rate*stack_activation,power_mw*hours_per_day,capacity_mwh))</f>
        <v/>
      </c>
      <c r="L169" s="42">
        <f>IF(K169&gt;=capacity_mwh-0.01,"yes","no")</f>
        <v/>
      </c>
      <c r="M169" s="23">
        <f>IF(C169="aFRR+",(MIN(DAMAS_Daily!C169*market_share_C*acceptance_rate*stack_activation,power_mw*hours_per_day,capacity_mwh))*DAMAS_Daily!E169*activation_mult_C,(MIN(DAMAS_Daily!D169*market_share_C*acceptance_rate*stack_activation,power_mw*hours_per_day,capacity_mwh))*DAMAS_Daily!F169*activation_mult_C)</f>
        <v/>
      </c>
      <c r="N169" s="24">
        <f>F169+M169</f>
        <v/>
      </c>
    </row>
    <row r="170">
      <c r="A170" s="41">
        <f>DAMAS_Daily!A170</f>
        <v/>
      </c>
      <c r="B170" s="42">
        <f>DAMAS_Daily!B170</f>
        <v/>
      </c>
      <c r="C170" s="42">
        <f>IF((power_mw*hours_per_day*damas_afrr_up*capacity_mult_C*stack_capacity*acceptance_rate+(MIN(DAMAS_Daily!C170*market_share_C*acceptance_rate*stack_activation,power_mw*hours_per_day,capacity_mwh))*DAMAS_Daily!E170*activation_mult_C)&gt;=(power_mw*hours_per_day*damas_afrr_down*capacity_mult_C*stack_capacity*acceptance_rate+(MIN(DAMAS_Daily!D170*market_share_C*acceptance_rate*stack_activation,power_mw*hours_per_day,capacity_mwh))*DAMAS_Daily!F170*activation_mult_C),"aFRR+","aFRR-")</f>
        <v/>
      </c>
      <c r="D170" s="43">
        <f>IF(C170="aFRR+",damas_afrr_up*capacity_mult_C,damas_afrr_down*capacity_mult_C)</f>
        <v/>
      </c>
      <c r="E170" s="44">
        <f>acceptance_rate</f>
        <v/>
      </c>
      <c r="F170" s="23">
        <f>IF(C170="aFRR+",power_mw*hours_per_day*damas_afrr_up*capacity_mult_C*stack_capacity*acceptance_rate,power_mw*hours_per_day*damas_afrr_down*capacity_mult_C*stack_capacity*acceptance_rate)</f>
        <v/>
      </c>
      <c r="G170" s="42">
        <f>IF(C170="aFRR+",DAMAS_Daily!I170,DAMAS_Daily!J170)</f>
        <v/>
      </c>
      <c r="H170" s="43">
        <f>IF(C170="aFRR+",DAMAS_Daily!E170,DAMAS_Daily!F170)</f>
        <v/>
      </c>
      <c r="I170" s="43">
        <f>IF(C170="aFRR+",DAMAS_Daily!G170,DAMAS_Daily!H170)</f>
        <v/>
      </c>
      <c r="J170" s="45">
        <f>IF(C170="aFRR+",DAMAS_Daily!C170,DAMAS_Daily!D170)</f>
        <v/>
      </c>
      <c r="K170" s="45">
        <f>IF(C170="aFRR+",MIN(DAMAS_Daily!C170*market_share_C*acceptance_rate*stack_activation,power_mw*hours_per_day,capacity_mwh),MIN(DAMAS_Daily!D170*market_share_C*acceptance_rate*stack_activation,power_mw*hours_per_day,capacity_mwh))</f>
        <v/>
      </c>
      <c r="L170" s="42">
        <f>IF(K170&gt;=capacity_mwh-0.01,"yes","no")</f>
        <v/>
      </c>
      <c r="M170" s="23">
        <f>IF(C170="aFRR+",(MIN(DAMAS_Daily!C170*market_share_C*acceptance_rate*stack_activation,power_mw*hours_per_day,capacity_mwh))*DAMAS_Daily!E170*activation_mult_C,(MIN(DAMAS_Daily!D170*market_share_C*acceptance_rate*stack_activation,power_mw*hours_per_day,capacity_mwh))*DAMAS_Daily!F170*activation_mult_C)</f>
        <v/>
      </c>
      <c r="N170" s="24">
        <f>F170+M170</f>
        <v/>
      </c>
    </row>
    <row r="171">
      <c r="A171" s="41">
        <f>DAMAS_Daily!A171</f>
        <v/>
      </c>
      <c r="B171" s="42">
        <f>DAMAS_Daily!B171</f>
        <v/>
      </c>
      <c r="C171" s="42">
        <f>IF((power_mw*hours_per_day*damas_afrr_up*capacity_mult_C*stack_capacity*acceptance_rate+(MIN(DAMAS_Daily!C171*market_share_C*acceptance_rate*stack_activation,power_mw*hours_per_day,capacity_mwh))*DAMAS_Daily!E171*activation_mult_C)&gt;=(power_mw*hours_per_day*damas_afrr_down*capacity_mult_C*stack_capacity*acceptance_rate+(MIN(DAMAS_Daily!D171*market_share_C*acceptance_rate*stack_activation,power_mw*hours_per_day,capacity_mwh))*DAMAS_Daily!F171*activation_mult_C),"aFRR+","aFRR-")</f>
        <v/>
      </c>
      <c r="D171" s="43">
        <f>IF(C171="aFRR+",damas_afrr_up*capacity_mult_C,damas_afrr_down*capacity_mult_C)</f>
        <v/>
      </c>
      <c r="E171" s="44">
        <f>acceptance_rate</f>
        <v/>
      </c>
      <c r="F171" s="23">
        <f>IF(C171="aFRR+",power_mw*hours_per_day*damas_afrr_up*capacity_mult_C*stack_capacity*acceptance_rate,power_mw*hours_per_day*damas_afrr_down*capacity_mult_C*stack_capacity*acceptance_rate)</f>
        <v/>
      </c>
      <c r="G171" s="42">
        <f>IF(C171="aFRR+",DAMAS_Daily!I171,DAMAS_Daily!J171)</f>
        <v/>
      </c>
      <c r="H171" s="43">
        <f>IF(C171="aFRR+",DAMAS_Daily!E171,DAMAS_Daily!F171)</f>
        <v/>
      </c>
      <c r="I171" s="43">
        <f>IF(C171="aFRR+",DAMAS_Daily!G171,DAMAS_Daily!H171)</f>
        <v/>
      </c>
      <c r="J171" s="45">
        <f>IF(C171="aFRR+",DAMAS_Daily!C171,DAMAS_Daily!D171)</f>
        <v/>
      </c>
      <c r="K171" s="45">
        <f>IF(C171="aFRR+",MIN(DAMAS_Daily!C171*market_share_C*acceptance_rate*stack_activation,power_mw*hours_per_day,capacity_mwh),MIN(DAMAS_Daily!D171*market_share_C*acceptance_rate*stack_activation,power_mw*hours_per_day,capacity_mwh))</f>
        <v/>
      </c>
      <c r="L171" s="42">
        <f>IF(K171&gt;=capacity_mwh-0.01,"yes","no")</f>
        <v/>
      </c>
      <c r="M171" s="23">
        <f>IF(C171="aFRR+",(MIN(DAMAS_Daily!C171*market_share_C*acceptance_rate*stack_activation,power_mw*hours_per_day,capacity_mwh))*DAMAS_Daily!E171*activation_mult_C,(MIN(DAMAS_Daily!D171*market_share_C*acceptance_rate*stack_activation,power_mw*hours_per_day,capacity_mwh))*DAMAS_Daily!F171*activation_mult_C)</f>
        <v/>
      </c>
      <c r="N171" s="24">
        <f>F171+M171</f>
        <v/>
      </c>
    </row>
    <row r="172">
      <c r="A172" s="41">
        <f>DAMAS_Daily!A172</f>
        <v/>
      </c>
      <c r="B172" s="42">
        <f>DAMAS_Daily!B172</f>
        <v/>
      </c>
      <c r="C172" s="42">
        <f>IF((power_mw*hours_per_day*damas_afrr_up*capacity_mult_C*stack_capacity*acceptance_rate+(MIN(DAMAS_Daily!C172*market_share_C*acceptance_rate*stack_activation,power_mw*hours_per_day,capacity_mwh))*DAMAS_Daily!E172*activation_mult_C)&gt;=(power_mw*hours_per_day*damas_afrr_down*capacity_mult_C*stack_capacity*acceptance_rate+(MIN(DAMAS_Daily!D172*market_share_C*acceptance_rate*stack_activation,power_mw*hours_per_day,capacity_mwh))*DAMAS_Daily!F172*activation_mult_C),"aFRR+","aFRR-")</f>
        <v/>
      </c>
      <c r="D172" s="43">
        <f>IF(C172="aFRR+",damas_afrr_up*capacity_mult_C,damas_afrr_down*capacity_mult_C)</f>
        <v/>
      </c>
      <c r="E172" s="44">
        <f>acceptance_rate</f>
        <v/>
      </c>
      <c r="F172" s="23">
        <f>IF(C172="aFRR+",power_mw*hours_per_day*damas_afrr_up*capacity_mult_C*stack_capacity*acceptance_rate,power_mw*hours_per_day*damas_afrr_down*capacity_mult_C*stack_capacity*acceptance_rate)</f>
        <v/>
      </c>
      <c r="G172" s="42">
        <f>IF(C172="aFRR+",DAMAS_Daily!I172,DAMAS_Daily!J172)</f>
        <v/>
      </c>
      <c r="H172" s="43">
        <f>IF(C172="aFRR+",DAMAS_Daily!E172,DAMAS_Daily!F172)</f>
        <v/>
      </c>
      <c r="I172" s="43">
        <f>IF(C172="aFRR+",DAMAS_Daily!G172,DAMAS_Daily!H172)</f>
        <v/>
      </c>
      <c r="J172" s="45">
        <f>IF(C172="aFRR+",DAMAS_Daily!C172,DAMAS_Daily!D172)</f>
        <v/>
      </c>
      <c r="K172" s="45">
        <f>IF(C172="aFRR+",MIN(DAMAS_Daily!C172*market_share_C*acceptance_rate*stack_activation,power_mw*hours_per_day,capacity_mwh),MIN(DAMAS_Daily!D172*market_share_C*acceptance_rate*stack_activation,power_mw*hours_per_day,capacity_mwh))</f>
        <v/>
      </c>
      <c r="L172" s="42">
        <f>IF(K172&gt;=capacity_mwh-0.01,"yes","no")</f>
        <v/>
      </c>
      <c r="M172" s="23">
        <f>IF(C172="aFRR+",(MIN(DAMAS_Daily!C172*market_share_C*acceptance_rate*stack_activation,power_mw*hours_per_day,capacity_mwh))*DAMAS_Daily!E172*activation_mult_C,(MIN(DAMAS_Daily!D172*market_share_C*acceptance_rate*stack_activation,power_mw*hours_per_day,capacity_mwh))*DAMAS_Daily!F172*activation_mult_C)</f>
        <v/>
      </c>
      <c r="N172" s="24">
        <f>F172+M172</f>
        <v/>
      </c>
    </row>
    <row r="173">
      <c r="A173" s="41">
        <f>DAMAS_Daily!A173</f>
        <v/>
      </c>
      <c r="B173" s="42">
        <f>DAMAS_Daily!B173</f>
        <v/>
      </c>
      <c r="C173" s="42">
        <f>IF((power_mw*hours_per_day*damas_afrr_up*capacity_mult_C*stack_capacity*acceptance_rate+(MIN(DAMAS_Daily!C173*market_share_C*acceptance_rate*stack_activation,power_mw*hours_per_day,capacity_mwh))*DAMAS_Daily!E173*activation_mult_C)&gt;=(power_mw*hours_per_day*damas_afrr_down*capacity_mult_C*stack_capacity*acceptance_rate+(MIN(DAMAS_Daily!D173*market_share_C*acceptance_rate*stack_activation,power_mw*hours_per_day,capacity_mwh))*DAMAS_Daily!F173*activation_mult_C),"aFRR+","aFRR-")</f>
        <v/>
      </c>
      <c r="D173" s="43">
        <f>IF(C173="aFRR+",damas_afrr_up*capacity_mult_C,damas_afrr_down*capacity_mult_C)</f>
        <v/>
      </c>
      <c r="E173" s="44">
        <f>acceptance_rate</f>
        <v/>
      </c>
      <c r="F173" s="23">
        <f>IF(C173="aFRR+",power_mw*hours_per_day*damas_afrr_up*capacity_mult_C*stack_capacity*acceptance_rate,power_mw*hours_per_day*damas_afrr_down*capacity_mult_C*stack_capacity*acceptance_rate)</f>
        <v/>
      </c>
      <c r="G173" s="42">
        <f>IF(C173="aFRR+",DAMAS_Daily!I173,DAMAS_Daily!J173)</f>
        <v/>
      </c>
      <c r="H173" s="43">
        <f>IF(C173="aFRR+",DAMAS_Daily!E173,DAMAS_Daily!F173)</f>
        <v/>
      </c>
      <c r="I173" s="43">
        <f>IF(C173="aFRR+",DAMAS_Daily!G173,DAMAS_Daily!H173)</f>
        <v/>
      </c>
      <c r="J173" s="45">
        <f>IF(C173="aFRR+",DAMAS_Daily!C173,DAMAS_Daily!D173)</f>
        <v/>
      </c>
      <c r="K173" s="45">
        <f>IF(C173="aFRR+",MIN(DAMAS_Daily!C173*market_share_C*acceptance_rate*stack_activation,power_mw*hours_per_day,capacity_mwh),MIN(DAMAS_Daily!D173*market_share_C*acceptance_rate*stack_activation,power_mw*hours_per_day,capacity_mwh))</f>
        <v/>
      </c>
      <c r="L173" s="42">
        <f>IF(K173&gt;=capacity_mwh-0.01,"yes","no")</f>
        <v/>
      </c>
      <c r="M173" s="23">
        <f>IF(C173="aFRR+",(MIN(DAMAS_Daily!C173*market_share_C*acceptance_rate*stack_activation,power_mw*hours_per_day,capacity_mwh))*DAMAS_Daily!E173*activation_mult_C,(MIN(DAMAS_Daily!D173*market_share_C*acceptance_rate*stack_activation,power_mw*hours_per_day,capacity_mwh))*DAMAS_Daily!F173*activation_mult_C)</f>
        <v/>
      </c>
      <c r="N173" s="24">
        <f>F173+M173</f>
        <v/>
      </c>
    </row>
    <row r="174">
      <c r="A174" s="41">
        <f>DAMAS_Daily!A174</f>
        <v/>
      </c>
      <c r="B174" s="42">
        <f>DAMAS_Daily!B174</f>
        <v/>
      </c>
      <c r="C174" s="42">
        <f>IF((power_mw*hours_per_day*damas_afrr_up*capacity_mult_C*stack_capacity*acceptance_rate+(MIN(DAMAS_Daily!C174*market_share_C*acceptance_rate*stack_activation,power_mw*hours_per_day,capacity_mwh))*DAMAS_Daily!E174*activation_mult_C)&gt;=(power_mw*hours_per_day*damas_afrr_down*capacity_mult_C*stack_capacity*acceptance_rate+(MIN(DAMAS_Daily!D174*market_share_C*acceptance_rate*stack_activation,power_mw*hours_per_day,capacity_mwh))*DAMAS_Daily!F174*activation_mult_C),"aFRR+","aFRR-")</f>
        <v/>
      </c>
      <c r="D174" s="43">
        <f>IF(C174="aFRR+",damas_afrr_up*capacity_mult_C,damas_afrr_down*capacity_mult_C)</f>
        <v/>
      </c>
      <c r="E174" s="44">
        <f>acceptance_rate</f>
        <v/>
      </c>
      <c r="F174" s="23">
        <f>IF(C174="aFRR+",power_mw*hours_per_day*damas_afrr_up*capacity_mult_C*stack_capacity*acceptance_rate,power_mw*hours_per_day*damas_afrr_down*capacity_mult_C*stack_capacity*acceptance_rate)</f>
        <v/>
      </c>
      <c r="G174" s="42">
        <f>IF(C174="aFRR+",DAMAS_Daily!I174,DAMAS_Daily!J174)</f>
        <v/>
      </c>
      <c r="H174" s="43">
        <f>IF(C174="aFRR+",DAMAS_Daily!E174,DAMAS_Daily!F174)</f>
        <v/>
      </c>
      <c r="I174" s="43">
        <f>IF(C174="aFRR+",DAMAS_Daily!G174,DAMAS_Daily!H174)</f>
        <v/>
      </c>
      <c r="J174" s="45">
        <f>IF(C174="aFRR+",DAMAS_Daily!C174,DAMAS_Daily!D174)</f>
        <v/>
      </c>
      <c r="K174" s="45">
        <f>IF(C174="aFRR+",MIN(DAMAS_Daily!C174*market_share_C*acceptance_rate*stack_activation,power_mw*hours_per_day,capacity_mwh),MIN(DAMAS_Daily!D174*market_share_C*acceptance_rate*stack_activation,power_mw*hours_per_day,capacity_mwh))</f>
        <v/>
      </c>
      <c r="L174" s="42">
        <f>IF(K174&gt;=capacity_mwh-0.01,"yes","no")</f>
        <v/>
      </c>
      <c r="M174" s="23">
        <f>IF(C174="aFRR+",(MIN(DAMAS_Daily!C174*market_share_C*acceptance_rate*stack_activation,power_mw*hours_per_day,capacity_mwh))*DAMAS_Daily!E174*activation_mult_C,(MIN(DAMAS_Daily!D174*market_share_C*acceptance_rate*stack_activation,power_mw*hours_per_day,capacity_mwh))*DAMAS_Daily!F174*activation_mult_C)</f>
        <v/>
      </c>
      <c r="N174" s="24">
        <f>F174+M174</f>
        <v/>
      </c>
    </row>
    <row r="175">
      <c r="A175" s="41">
        <f>DAMAS_Daily!A175</f>
        <v/>
      </c>
      <c r="B175" s="42">
        <f>DAMAS_Daily!B175</f>
        <v/>
      </c>
      <c r="C175" s="42">
        <f>IF((power_mw*hours_per_day*damas_afrr_up*capacity_mult_C*stack_capacity*acceptance_rate+(MIN(DAMAS_Daily!C175*market_share_C*acceptance_rate*stack_activation,power_mw*hours_per_day,capacity_mwh))*DAMAS_Daily!E175*activation_mult_C)&gt;=(power_mw*hours_per_day*damas_afrr_down*capacity_mult_C*stack_capacity*acceptance_rate+(MIN(DAMAS_Daily!D175*market_share_C*acceptance_rate*stack_activation,power_mw*hours_per_day,capacity_mwh))*DAMAS_Daily!F175*activation_mult_C),"aFRR+","aFRR-")</f>
        <v/>
      </c>
      <c r="D175" s="43">
        <f>IF(C175="aFRR+",damas_afrr_up*capacity_mult_C,damas_afrr_down*capacity_mult_C)</f>
        <v/>
      </c>
      <c r="E175" s="44">
        <f>acceptance_rate</f>
        <v/>
      </c>
      <c r="F175" s="23">
        <f>IF(C175="aFRR+",power_mw*hours_per_day*damas_afrr_up*capacity_mult_C*stack_capacity*acceptance_rate,power_mw*hours_per_day*damas_afrr_down*capacity_mult_C*stack_capacity*acceptance_rate)</f>
        <v/>
      </c>
      <c r="G175" s="42">
        <f>IF(C175="aFRR+",DAMAS_Daily!I175,DAMAS_Daily!J175)</f>
        <v/>
      </c>
      <c r="H175" s="43">
        <f>IF(C175="aFRR+",DAMAS_Daily!E175,DAMAS_Daily!F175)</f>
        <v/>
      </c>
      <c r="I175" s="43">
        <f>IF(C175="aFRR+",DAMAS_Daily!G175,DAMAS_Daily!H175)</f>
        <v/>
      </c>
      <c r="J175" s="45">
        <f>IF(C175="aFRR+",DAMAS_Daily!C175,DAMAS_Daily!D175)</f>
        <v/>
      </c>
      <c r="K175" s="45">
        <f>IF(C175="aFRR+",MIN(DAMAS_Daily!C175*market_share_C*acceptance_rate*stack_activation,power_mw*hours_per_day,capacity_mwh),MIN(DAMAS_Daily!D175*market_share_C*acceptance_rate*stack_activation,power_mw*hours_per_day,capacity_mwh))</f>
        <v/>
      </c>
      <c r="L175" s="42">
        <f>IF(K175&gt;=capacity_mwh-0.01,"yes","no")</f>
        <v/>
      </c>
      <c r="M175" s="23">
        <f>IF(C175="aFRR+",(MIN(DAMAS_Daily!C175*market_share_C*acceptance_rate*stack_activation,power_mw*hours_per_day,capacity_mwh))*DAMAS_Daily!E175*activation_mult_C,(MIN(DAMAS_Daily!D175*market_share_C*acceptance_rate*stack_activation,power_mw*hours_per_day,capacity_mwh))*DAMAS_Daily!F175*activation_mult_C)</f>
        <v/>
      </c>
      <c r="N175" s="24">
        <f>F175+M175</f>
        <v/>
      </c>
    </row>
    <row r="176">
      <c r="A176" s="41">
        <f>DAMAS_Daily!A176</f>
        <v/>
      </c>
      <c r="B176" s="42">
        <f>DAMAS_Daily!B176</f>
        <v/>
      </c>
      <c r="C176" s="42">
        <f>IF((power_mw*hours_per_day*damas_afrr_up*capacity_mult_C*stack_capacity*acceptance_rate+(MIN(DAMAS_Daily!C176*market_share_C*acceptance_rate*stack_activation,power_mw*hours_per_day,capacity_mwh))*DAMAS_Daily!E176*activation_mult_C)&gt;=(power_mw*hours_per_day*damas_afrr_down*capacity_mult_C*stack_capacity*acceptance_rate+(MIN(DAMAS_Daily!D176*market_share_C*acceptance_rate*stack_activation,power_mw*hours_per_day,capacity_mwh))*DAMAS_Daily!F176*activation_mult_C),"aFRR+","aFRR-")</f>
        <v/>
      </c>
      <c r="D176" s="43">
        <f>IF(C176="aFRR+",damas_afrr_up*capacity_mult_C,damas_afrr_down*capacity_mult_C)</f>
        <v/>
      </c>
      <c r="E176" s="44">
        <f>acceptance_rate</f>
        <v/>
      </c>
      <c r="F176" s="23">
        <f>IF(C176="aFRR+",power_mw*hours_per_day*damas_afrr_up*capacity_mult_C*stack_capacity*acceptance_rate,power_mw*hours_per_day*damas_afrr_down*capacity_mult_C*stack_capacity*acceptance_rate)</f>
        <v/>
      </c>
      <c r="G176" s="42">
        <f>IF(C176="aFRR+",DAMAS_Daily!I176,DAMAS_Daily!J176)</f>
        <v/>
      </c>
      <c r="H176" s="43">
        <f>IF(C176="aFRR+",DAMAS_Daily!E176,DAMAS_Daily!F176)</f>
        <v/>
      </c>
      <c r="I176" s="43">
        <f>IF(C176="aFRR+",DAMAS_Daily!G176,DAMAS_Daily!H176)</f>
        <v/>
      </c>
      <c r="J176" s="45">
        <f>IF(C176="aFRR+",DAMAS_Daily!C176,DAMAS_Daily!D176)</f>
        <v/>
      </c>
      <c r="K176" s="45">
        <f>IF(C176="aFRR+",MIN(DAMAS_Daily!C176*market_share_C*acceptance_rate*stack_activation,power_mw*hours_per_day,capacity_mwh),MIN(DAMAS_Daily!D176*market_share_C*acceptance_rate*stack_activation,power_mw*hours_per_day,capacity_mwh))</f>
        <v/>
      </c>
      <c r="L176" s="42">
        <f>IF(K176&gt;=capacity_mwh-0.01,"yes","no")</f>
        <v/>
      </c>
      <c r="M176" s="23">
        <f>IF(C176="aFRR+",(MIN(DAMAS_Daily!C176*market_share_C*acceptance_rate*stack_activation,power_mw*hours_per_day,capacity_mwh))*DAMAS_Daily!E176*activation_mult_C,(MIN(DAMAS_Daily!D176*market_share_C*acceptance_rate*stack_activation,power_mw*hours_per_day,capacity_mwh))*DAMAS_Daily!F176*activation_mult_C)</f>
        <v/>
      </c>
      <c r="N176" s="24">
        <f>F176+M176</f>
        <v/>
      </c>
    </row>
    <row r="177">
      <c r="A177" s="41">
        <f>DAMAS_Daily!A177</f>
        <v/>
      </c>
      <c r="B177" s="42">
        <f>DAMAS_Daily!B177</f>
        <v/>
      </c>
      <c r="C177" s="42">
        <f>IF((power_mw*hours_per_day*damas_afrr_up*capacity_mult_C*stack_capacity*acceptance_rate+(MIN(DAMAS_Daily!C177*market_share_C*acceptance_rate*stack_activation,power_mw*hours_per_day,capacity_mwh))*DAMAS_Daily!E177*activation_mult_C)&gt;=(power_mw*hours_per_day*damas_afrr_down*capacity_mult_C*stack_capacity*acceptance_rate+(MIN(DAMAS_Daily!D177*market_share_C*acceptance_rate*stack_activation,power_mw*hours_per_day,capacity_mwh))*DAMAS_Daily!F177*activation_mult_C),"aFRR+","aFRR-")</f>
        <v/>
      </c>
      <c r="D177" s="43">
        <f>IF(C177="aFRR+",damas_afrr_up*capacity_mult_C,damas_afrr_down*capacity_mult_C)</f>
        <v/>
      </c>
      <c r="E177" s="44">
        <f>acceptance_rate</f>
        <v/>
      </c>
      <c r="F177" s="23">
        <f>IF(C177="aFRR+",power_mw*hours_per_day*damas_afrr_up*capacity_mult_C*stack_capacity*acceptance_rate,power_mw*hours_per_day*damas_afrr_down*capacity_mult_C*stack_capacity*acceptance_rate)</f>
        <v/>
      </c>
      <c r="G177" s="42">
        <f>IF(C177="aFRR+",DAMAS_Daily!I177,DAMAS_Daily!J177)</f>
        <v/>
      </c>
      <c r="H177" s="43">
        <f>IF(C177="aFRR+",DAMAS_Daily!E177,DAMAS_Daily!F177)</f>
        <v/>
      </c>
      <c r="I177" s="43">
        <f>IF(C177="aFRR+",DAMAS_Daily!G177,DAMAS_Daily!H177)</f>
        <v/>
      </c>
      <c r="J177" s="45">
        <f>IF(C177="aFRR+",DAMAS_Daily!C177,DAMAS_Daily!D177)</f>
        <v/>
      </c>
      <c r="K177" s="45">
        <f>IF(C177="aFRR+",MIN(DAMAS_Daily!C177*market_share_C*acceptance_rate*stack_activation,power_mw*hours_per_day,capacity_mwh),MIN(DAMAS_Daily!D177*market_share_C*acceptance_rate*stack_activation,power_mw*hours_per_day,capacity_mwh))</f>
        <v/>
      </c>
      <c r="L177" s="42">
        <f>IF(K177&gt;=capacity_mwh-0.01,"yes","no")</f>
        <v/>
      </c>
      <c r="M177" s="23">
        <f>IF(C177="aFRR+",(MIN(DAMAS_Daily!C177*market_share_C*acceptance_rate*stack_activation,power_mw*hours_per_day,capacity_mwh))*DAMAS_Daily!E177*activation_mult_C,(MIN(DAMAS_Daily!D177*market_share_C*acceptance_rate*stack_activation,power_mw*hours_per_day,capacity_mwh))*DAMAS_Daily!F177*activation_mult_C)</f>
        <v/>
      </c>
      <c r="N177" s="24">
        <f>F177+M177</f>
        <v/>
      </c>
    </row>
    <row r="178">
      <c r="A178" s="41">
        <f>DAMAS_Daily!A178</f>
        <v/>
      </c>
      <c r="B178" s="42">
        <f>DAMAS_Daily!B178</f>
        <v/>
      </c>
      <c r="C178" s="42">
        <f>IF((power_mw*hours_per_day*damas_afrr_up*capacity_mult_C*stack_capacity*acceptance_rate+(MIN(DAMAS_Daily!C178*market_share_C*acceptance_rate*stack_activation,power_mw*hours_per_day,capacity_mwh))*DAMAS_Daily!E178*activation_mult_C)&gt;=(power_mw*hours_per_day*damas_afrr_down*capacity_mult_C*stack_capacity*acceptance_rate+(MIN(DAMAS_Daily!D178*market_share_C*acceptance_rate*stack_activation,power_mw*hours_per_day,capacity_mwh))*DAMAS_Daily!F178*activation_mult_C),"aFRR+","aFRR-")</f>
        <v/>
      </c>
      <c r="D178" s="43">
        <f>IF(C178="aFRR+",damas_afrr_up*capacity_mult_C,damas_afrr_down*capacity_mult_C)</f>
        <v/>
      </c>
      <c r="E178" s="44">
        <f>acceptance_rate</f>
        <v/>
      </c>
      <c r="F178" s="23">
        <f>IF(C178="aFRR+",power_mw*hours_per_day*damas_afrr_up*capacity_mult_C*stack_capacity*acceptance_rate,power_mw*hours_per_day*damas_afrr_down*capacity_mult_C*stack_capacity*acceptance_rate)</f>
        <v/>
      </c>
      <c r="G178" s="42">
        <f>IF(C178="aFRR+",DAMAS_Daily!I178,DAMAS_Daily!J178)</f>
        <v/>
      </c>
      <c r="H178" s="43">
        <f>IF(C178="aFRR+",DAMAS_Daily!E178,DAMAS_Daily!F178)</f>
        <v/>
      </c>
      <c r="I178" s="43">
        <f>IF(C178="aFRR+",DAMAS_Daily!G178,DAMAS_Daily!H178)</f>
        <v/>
      </c>
      <c r="J178" s="45">
        <f>IF(C178="aFRR+",DAMAS_Daily!C178,DAMAS_Daily!D178)</f>
        <v/>
      </c>
      <c r="K178" s="45">
        <f>IF(C178="aFRR+",MIN(DAMAS_Daily!C178*market_share_C*acceptance_rate*stack_activation,power_mw*hours_per_day,capacity_mwh),MIN(DAMAS_Daily!D178*market_share_C*acceptance_rate*stack_activation,power_mw*hours_per_day,capacity_mwh))</f>
        <v/>
      </c>
      <c r="L178" s="42">
        <f>IF(K178&gt;=capacity_mwh-0.01,"yes","no")</f>
        <v/>
      </c>
      <c r="M178" s="23">
        <f>IF(C178="aFRR+",(MIN(DAMAS_Daily!C178*market_share_C*acceptance_rate*stack_activation,power_mw*hours_per_day,capacity_mwh))*DAMAS_Daily!E178*activation_mult_C,(MIN(DAMAS_Daily!D178*market_share_C*acceptance_rate*stack_activation,power_mw*hours_per_day,capacity_mwh))*DAMAS_Daily!F178*activation_mult_C)</f>
        <v/>
      </c>
      <c r="N178" s="24">
        <f>F178+M178</f>
        <v/>
      </c>
    </row>
    <row r="179">
      <c r="A179" s="41">
        <f>DAMAS_Daily!A179</f>
        <v/>
      </c>
      <c r="B179" s="42">
        <f>DAMAS_Daily!B179</f>
        <v/>
      </c>
      <c r="C179" s="42">
        <f>IF((power_mw*hours_per_day*damas_afrr_up*capacity_mult_C*stack_capacity*acceptance_rate+(MIN(DAMAS_Daily!C179*market_share_C*acceptance_rate*stack_activation,power_mw*hours_per_day,capacity_mwh))*DAMAS_Daily!E179*activation_mult_C)&gt;=(power_mw*hours_per_day*damas_afrr_down*capacity_mult_C*stack_capacity*acceptance_rate+(MIN(DAMAS_Daily!D179*market_share_C*acceptance_rate*stack_activation,power_mw*hours_per_day,capacity_mwh))*DAMAS_Daily!F179*activation_mult_C),"aFRR+","aFRR-")</f>
        <v/>
      </c>
      <c r="D179" s="43">
        <f>IF(C179="aFRR+",damas_afrr_up*capacity_mult_C,damas_afrr_down*capacity_mult_C)</f>
        <v/>
      </c>
      <c r="E179" s="44">
        <f>acceptance_rate</f>
        <v/>
      </c>
      <c r="F179" s="23">
        <f>IF(C179="aFRR+",power_mw*hours_per_day*damas_afrr_up*capacity_mult_C*stack_capacity*acceptance_rate,power_mw*hours_per_day*damas_afrr_down*capacity_mult_C*stack_capacity*acceptance_rate)</f>
        <v/>
      </c>
      <c r="G179" s="42">
        <f>IF(C179="aFRR+",DAMAS_Daily!I179,DAMAS_Daily!J179)</f>
        <v/>
      </c>
      <c r="H179" s="43">
        <f>IF(C179="aFRR+",DAMAS_Daily!E179,DAMAS_Daily!F179)</f>
        <v/>
      </c>
      <c r="I179" s="43">
        <f>IF(C179="aFRR+",DAMAS_Daily!G179,DAMAS_Daily!H179)</f>
        <v/>
      </c>
      <c r="J179" s="45">
        <f>IF(C179="aFRR+",DAMAS_Daily!C179,DAMAS_Daily!D179)</f>
        <v/>
      </c>
      <c r="K179" s="45">
        <f>IF(C179="aFRR+",MIN(DAMAS_Daily!C179*market_share_C*acceptance_rate*stack_activation,power_mw*hours_per_day,capacity_mwh),MIN(DAMAS_Daily!D179*market_share_C*acceptance_rate*stack_activation,power_mw*hours_per_day,capacity_mwh))</f>
        <v/>
      </c>
      <c r="L179" s="42">
        <f>IF(K179&gt;=capacity_mwh-0.01,"yes","no")</f>
        <v/>
      </c>
      <c r="M179" s="23">
        <f>IF(C179="aFRR+",(MIN(DAMAS_Daily!C179*market_share_C*acceptance_rate*stack_activation,power_mw*hours_per_day,capacity_mwh))*DAMAS_Daily!E179*activation_mult_C,(MIN(DAMAS_Daily!D179*market_share_C*acceptance_rate*stack_activation,power_mw*hours_per_day,capacity_mwh))*DAMAS_Daily!F179*activation_mult_C)</f>
        <v/>
      </c>
      <c r="N179" s="24">
        <f>F179+M179</f>
        <v/>
      </c>
    </row>
    <row r="180">
      <c r="A180" s="41">
        <f>DAMAS_Daily!A180</f>
        <v/>
      </c>
      <c r="B180" s="42">
        <f>DAMAS_Daily!B180</f>
        <v/>
      </c>
      <c r="C180" s="42">
        <f>IF((power_mw*hours_per_day*damas_afrr_up*capacity_mult_C*stack_capacity*acceptance_rate+(MIN(DAMAS_Daily!C180*market_share_C*acceptance_rate*stack_activation,power_mw*hours_per_day,capacity_mwh))*DAMAS_Daily!E180*activation_mult_C)&gt;=(power_mw*hours_per_day*damas_afrr_down*capacity_mult_C*stack_capacity*acceptance_rate+(MIN(DAMAS_Daily!D180*market_share_C*acceptance_rate*stack_activation,power_mw*hours_per_day,capacity_mwh))*DAMAS_Daily!F180*activation_mult_C),"aFRR+","aFRR-")</f>
        <v/>
      </c>
      <c r="D180" s="43">
        <f>IF(C180="aFRR+",damas_afrr_up*capacity_mult_C,damas_afrr_down*capacity_mult_C)</f>
        <v/>
      </c>
      <c r="E180" s="44">
        <f>acceptance_rate</f>
        <v/>
      </c>
      <c r="F180" s="23">
        <f>IF(C180="aFRR+",power_mw*hours_per_day*damas_afrr_up*capacity_mult_C*stack_capacity*acceptance_rate,power_mw*hours_per_day*damas_afrr_down*capacity_mult_C*stack_capacity*acceptance_rate)</f>
        <v/>
      </c>
      <c r="G180" s="42">
        <f>IF(C180="aFRR+",DAMAS_Daily!I180,DAMAS_Daily!J180)</f>
        <v/>
      </c>
      <c r="H180" s="43">
        <f>IF(C180="aFRR+",DAMAS_Daily!E180,DAMAS_Daily!F180)</f>
        <v/>
      </c>
      <c r="I180" s="43">
        <f>IF(C180="aFRR+",DAMAS_Daily!G180,DAMAS_Daily!H180)</f>
        <v/>
      </c>
      <c r="J180" s="45">
        <f>IF(C180="aFRR+",DAMAS_Daily!C180,DAMAS_Daily!D180)</f>
        <v/>
      </c>
      <c r="K180" s="45">
        <f>IF(C180="aFRR+",MIN(DAMAS_Daily!C180*market_share_C*acceptance_rate*stack_activation,power_mw*hours_per_day,capacity_mwh),MIN(DAMAS_Daily!D180*market_share_C*acceptance_rate*stack_activation,power_mw*hours_per_day,capacity_mwh))</f>
        <v/>
      </c>
      <c r="L180" s="42">
        <f>IF(K180&gt;=capacity_mwh-0.01,"yes","no")</f>
        <v/>
      </c>
      <c r="M180" s="23">
        <f>IF(C180="aFRR+",(MIN(DAMAS_Daily!C180*market_share_C*acceptance_rate*stack_activation,power_mw*hours_per_day,capacity_mwh))*DAMAS_Daily!E180*activation_mult_C,(MIN(DAMAS_Daily!D180*market_share_C*acceptance_rate*stack_activation,power_mw*hours_per_day,capacity_mwh))*DAMAS_Daily!F180*activation_mult_C)</f>
        <v/>
      </c>
      <c r="N180" s="24">
        <f>F180+M180</f>
        <v/>
      </c>
    </row>
    <row r="181">
      <c r="A181" s="41">
        <f>DAMAS_Daily!A181</f>
        <v/>
      </c>
      <c r="B181" s="42">
        <f>DAMAS_Daily!B181</f>
        <v/>
      </c>
      <c r="C181" s="42">
        <f>IF((power_mw*hours_per_day*damas_afrr_up*capacity_mult_C*stack_capacity*acceptance_rate+(MIN(DAMAS_Daily!C181*market_share_C*acceptance_rate*stack_activation,power_mw*hours_per_day,capacity_mwh))*DAMAS_Daily!E181*activation_mult_C)&gt;=(power_mw*hours_per_day*damas_afrr_down*capacity_mult_C*stack_capacity*acceptance_rate+(MIN(DAMAS_Daily!D181*market_share_C*acceptance_rate*stack_activation,power_mw*hours_per_day,capacity_mwh))*DAMAS_Daily!F181*activation_mult_C),"aFRR+","aFRR-")</f>
        <v/>
      </c>
      <c r="D181" s="43">
        <f>IF(C181="aFRR+",damas_afrr_up*capacity_mult_C,damas_afrr_down*capacity_mult_C)</f>
        <v/>
      </c>
      <c r="E181" s="44">
        <f>acceptance_rate</f>
        <v/>
      </c>
      <c r="F181" s="23">
        <f>IF(C181="aFRR+",power_mw*hours_per_day*damas_afrr_up*capacity_mult_C*stack_capacity*acceptance_rate,power_mw*hours_per_day*damas_afrr_down*capacity_mult_C*stack_capacity*acceptance_rate)</f>
        <v/>
      </c>
      <c r="G181" s="42">
        <f>IF(C181="aFRR+",DAMAS_Daily!I181,DAMAS_Daily!J181)</f>
        <v/>
      </c>
      <c r="H181" s="43">
        <f>IF(C181="aFRR+",DAMAS_Daily!E181,DAMAS_Daily!F181)</f>
        <v/>
      </c>
      <c r="I181" s="43">
        <f>IF(C181="aFRR+",DAMAS_Daily!G181,DAMAS_Daily!H181)</f>
        <v/>
      </c>
      <c r="J181" s="45">
        <f>IF(C181="aFRR+",DAMAS_Daily!C181,DAMAS_Daily!D181)</f>
        <v/>
      </c>
      <c r="K181" s="45">
        <f>IF(C181="aFRR+",MIN(DAMAS_Daily!C181*market_share_C*acceptance_rate*stack_activation,power_mw*hours_per_day,capacity_mwh),MIN(DAMAS_Daily!D181*market_share_C*acceptance_rate*stack_activation,power_mw*hours_per_day,capacity_mwh))</f>
        <v/>
      </c>
      <c r="L181" s="42">
        <f>IF(K181&gt;=capacity_mwh-0.01,"yes","no")</f>
        <v/>
      </c>
      <c r="M181" s="23">
        <f>IF(C181="aFRR+",(MIN(DAMAS_Daily!C181*market_share_C*acceptance_rate*stack_activation,power_mw*hours_per_day,capacity_mwh))*DAMAS_Daily!E181*activation_mult_C,(MIN(DAMAS_Daily!D181*market_share_C*acceptance_rate*stack_activation,power_mw*hours_per_day,capacity_mwh))*DAMAS_Daily!F181*activation_mult_C)</f>
        <v/>
      </c>
      <c r="N181" s="24">
        <f>F181+M181</f>
        <v/>
      </c>
    </row>
    <row r="182">
      <c r="A182" s="41">
        <f>DAMAS_Daily!A182</f>
        <v/>
      </c>
      <c r="B182" s="42">
        <f>DAMAS_Daily!B182</f>
        <v/>
      </c>
      <c r="C182" s="42">
        <f>IF((power_mw*hours_per_day*damas_afrr_up*capacity_mult_C*stack_capacity*acceptance_rate+(MIN(DAMAS_Daily!C182*market_share_C*acceptance_rate*stack_activation,power_mw*hours_per_day,capacity_mwh))*DAMAS_Daily!E182*activation_mult_C)&gt;=(power_mw*hours_per_day*damas_afrr_down*capacity_mult_C*stack_capacity*acceptance_rate+(MIN(DAMAS_Daily!D182*market_share_C*acceptance_rate*stack_activation,power_mw*hours_per_day,capacity_mwh))*DAMAS_Daily!F182*activation_mult_C),"aFRR+","aFRR-")</f>
        <v/>
      </c>
      <c r="D182" s="43">
        <f>IF(C182="aFRR+",damas_afrr_up*capacity_mult_C,damas_afrr_down*capacity_mult_C)</f>
        <v/>
      </c>
      <c r="E182" s="44">
        <f>acceptance_rate</f>
        <v/>
      </c>
      <c r="F182" s="23">
        <f>IF(C182="aFRR+",power_mw*hours_per_day*damas_afrr_up*capacity_mult_C*stack_capacity*acceptance_rate,power_mw*hours_per_day*damas_afrr_down*capacity_mult_C*stack_capacity*acceptance_rate)</f>
        <v/>
      </c>
      <c r="G182" s="42">
        <f>IF(C182="aFRR+",DAMAS_Daily!I182,DAMAS_Daily!J182)</f>
        <v/>
      </c>
      <c r="H182" s="43">
        <f>IF(C182="aFRR+",DAMAS_Daily!E182,DAMAS_Daily!F182)</f>
        <v/>
      </c>
      <c r="I182" s="43">
        <f>IF(C182="aFRR+",DAMAS_Daily!G182,DAMAS_Daily!H182)</f>
        <v/>
      </c>
      <c r="J182" s="45">
        <f>IF(C182="aFRR+",DAMAS_Daily!C182,DAMAS_Daily!D182)</f>
        <v/>
      </c>
      <c r="K182" s="45">
        <f>IF(C182="aFRR+",MIN(DAMAS_Daily!C182*market_share_C*acceptance_rate*stack_activation,power_mw*hours_per_day,capacity_mwh),MIN(DAMAS_Daily!D182*market_share_C*acceptance_rate*stack_activation,power_mw*hours_per_day,capacity_mwh))</f>
        <v/>
      </c>
      <c r="L182" s="42">
        <f>IF(K182&gt;=capacity_mwh-0.01,"yes","no")</f>
        <v/>
      </c>
      <c r="M182" s="23">
        <f>IF(C182="aFRR+",(MIN(DAMAS_Daily!C182*market_share_C*acceptance_rate*stack_activation,power_mw*hours_per_day,capacity_mwh))*DAMAS_Daily!E182*activation_mult_C,(MIN(DAMAS_Daily!D182*market_share_C*acceptance_rate*stack_activation,power_mw*hours_per_day,capacity_mwh))*DAMAS_Daily!F182*activation_mult_C)</f>
        <v/>
      </c>
      <c r="N182" s="24">
        <f>F182+M182</f>
        <v/>
      </c>
    </row>
    <row r="183">
      <c r="A183" s="41">
        <f>DAMAS_Daily!A183</f>
        <v/>
      </c>
      <c r="B183" s="42">
        <f>DAMAS_Daily!B183</f>
        <v/>
      </c>
      <c r="C183" s="42">
        <f>IF((power_mw*hours_per_day*damas_afrr_up*capacity_mult_C*stack_capacity*acceptance_rate+(MIN(DAMAS_Daily!C183*market_share_C*acceptance_rate*stack_activation,power_mw*hours_per_day,capacity_mwh))*DAMAS_Daily!E183*activation_mult_C)&gt;=(power_mw*hours_per_day*damas_afrr_down*capacity_mult_C*stack_capacity*acceptance_rate+(MIN(DAMAS_Daily!D183*market_share_C*acceptance_rate*stack_activation,power_mw*hours_per_day,capacity_mwh))*DAMAS_Daily!F183*activation_mult_C),"aFRR+","aFRR-")</f>
        <v/>
      </c>
      <c r="D183" s="43">
        <f>IF(C183="aFRR+",damas_afrr_up*capacity_mult_C,damas_afrr_down*capacity_mult_C)</f>
        <v/>
      </c>
      <c r="E183" s="44">
        <f>acceptance_rate</f>
        <v/>
      </c>
      <c r="F183" s="23">
        <f>IF(C183="aFRR+",power_mw*hours_per_day*damas_afrr_up*capacity_mult_C*stack_capacity*acceptance_rate,power_mw*hours_per_day*damas_afrr_down*capacity_mult_C*stack_capacity*acceptance_rate)</f>
        <v/>
      </c>
      <c r="G183" s="42">
        <f>IF(C183="aFRR+",DAMAS_Daily!I183,DAMAS_Daily!J183)</f>
        <v/>
      </c>
      <c r="H183" s="43">
        <f>IF(C183="aFRR+",DAMAS_Daily!E183,DAMAS_Daily!F183)</f>
        <v/>
      </c>
      <c r="I183" s="43">
        <f>IF(C183="aFRR+",DAMAS_Daily!G183,DAMAS_Daily!H183)</f>
        <v/>
      </c>
      <c r="J183" s="45">
        <f>IF(C183="aFRR+",DAMAS_Daily!C183,DAMAS_Daily!D183)</f>
        <v/>
      </c>
      <c r="K183" s="45">
        <f>IF(C183="aFRR+",MIN(DAMAS_Daily!C183*market_share_C*acceptance_rate*stack_activation,power_mw*hours_per_day,capacity_mwh),MIN(DAMAS_Daily!D183*market_share_C*acceptance_rate*stack_activation,power_mw*hours_per_day,capacity_mwh))</f>
        <v/>
      </c>
      <c r="L183" s="42">
        <f>IF(K183&gt;=capacity_mwh-0.01,"yes","no")</f>
        <v/>
      </c>
      <c r="M183" s="23">
        <f>IF(C183="aFRR+",(MIN(DAMAS_Daily!C183*market_share_C*acceptance_rate*stack_activation,power_mw*hours_per_day,capacity_mwh))*DAMAS_Daily!E183*activation_mult_C,(MIN(DAMAS_Daily!D183*market_share_C*acceptance_rate*stack_activation,power_mw*hours_per_day,capacity_mwh))*DAMAS_Daily!F183*activation_mult_C)</f>
        <v/>
      </c>
      <c r="N183" s="24">
        <f>F183+M183</f>
        <v/>
      </c>
    </row>
    <row r="184">
      <c r="A184" s="41">
        <f>DAMAS_Daily!A184</f>
        <v/>
      </c>
      <c r="B184" s="42">
        <f>DAMAS_Daily!B184</f>
        <v/>
      </c>
      <c r="C184" s="42">
        <f>IF((power_mw*hours_per_day*damas_afrr_up*capacity_mult_C*stack_capacity*acceptance_rate+(MIN(DAMAS_Daily!C184*market_share_C*acceptance_rate*stack_activation,power_mw*hours_per_day,capacity_mwh))*DAMAS_Daily!E184*activation_mult_C)&gt;=(power_mw*hours_per_day*damas_afrr_down*capacity_mult_C*stack_capacity*acceptance_rate+(MIN(DAMAS_Daily!D184*market_share_C*acceptance_rate*stack_activation,power_mw*hours_per_day,capacity_mwh))*DAMAS_Daily!F184*activation_mult_C),"aFRR+","aFRR-")</f>
        <v/>
      </c>
      <c r="D184" s="43">
        <f>IF(C184="aFRR+",damas_afrr_up*capacity_mult_C,damas_afrr_down*capacity_mult_C)</f>
        <v/>
      </c>
      <c r="E184" s="44">
        <f>acceptance_rate</f>
        <v/>
      </c>
      <c r="F184" s="23">
        <f>IF(C184="aFRR+",power_mw*hours_per_day*damas_afrr_up*capacity_mult_C*stack_capacity*acceptance_rate,power_mw*hours_per_day*damas_afrr_down*capacity_mult_C*stack_capacity*acceptance_rate)</f>
        <v/>
      </c>
      <c r="G184" s="42">
        <f>IF(C184="aFRR+",DAMAS_Daily!I184,DAMAS_Daily!J184)</f>
        <v/>
      </c>
      <c r="H184" s="43">
        <f>IF(C184="aFRR+",DAMAS_Daily!E184,DAMAS_Daily!F184)</f>
        <v/>
      </c>
      <c r="I184" s="43">
        <f>IF(C184="aFRR+",DAMAS_Daily!G184,DAMAS_Daily!H184)</f>
        <v/>
      </c>
      <c r="J184" s="45">
        <f>IF(C184="aFRR+",DAMAS_Daily!C184,DAMAS_Daily!D184)</f>
        <v/>
      </c>
      <c r="K184" s="45">
        <f>IF(C184="aFRR+",MIN(DAMAS_Daily!C184*market_share_C*acceptance_rate*stack_activation,power_mw*hours_per_day,capacity_mwh),MIN(DAMAS_Daily!D184*market_share_C*acceptance_rate*stack_activation,power_mw*hours_per_day,capacity_mwh))</f>
        <v/>
      </c>
      <c r="L184" s="42">
        <f>IF(K184&gt;=capacity_mwh-0.01,"yes","no")</f>
        <v/>
      </c>
      <c r="M184" s="23">
        <f>IF(C184="aFRR+",(MIN(DAMAS_Daily!C184*market_share_C*acceptance_rate*stack_activation,power_mw*hours_per_day,capacity_mwh))*DAMAS_Daily!E184*activation_mult_C,(MIN(DAMAS_Daily!D184*market_share_C*acceptance_rate*stack_activation,power_mw*hours_per_day,capacity_mwh))*DAMAS_Daily!F184*activation_mult_C)</f>
        <v/>
      </c>
      <c r="N184" s="24">
        <f>F184+M184</f>
        <v/>
      </c>
    </row>
    <row r="185">
      <c r="A185" s="41">
        <f>DAMAS_Daily!A185</f>
        <v/>
      </c>
      <c r="B185" s="42">
        <f>DAMAS_Daily!B185</f>
        <v/>
      </c>
      <c r="C185" s="42">
        <f>IF((power_mw*hours_per_day*damas_afrr_up*capacity_mult_C*stack_capacity*acceptance_rate+(MIN(DAMAS_Daily!C185*market_share_C*acceptance_rate*stack_activation,power_mw*hours_per_day,capacity_mwh))*DAMAS_Daily!E185*activation_mult_C)&gt;=(power_mw*hours_per_day*damas_afrr_down*capacity_mult_C*stack_capacity*acceptance_rate+(MIN(DAMAS_Daily!D185*market_share_C*acceptance_rate*stack_activation,power_mw*hours_per_day,capacity_mwh))*DAMAS_Daily!F185*activation_mult_C),"aFRR+","aFRR-")</f>
        <v/>
      </c>
      <c r="D185" s="43">
        <f>IF(C185="aFRR+",damas_afrr_up*capacity_mult_C,damas_afrr_down*capacity_mult_C)</f>
        <v/>
      </c>
      <c r="E185" s="44">
        <f>acceptance_rate</f>
        <v/>
      </c>
      <c r="F185" s="23">
        <f>IF(C185="aFRR+",power_mw*hours_per_day*damas_afrr_up*capacity_mult_C*stack_capacity*acceptance_rate,power_mw*hours_per_day*damas_afrr_down*capacity_mult_C*stack_capacity*acceptance_rate)</f>
        <v/>
      </c>
      <c r="G185" s="42">
        <f>IF(C185="aFRR+",DAMAS_Daily!I185,DAMAS_Daily!J185)</f>
        <v/>
      </c>
      <c r="H185" s="43">
        <f>IF(C185="aFRR+",DAMAS_Daily!E185,DAMAS_Daily!F185)</f>
        <v/>
      </c>
      <c r="I185" s="43">
        <f>IF(C185="aFRR+",DAMAS_Daily!G185,DAMAS_Daily!H185)</f>
        <v/>
      </c>
      <c r="J185" s="45">
        <f>IF(C185="aFRR+",DAMAS_Daily!C185,DAMAS_Daily!D185)</f>
        <v/>
      </c>
      <c r="K185" s="45">
        <f>IF(C185="aFRR+",MIN(DAMAS_Daily!C185*market_share_C*acceptance_rate*stack_activation,power_mw*hours_per_day,capacity_mwh),MIN(DAMAS_Daily!D185*market_share_C*acceptance_rate*stack_activation,power_mw*hours_per_day,capacity_mwh))</f>
        <v/>
      </c>
      <c r="L185" s="42">
        <f>IF(K185&gt;=capacity_mwh-0.01,"yes","no")</f>
        <v/>
      </c>
      <c r="M185" s="23">
        <f>IF(C185="aFRR+",(MIN(DAMAS_Daily!C185*market_share_C*acceptance_rate*stack_activation,power_mw*hours_per_day,capacity_mwh))*DAMAS_Daily!E185*activation_mult_C,(MIN(DAMAS_Daily!D185*market_share_C*acceptance_rate*stack_activation,power_mw*hours_per_day,capacity_mwh))*DAMAS_Daily!F185*activation_mult_C)</f>
        <v/>
      </c>
      <c r="N185" s="24">
        <f>F185+M185</f>
        <v/>
      </c>
    </row>
    <row r="186">
      <c r="A186" s="41">
        <f>DAMAS_Daily!A186</f>
        <v/>
      </c>
      <c r="B186" s="42">
        <f>DAMAS_Daily!B186</f>
        <v/>
      </c>
      <c r="C186" s="42">
        <f>IF((power_mw*hours_per_day*damas_afrr_up*capacity_mult_C*stack_capacity*acceptance_rate+(MIN(DAMAS_Daily!C186*market_share_C*acceptance_rate*stack_activation,power_mw*hours_per_day,capacity_mwh))*DAMAS_Daily!E186*activation_mult_C)&gt;=(power_mw*hours_per_day*damas_afrr_down*capacity_mult_C*stack_capacity*acceptance_rate+(MIN(DAMAS_Daily!D186*market_share_C*acceptance_rate*stack_activation,power_mw*hours_per_day,capacity_mwh))*DAMAS_Daily!F186*activation_mult_C),"aFRR+","aFRR-")</f>
        <v/>
      </c>
      <c r="D186" s="43">
        <f>IF(C186="aFRR+",damas_afrr_up*capacity_mult_C,damas_afrr_down*capacity_mult_C)</f>
        <v/>
      </c>
      <c r="E186" s="44">
        <f>acceptance_rate</f>
        <v/>
      </c>
      <c r="F186" s="23">
        <f>IF(C186="aFRR+",power_mw*hours_per_day*damas_afrr_up*capacity_mult_C*stack_capacity*acceptance_rate,power_mw*hours_per_day*damas_afrr_down*capacity_mult_C*stack_capacity*acceptance_rate)</f>
        <v/>
      </c>
      <c r="G186" s="42">
        <f>IF(C186="aFRR+",DAMAS_Daily!I186,DAMAS_Daily!J186)</f>
        <v/>
      </c>
      <c r="H186" s="43">
        <f>IF(C186="aFRR+",DAMAS_Daily!E186,DAMAS_Daily!F186)</f>
        <v/>
      </c>
      <c r="I186" s="43">
        <f>IF(C186="aFRR+",DAMAS_Daily!G186,DAMAS_Daily!H186)</f>
        <v/>
      </c>
      <c r="J186" s="45">
        <f>IF(C186="aFRR+",DAMAS_Daily!C186,DAMAS_Daily!D186)</f>
        <v/>
      </c>
      <c r="K186" s="45">
        <f>IF(C186="aFRR+",MIN(DAMAS_Daily!C186*market_share_C*acceptance_rate*stack_activation,power_mw*hours_per_day,capacity_mwh),MIN(DAMAS_Daily!D186*market_share_C*acceptance_rate*stack_activation,power_mw*hours_per_day,capacity_mwh))</f>
        <v/>
      </c>
      <c r="L186" s="42">
        <f>IF(K186&gt;=capacity_mwh-0.01,"yes","no")</f>
        <v/>
      </c>
      <c r="M186" s="23">
        <f>IF(C186="aFRR+",(MIN(DAMAS_Daily!C186*market_share_C*acceptance_rate*stack_activation,power_mw*hours_per_day,capacity_mwh))*DAMAS_Daily!E186*activation_mult_C,(MIN(DAMAS_Daily!D186*market_share_C*acceptance_rate*stack_activation,power_mw*hours_per_day,capacity_mwh))*DAMAS_Daily!F186*activation_mult_C)</f>
        <v/>
      </c>
      <c r="N186" s="24">
        <f>F186+M186</f>
        <v/>
      </c>
    </row>
    <row r="187">
      <c r="A187" s="41">
        <f>DAMAS_Daily!A187</f>
        <v/>
      </c>
      <c r="B187" s="42">
        <f>DAMAS_Daily!B187</f>
        <v/>
      </c>
      <c r="C187" s="42">
        <f>IF((power_mw*hours_per_day*damas_afrr_up*capacity_mult_C*stack_capacity*acceptance_rate+(MIN(DAMAS_Daily!C187*market_share_C*acceptance_rate*stack_activation,power_mw*hours_per_day,capacity_mwh))*DAMAS_Daily!E187*activation_mult_C)&gt;=(power_mw*hours_per_day*damas_afrr_down*capacity_mult_C*stack_capacity*acceptance_rate+(MIN(DAMAS_Daily!D187*market_share_C*acceptance_rate*stack_activation,power_mw*hours_per_day,capacity_mwh))*DAMAS_Daily!F187*activation_mult_C),"aFRR+","aFRR-")</f>
        <v/>
      </c>
      <c r="D187" s="43">
        <f>IF(C187="aFRR+",damas_afrr_up*capacity_mult_C,damas_afrr_down*capacity_mult_C)</f>
        <v/>
      </c>
      <c r="E187" s="44">
        <f>acceptance_rate</f>
        <v/>
      </c>
      <c r="F187" s="23">
        <f>IF(C187="aFRR+",power_mw*hours_per_day*damas_afrr_up*capacity_mult_C*stack_capacity*acceptance_rate,power_mw*hours_per_day*damas_afrr_down*capacity_mult_C*stack_capacity*acceptance_rate)</f>
        <v/>
      </c>
      <c r="G187" s="42">
        <f>IF(C187="aFRR+",DAMAS_Daily!I187,DAMAS_Daily!J187)</f>
        <v/>
      </c>
      <c r="H187" s="43">
        <f>IF(C187="aFRR+",DAMAS_Daily!E187,DAMAS_Daily!F187)</f>
        <v/>
      </c>
      <c r="I187" s="43">
        <f>IF(C187="aFRR+",DAMAS_Daily!G187,DAMAS_Daily!H187)</f>
        <v/>
      </c>
      <c r="J187" s="45">
        <f>IF(C187="aFRR+",DAMAS_Daily!C187,DAMAS_Daily!D187)</f>
        <v/>
      </c>
      <c r="K187" s="45">
        <f>IF(C187="aFRR+",MIN(DAMAS_Daily!C187*market_share_C*acceptance_rate*stack_activation,power_mw*hours_per_day,capacity_mwh),MIN(DAMAS_Daily!D187*market_share_C*acceptance_rate*stack_activation,power_mw*hours_per_day,capacity_mwh))</f>
        <v/>
      </c>
      <c r="L187" s="42">
        <f>IF(K187&gt;=capacity_mwh-0.01,"yes","no")</f>
        <v/>
      </c>
      <c r="M187" s="23">
        <f>IF(C187="aFRR+",(MIN(DAMAS_Daily!C187*market_share_C*acceptance_rate*stack_activation,power_mw*hours_per_day,capacity_mwh))*DAMAS_Daily!E187*activation_mult_C,(MIN(DAMAS_Daily!D187*market_share_C*acceptance_rate*stack_activation,power_mw*hours_per_day,capacity_mwh))*DAMAS_Daily!F187*activation_mult_C)</f>
        <v/>
      </c>
      <c r="N187" s="24">
        <f>F187+M187</f>
        <v/>
      </c>
    </row>
    <row r="188">
      <c r="A188" s="41">
        <f>DAMAS_Daily!A188</f>
        <v/>
      </c>
      <c r="B188" s="42">
        <f>DAMAS_Daily!B188</f>
        <v/>
      </c>
      <c r="C188" s="42">
        <f>IF((power_mw*hours_per_day*damas_afrr_up*capacity_mult_C*stack_capacity*acceptance_rate+(MIN(DAMAS_Daily!C188*market_share_C*acceptance_rate*stack_activation,power_mw*hours_per_day,capacity_mwh))*DAMAS_Daily!E188*activation_mult_C)&gt;=(power_mw*hours_per_day*damas_afrr_down*capacity_mult_C*stack_capacity*acceptance_rate+(MIN(DAMAS_Daily!D188*market_share_C*acceptance_rate*stack_activation,power_mw*hours_per_day,capacity_mwh))*DAMAS_Daily!F188*activation_mult_C),"aFRR+","aFRR-")</f>
        <v/>
      </c>
      <c r="D188" s="43">
        <f>IF(C188="aFRR+",damas_afrr_up*capacity_mult_C,damas_afrr_down*capacity_mult_C)</f>
        <v/>
      </c>
      <c r="E188" s="44">
        <f>acceptance_rate</f>
        <v/>
      </c>
      <c r="F188" s="23">
        <f>IF(C188="aFRR+",power_mw*hours_per_day*damas_afrr_up*capacity_mult_C*stack_capacity*acceptance_rate,power_mw*hours_per_day*damas_afrr_down*capacity_mult_C*stack_capacity*acceptance_rate)</f>
        <v/>
      </c>
      <c r="G188" s="42">
        <f>IF(C188="aFRR+",DAMAS_Daily!I188,DAMAS_Daily!J188)</f>
        <v/>
      </c>
      <c r="H188" s="43">
        <f>IF(C188="aFRR+",DAMAS_Daily!E188,DAMAS_Daily!F188)</f>
        <v/>
      </c>
      <c r="I188" s="43">
        <f>IF(C188="aFRR+",DAMAS_Daily!G188,DAMAS_Daily!H188)</f>
        <v/>
      </c>
      <c r="J188" s="45">
        <f>IF(C188="aFRR+",DAMAS_Daily!C188,DAMAS_Daily!D188)</f>
        <v/>
      </c>
      <c r="K188" s="45">
        <f>IF(C188="aFRR+",MIN(DAMAS_Daily!C188*market_share_C*acceptance_rate*stack_activation,power_mw*hours_per_day,capacity_mwh),MIN(DAMAS_Daily!D188*market_share_C*acceptance_rate*stack_activation,power_mw*hours_per_day,capacity_mwh))</f>
        <v/>
      </c>
      <c r="L188" s="42">
        <f>IF(K188&gt;=capacity_mwh-0.01,"yes","no")</f>
        <v/>
      </c>
      <c r="M188" s="23">
        <f>IF(C188="aFRR+",(MIN(DAMAS_Daily!C188*market_share_C*acceptance_rate*stack_activation,power_mw*hours_per_day,capacity_mwh))*DAMAS_Daily!E188*activation_mult_C,(MIN(DAMAS_Daily!D188*market_share_C*acceptance_rate*stack_activation,power_mw*hours_per_day,capacity_mwh))*DAMAS_Daily!F188*activation_mult_C)</f>
        <v/>
      </c>
      <c r="N188" s="24">
        <f>F188+M188</f>
        <v/>
      </c>
    </row>
    <row r="189">
      <c r="A189" s="41">
        <f>DAMAS_Daily!A189</f>
        <v/>
      </c>
      <c r="B189" s="42">
        <f>DAMAS_Daily!B189</f>
        <v/>
      </c>
      <c r="C189" s="42">
        <f>IF((power_mw*hours_per_day*damas_afrr_up*capacity_mult_C*stack_capacity*acceptance_rate+(MIN(DAMAS_Daily!C189*market_share_C*acceptance_rate*stack_activation,power_mw*hours_per_day,capacity_mwh))*DAMAS_Daily!E189*activation_mult_C)&gt;=(power_mw*hours_per_day*damas_afrr_down*capacity_mult_C*stack_capacity*acceptance_rate+(MIN(DAMAS_Daily!D189*market_share_C*acceptance_rate*stack_activation,power_mw*hours_per_day,capacity_mwh))*DAMAS_Daily!F189*activation_mult_C),"aFRR+","aFRR-")</f>
        <v/>
      </c>
      <c r="D189" s="43">
        <f>IF(C189="aFRR+",damas_afrr_up*capacity_mult_C,damas_afrr_down*capacity_mult_C)</f>
        <v/>
      </c>
      <c r="E189" s="44">
        <f>acceptance_rate</f>
        <v/>
      </c>
      <c r="F189" s="23">
        <f>IF(C189="aFRR+",power_mw*hours_per_day*damas_afrr_up*capacity_mult_C*stack_capacity*acceptance_rate,power_mw*hours_per_day*damas_afrr_down*capacity_mult_C*stack_capacity*acceptance_rate)</f>
        <v/>
      </c>
      <c r="G189" s="42">
        <f>IF(C189="aFRR+",DAMAS_Daily!I189,DAMAS_Daily!J189)</f>
        <v/>
      </c>
      <c r="H189" s="43">
        <f>IF(C189="aFRR+",DAMAS_Daily!E189,DAMAS_Daily!F189)</f>
        <v/>
      </c>
      <c r="I189" s="43">
        <f>IF(C189="aFRR+",DAMAS_Daily!G189,DAMAS_Daily!H189)</f>
        <v/>
      </c>
      <c r="J189" s="45">
        <f>IF(C189="aFRR+",DAMAS_Daily!C189,DAMAS_Daily!D189)</f>
        <v/>
      </c>
      <c r="K189" s="45">
        <f>IF(C189="aFRR+",MIN(DAMAS_Daily!C189*market_share_C*acceptance_rate*stack_activation,power_mw*hours_per_day,capacity_mwh),MIN(DAMAS_Daily!D189*market_share_C*acceptance_rate*stack_activation,power_mw*hours_per_day,capacity_mwh))</f>
        <v/>
      </c>
      <c r="L189" s="42">
        <f>IF(K189&gt;=capacity_mwh-0.01,"yes","no")</f>
        <v/>
      </c>
      <c r="M189" s="23">
        <f>IF(C189="aFRR+",(MIN(DAMAS_Daily!C189*market_share_C*acceptance_rate*stack_activation,power_mw*hours_per_day,capacity_mwh))*DAMAS_Daily!E189*activation_mult_C,(MIN(DAMAS_Daily!D189*market_share_C*acceptance_rate*stack_activation,power_mw*hours_per_day,capacity_mwh))*DAMAS_Daily!F189*activation_mult_C)</f>
        <v/>
      </c>
      <c r="N189" s="24">
        <f>F189+M189</f>
        <v/>
      </c>
    </row>
    <row r="190">
      <c r="A190" s="41">
        <f>DAMAS_Daily!A190</f>
        <v/>
      </c>
      <c r="B190" s="42">
        <f>DAMAS_Daily!B190</f>
        <v/>
      </c>
      <c r="C190" s="42">
        <f>IF((power_mw*hours_per_day*damas_afrr_up*capacity_mult_C*stack_capacity*acceptance_rate+(MIN(DAMAS_Daily!C190*market_share_C*acceptance_rate*stack_activation,power_mw*hours_per_day,capacity_mwh))*DAMAS_Daily!E190*activation_mult_C)&gt;=(power_mw*hours_per_day*damas_afrr_down*capacity_mult_C*stack_capacity*acceptance_rate+(MIN(DAMAS_Daily!D190*market_share_C*acceptance_rate*stack_activation,power_mw*hours_per_day,capacity_mwh))*DAMAS_Daily!F190*activation_mult_C),"aFRR+","aFRR-")</f>
        <v/>
      </c>
      <c r="D190" s="43">
        <f>IF(C190="aFRR+",damas_afrr_up*capacity_mult_C,damas_afrr_down*capacity_mult_C)</f>
        <v/>
      </c>
      <c r="E190" s="44">
        <f>acceptance_rate</f>
        <v/>
      </c>
      <c r="F190" s="23">
        <f>IF(C190="aFRR+",power_mw*hours_per_day*damas_afrr_up*capacity_mult_C*stack_capacity*acceptance_rate,power_mw*hours_per_day*damas_afrr_down*capacity_mult_C*stack_capacity*acceptance_rate)</f>
        <v/>
      </c>
      <c r="G190" s="42">
        <f>IF(C190="aFRR+",DAMAS_Daily!I190,DAMAS_Daily!J190)</f>
        <v/>
      </c>
      <c r="H190" s="43">
        <f>IF(C190="aFRR+",DAMAS_Daily!E190,DAMAS_Daily!F190)</f>
        <v/>
      </c>
      <c r="I190" s="43">
        <f>IF(C190="aFRR+",DAMAS_Daily!G190,DAMAS_Daily!H190)</f>
        <v/>
      </c>
      <c r="J190" s="45">
        <f>IF(C190="aFRR+",DAMAS_Daily!C190,DAMAS_Daily!D190)</f>
        <v/>
      </c>
      <c r="K190" s="45">
        <f>IF(C190="aFRR+",MIN(DAMAS_Daily!C190*market_share_C*acceptance_rate*stack_activation,power_mw*hours_per_day,capacity_mwh),MIN(DAMAS_Daily!D190*market_share_C*acceptance_rate*stack_activation,power_mw*hours_per_day,capacity_mwh))</f>
        <v/>
      </c>
      <c r="L190" s="42">
        <f>IF(K190&gt;=capacity_mwh-0.01,"yes","no")</f>
        <v/>
      </c>
      <c r="M190" s="23">
        <f>IF(C190="aFRR+",(MIN(DAMAS_Daily!C190*market_share_C*acceptance_rate*stack_activation,power_mw*hours_per_day,capacity_mwh))*DAMAS_Daily!E190*activation_mult_C,(MIN(DAMAS_Daily!D190*market_share_C*acceptance_rate*stack_activation,power_mw*hours_per_day,capacity_mwh))*DAMAS_Daily!F190*activation_mult_C)</f>
        <v/>
      </c>
      <c r="N190" s="24">
        <f>F190+M190</f>
        <v/>
      </c>
    </row>
    <row r="191">
      <c r="A191" s="41">
        <f>DAMAS_Daily!A191</f>
        <v/>
      </c>
      <c r="B191" s="42">
        <f>DAMAS_Daily!B191</f>
        <v/>
      </c>
      <c r="C191" s="42">
        <f>IF((power_mw*hours_per_day*damas_afrr_up*capacity_mult_C*stack_capacity*acceptance_rate+(MIN(DAMAS_Daily!C191*market_share_C*acceptance_rate*stack_activation,power_mw*hours_per_day,capacity_mwh))*DAMAS_Daily!E191*activation_mult_C)&gt;=(power_mw*hours_per_day*damas_afrr_down*capacity_mult_C*stack_capacity*acceptance_rate+(MIN(DAMAS_Daily!D191*market_share_C*acceptance_rate*stack_activation,power_mw*hours_per_day,capacity_mwh))*DAMAS_Daily!F191*activation_mult_C),"aFRR+","aFRR-")</f>
        <v/>
      </c>
      <c r="D191" s="43">
        <f>IF(C191="aFRR+",damas_afrr_up*capacity_mult_C,damas_afrr_down*capacity_mult_C)</f>
        <v/>
      </c>
      <c r="E191" s="44">
        <f>acceptance_rate</f>
        <v/>
      </c>
      <c r="F191" s="23">
        <f>IF(C191="aFRR+",power_mw*hours_per_day*damas_afrr_up*capacity_mult_C*stack_capacity*acceptance_rate,power_mw*hours_per_day*damas_afrr_down*capacity_mult_C*stack_capacity*acceptance_rate)</f>
        <v/>
      </c>
      <c r="G191" s="42">
        <f>IF(C191="aFRR+",DAMAS_Daily!I191,DAMAS_Daily!J191)</f>
        <v/>
      </c>
      <c r="H191" s="43">
        <f>IF(C191="aFRR+",DAMAS_Daily!E191,DAMAS_Daily!F191)</f>
        <v/>
      </c>
      <c r="I191" s="43">
        <f>IF(C191="aFRR+",DAMAS_Daily!G191,DAMAS_Daily!H191)</f>
        <v/>
      </c>
      <c r="J191" s="45">
        <f>IF(C191="aFRR+",DAMAS_Daily!C191,DAMAS_Daily!D191)</f>
        <v/>
      </c>
      <c r="K191" s="45">
        <f>IF(C191="aFRR+",MIN(DAMAS_Daily!C191*market_share_C*acceptance_rate*stack_activation,power_mw*hours_per_day,capacity_mwh),MIN(DAMAS_Daily!D191*market_share_C*acceptance_rate*stack_activation,power_mw*hours_per_day,capacity_mwh))</f>
        <v/>
      </c>
      <c r="L191" s="42">
        <f>IF(K191&gt;=capacity_mwh-0.01,"yes","no")</f>
        <v/>
      </c>
      <c r="M191" s="23">
        <f>IF(C191="aFRR+",(MIN(DAMAS_Daily!C191*market_share_C*acceptance_rate*stack_activation,power_mw*hours_per_day,capacity_mwh))*DAMAS_Daily!E191*activation_mult_C,(MIN(DAMAS_Daily!D191*market_share_C*acceptance_rate*stack_activation,power_mw*hours_per_day,capacity_mwh))*DAMAS_Daily!F191*activation_mult_C)</f>
        <v/>
      </c>
      <c r="N191" s="24">
        <f>F191+M191</f>
        <v/>
      </c>
    </row>
    <row r="192">
      <c r="A192" s="41">
        <f>DAMAS_Daily!A192</f>
        <v/>
      </c>
      <c r="B192" s="42">
        <f>DAMAS_Daily!B192</f>
        <v/>
      </c>
      <c r="C192" s="42">
        <f>IF((power_mw*hours_per_day*damas_afrr_up*capacity_mult_C*stack_capacity*acceptance_rate+(MIN(DAMAS_Daily!C192*market_share_C*acceptance_rate*stack_activation,power_mw*hours_per_day,capacity_mwh))*DAMAS_Daily!E192*activation_mult_C)&gt;=(power_mw*hours_per_day*damas_afrr_down*capacity_mult_C*stack_capacity*acceptance_rate+(MIN(DAMAS_Daily!D192*market_share_C*acceptance_rate*stack_activation,power_mw*hours_per_day,capacity_mwh))*DAMAS_Daily!F192*activation_mult_C),"aFRR+","aFRR-")</f>
        <v/>
      </c>
      <c r="D192" s="43">
        <f>IF(C192="aFRR+",damas_afrr_up*capacity_mult_C,damas_afrr_down*capacity_mult_C)</f>
        <v/>
      </c>
      <c r="E192" s="44">
        <f>acceptance_rate</f>
        <v/>
      </c>
      <c r="F192" s="23">
        <f>IF(C192="aFRR+",power_mw*hours_per_day*damas_afrr_up*capacity_mult_C*stack_capacity*acceptance_rate,power_mw*hours_per_day*damas_afrr_down*capacity_mult_C*stack_capacity*acceptance_rate)</f>
        <v/>
      </c>
      <c r="G192" s="42">
        <f>IF(C192="aFRR+",DAMAS_Daily!I192,DAMAS_Daily!J192)</f>
        <v/>
      </c>
      <c r="H192" s="43">
        <f>IF(C192="aFRR+",DAMAS_Daily!E192,DAMAS_Daily!F192)</f>
        <v/>
      </c>
      <c r="I192" s="43">
        <f>IF(C192="aFRR+",DAMAS_Daily!G192,DAMAS_Daily!H192)</f>
        <v/>
      </c>
      <c r="J192" s="45">
        <f>IF(C192="aFRR+",DAMAS_Daily!C192,DAMAS_Daily!D192)</f>
        <v/>
      </c>
      <c r="K192" s="45">
        <f>IF(C192="aFRR+",MIN(DAMAS_Daily!C192*market_share_C*acceptance_rate*stack_activation,power_mw*hours_per_day,capacity_mwh),MIN(DAMAS_Daily!D192*market_share_C*acceptance_rate*stack_activation,power_mw*hours_per_day,capacity_mwh))</f>
        <v/>
      </c>
      <c r="L192" s="42">
        <f>IF(K192&gt;=capacity_mwh-0.01,"yes","no")</f>
        <v/>
      </c>
      <c r="M192" s="23">
        <f>IF(C192="aFRR+",(MIN(DAMAS_Daily!C192*market_share_C*acceptance_rate*stack_activation,power_mw*hours_per_day,capacity_mwh))*DAMAS_Daily!E192*activation_mult_C,(MIN(DAMAS_Daily!D192*market_share_C*acceptance_rate*stack_activation,power_mw*hours_per_day,capacity_mwh))*DAMAS_Daily!F192*activation_mult_C)</f>
        <v/>
      </c>
      <c r="N192" s="24">
        <f>F192+M192</f>
        <v/>
      </c>
    </row>
    <row r="193">
      <c r="A193" s="41">
        <f>DAMAS_Daily!A193</f>
        <v/>
      </c>
      <c r="B193" s="42">
        <f>DAMAS_Daily!B193</f>
        <v/>
      </c>
      <c r="C193" s="42">
        <f>IF((power_mw*hours_per_day*damas_afrr_up*capacity_mult_C*stack_capacity*acceptance_rate+(MIN(DAMAS_Daily!C193*market_share_C*acceptance_rate*stack_activation,power_mw*hours_per_day,capacity_mwh))*DAMAS_Daily!E193*activation_mult_C)&gt;=(power_mw*hours_per_day*damas_afrr_down*capacity_mult_C*stack_capacity*acceptance_rate+(MIN(DAMAS_Daily!D193*market_share_C*acceptance_rate*stack_activation,power_mw*hours_per_day,capacity_mwh))*DAMAS_Daily!F193*activation_mult_C),"aFRR+","aFRR-")</f>
        <v/>
      </c>
      <c r="D193" s="43">
        <f>IF(C193="aFRR+",damas_afrr_up*capacity_mult_C,damas_afrr_down*capacity_mult_C)</f>
        <v/>
      </c>
      <c r="E193" s="44">
        <f>acceptance_rate</f>
        <v/>
      </c>
      <c r="F193" s="23">
        <f>IF(C193="aFRR+",power_mw*hours_per_day*damas_afrr_up*capacity_mult_C*stack_capacity*acceptance_rate,power_mw*hours_per_day*damas_afrr_down*capacity_mult_C*stack_capacity*acceptance_rate)</f>
        <v/>
      </c>
      <c r="G193" s="42">
        <f>IF(C193="aFRR+",DAMAS_Daily!I193,DAMAS_Daily!J193)</f>
        <v/>
      </c>
      <c r="H193" s="43">
        <f>IF(C193="aFRR+",DAMAS_Daily!E193,DAMAS_Daily!F193)</f>
        <v/>
      </c>
      <c r="I193" s="43">
        <f>IF(C193="aFRR+",DAMAS_Daily!G193,DAMAS_Daily!H193)</f>
        <v/>
      </c>
      <c r="J193" s="45">
        <f>IF(C193="aFRR+",DAMAS_Daily!C193,DAMAS_Daily!D193)</f>
        <v/>
      </c>
      <c r="K193" s="45">
        <f>IF(C193="aFRR+",MIN(DAMAS_Daily!C193*market_share_C*acceptance_rate*stack_activation,power_mw*hours_per_day,capacity_mwh),MIN(DAMAS_Daily!D193*market_share_C*acceptance_rate*stack_activation,power_mw*hours_per_day,capacity_mwh))</f>
        <v/>
      </c>
      <c r="L193" s="42">
        <f>IF(K193&gt;=capacity_mwh-0.01,"yes","no")</f>
        <v/>
      </c>
      <c r="M193" s="23">
        <f>IF(C193="aFRR+",(MIN(DAMAS_Daily!C193*market_share_C*acceptance_rate*stack_activation,power_mw*hours_per_day,capacity_mwh))*DAMAS_Daily!E193*activation_mult_C,(MIN(DAMAS_Daily!D193*market_share_C*acceptance_rate*stack_activation,power_mw*hours_per_day,capacity_mwh))*DAMAS_Daily!F193*activation_mult_C)</f>
        <v/>
      </c>
      <c r="N193" s="24">
        <f>F193+M193</f>
        <v/>
      </c>
    </row>
    <row r="194">
      <c r="A194" s="41">
        <f>DAMAS_Daily!A194</f>
        <v/>
      </c>
      <c r="B194" s="42">
        <f>DAMAS_Daily!B194</f>
        <v/>
      </c>
      <c r="C194" s="42">
        <f>IF((power_mw*hours_per_day*damas_afrr_up*capacity_mult_C*stack_capacity*acceptance_rate+(MIN(DAMAS_Daily!C194*market_share_C*acceptance_rate*stack_activation,power_mw*hours_per_day,capacity_mwh))*DAMAS_Daily!E194*activation_mult_C)&gt;=(power_mw*hours_per_day*damas_afrr_down*capacity_mult_C*stack_capacity*acceptance_rate+(MIN(DAMAS_Daily!D194*market_share_C*acceptance_rate*stack_activation,power_mw*hours_per_day,capacity_mwh))*DAMAS_Daily!F194*activation_mult_C),"aFRR+","aFRR-")</f>
        <v/>
      </c>
      <c r="D194" s="43">
        <f>IF(C194="aFRR+",damas_afrr_up*capacity_mult_C,damas_afrr_down*capacity_mult_C)</f>
        <v/>
      </c>
      <c r="E194" s="44">
        <f>acceptance_rate</f>
        <v/>
      </c>
      <c r="F194" s="23">
        <f>IF(C194="aFRR+",power_mw*hours_per_day*damas_afrr_up*capacity_mult_C*stack_capacity*acceptance_rate,power_mw*hours_per_day*damas_afrr_down*capacity_mult_C*stack_capacity*acceptance_rate)</f>
        <v/>
      </c>
      <c r="G194" s="42">
        <f>IF(C194="aFRR+",DAMAS_Daily!I194,DAMAS_Daily!J194)</f>
        <v/>
      </c>
      <c r="H194" s="43">
        <f>IF(C194="aFRR+",DAMAS_Daily!E194,DAMAS_Daily!F194)</f>
        <v/>
      </c>
      <c r="I194" s="43">
        <f>IF(C194="aFRR+",DAMAS_Daily!G194,DAMAS_Daily!H194)</f>
        <v/>
      </c>
      <c r="J194" s="45">
        <f>IF(C194="aFRR+",DAMAS_Daily!C194,DAMAS_Daily!D194)</f>
        <v/>
      </c>
      <c r="K194" s="45">
        <f>IF(C194="aFRR+",MIN(DAMAS_Daily!C194*market_share_C*acceptance_rate*stack_activation,power_mw*hours_per_day,capacity_mwh),MIN(DAMAS_Daily!D194*market_share_C*acceptance_rate*stack_activation,power_mw*hours_per_day,capacity_mwh))</f>
        <v/>
      </c>
      <c r="L194" s="42">
        <f>IF(K194&gt;=capacity_mwh-0.01,"yes","no")</f>
        <v/>
      </c>
      <c r="M194" s="23">
        <f>IF(C194="aFRR+",(MIN(DAMAS_Daily!C194*market_share_C*acceptance_rate*stack_activation,power_mw*hours_per_day,capacity_mwh))*DAMAS_Daily!E194*activation_mult_C,(MIN(DAMAS_Daily!D194*market_share_C*acceptance_rate*stack_activation,power_mw*hours_per_day,capacity_mwh))*DAMAS_Daily!F194*activation_mult_C)</f>
        <v/>
      </c>
      <c r="N194" s="24">
        <f>F194+M194</f>
        <v/>
      </c>
    </row>
    <row r="195">
      <c r="A195" s="41">
        <f>DAMAS_Daily!A195</f>
        <v/>
      </c>
      <c r="B195" s="42">
        <f>DAMAS_Daily!B195</f>
        <v/>
      </c>
      <c r="C195" s="42">
        <f>IF((power_mw*hours_per_day*damas_afrr_up*capacity_mult_C*stack_capacity*acceptance_rate+(MIN(DAMAS_Daily!C195*market_share_C*acceptance_rate*stack_activation,power_mw*hours_per_day,capacity_mwh))*DAMAS_Daily!E195*activation_mult_C)&gt;=(power_mw*hours_per_day*damas_afrr_down*capacity_mult_C*stack_capacity*acceptance_rate+(MIN(DAMAS_Daily!D195*market_share_C*acceptance_rate*stack_activation,power_mw*hours_per_day,capacity_mwh))*DAMAS_Daily!F195*activation_mult_C),"aFRR+","aFRR-")</f>
        <v/>
      </c>
      <c r="D195" s="43">
        <f>IF(C195="aFRR+",damas_afrr_up*capacity_mult_C,damas_afrr_down*capacity_mult_C)</f>
        <v/>
      </c>
      <c r="E195" s="44">
        <f>acceptance_rate</f>
        <v/>
      </c>
      <c r="F195" s="23">
        <f>IF(C195="aFRR+",power_mw*hours_per_day*damas_afrr_up*capacity_mult_C*stack_capacity*acceptance_rate,power_mw*hours_per_day*damas_afrr_down*capacity_mult_C*stack_capacity*acceptance_rate)</f>
        <v/>
      </c>
      <c r="G195" s="42">
        <f>IF(C195="aFRR+",DAMAS_Daily!I195,DAMAS_Daily!J195)</f>
        <v/>
      </c>
      <c r="H195" s="43">
        <f>IF(C195="aFRR+",DAMAS_Daily!E195,DAMAS_Daily!F195)</f>
        <v/>
      </c>
      <c r="I195" s="43">
        <f>IF(C195="aFRR+",DAMAS_Daily!G195,DAMAS_Daily!H195)</f>
        <v/>
      </c>
      <c r="J195" s="45">
        <f>IF(C195="aFRR+",DAMAS_Daily!C195,DAMAS_Daily!D195)</f>
        <v/>
      </c>
      <c r="K195" s="45">
        <f>IF(C195="aFRR+",MIN(DAMAS_Daily!C195*market_share_C*acceptance_rate*stack_activation,power_mw*hours_per_day,capacity_mwh),MIN(DAMAS_Daily!D195*market_share_C*acceptance_rate*stack_activation,power_mw*hours_per_day,capacity_mwh))</f>
        <v/>
      </c>
      <c r="L195" s="42">
        <f>IF(K195&gt;=capacity_mwh-0.01,"yes","no")</f>
        <v/>
      </c>
      <c r="M195" s="23">
        <f>IF(C195="aFRR+",(MIN(DAMAS_Daily!C195*market_share_C*acceptance_rate*stack_activation,power_mw*hours_per_day,capacity_mwh))*DAMAS_Daily!E195*activation_mult_C,(MIN(DAMAS_Daily!D195*market_share_C*acceptance_rate*stack_activation,power_mw*hours_per_day,capacity_mwh))*DAMAS_Daily!F195*activation_mult_C)</f>
        <v/>
      </c>
      <c r="N195" s="24">
        <f>F195+M195</f>
        <v/>
      </c>
    </row>
    <row r="196">
      <c r="A196" s="41">
        <f>DAMAS_Daily!A196</f>
        <v/>
      </c>
      <c r="B196" s="42">
        <f>DAMAS_Daily!B196</f>
        <v/>
      </c>
      <c r="C196" s="42">
        <f>IF((power_mw*hours_per_day*damas_afrr_up*capacity_mult_C*stack_capacity*acceptance_rate+(MIN(DAMAS_Daily!C196*market_share_C*acceptance_rate*stack_activation,power_mw*hours_per_day,capacity_mwh))*DAMAS_Daily!E196*activation_mult_C)&gt;=(power_mw*hours_per_day*damas_afrr_down*capacity_mult_C*stack_capacity*acceptance_rate+(MIN(DAMAS_Daily!D196*market_share_C*acceptance_rate*stack_activation,power_mw*hours_per_day,capacity_mwh))*DAMAS_Daily!F196*activation_mult_C),"aFRR+","aFRR-")</f>
        <v/>
      </c>
      <c r="D196" s="43">
        <f>IF(C196="aFRR+",damas_afrr_up*capacity_mult_C,damas_afrr_down*capacity_mult_C)</f>
        <v/>
      </c>
      <c r="E196" s="44">
        <f>acceptance_rate</f>
        <v/>
      </c>
      <c r="F196" s="23">
        <f>IF(C196="aFRR+",power_mw*hours_per_day*damas_afrr_up*capacity_mult_C*stack_capacity*acceptance_rate,power_mw*hours_per_day*damas_afrr_down*capacity_mult_C*stack_capacity*acceptance_rate)</f>
        <v/>
      </c>
      <c r="G196" s="42">
        <f>IF(C196="aFRR+",DAMAS_Daily!I196,DAMAS_Daily!J196)</f>
        <v/>
      </c>
      <c r="H196" s="43">
        <f>IF(C196="aFRR+",DAMAS_Daily!E196,DAMAS_Daily!F196)</f>
        <v/>
      </c>
      <c r="I196" s="43">
        <f>IF(C196="aFRR+",DAMAS_Daily!G196,DAMAS_Daily!H196)</f>
        <v/>
      </c>
      <c r="J196" s="45">
        <f>IF(C196="aFRR+",DAMAS_Daily!C196,DAMAS_Daily!D196)</f>
        <v/>
      </c>
      <c r="K196" s="45">
        <f>IF(C196="aFRR+",MIN(DAMAS_Daily!C196*market_share_C*acceptance_rate*stack_activation,power_mw*hours_per_day,capacity_mwh),MIN(DAMAS_Daily!D196*market_share_C*acceptance_rate*stack_activation,power_mw*hours_per_day,capacity_mwh))</f>
        <v/>
      </c>
      <c r="L196" s="42">
        <f>IF(K196&gt;=capacity_mwh-0.01,"yes","no")</f>
        <v/>
      </c>
      <c r="M196" s="23">
        <f>IF(C196="aFRR+",(MIN(DAMAS_Daily!C196*market_share_C*acceptance_rate*stack_activation,power_mw*hours_per_day,capacity_mwh))*DAMAS_Daily!E196*activation_mult_C,(MIN(DAMAS_Daily!D196*market_share_C*acceptance_rate*stack_activation,power_mw*hours_per_day,capacity_mwh))*DAMAS_Daily!F196*activation_mult_C)</f>
        <v/>
      </c>
      <c r="N196" s="24">
        <f>F196+M196</f>
        <v/>
      </c>
    </row>
    <row r="197">
      <c r="A197" s="41">
        <f>DAMAS_Daily!A197</f>
        <v/>
      </c>
      <c r="B197" s="42">
        <f>DAMAS_Daily!B197</f>
        <v/>
      </c>
      <c r="C197" s="42">
        <f>IF((power_mw*hours_per_day*damas_afrr_up*capacity_mult_C*stack_capacity*acceptance_rate+(MIN(DAMAS_Daily!C197*market_share_C*acceptance_rate*stack_activation,power_mw*hours_per_day,capacity_mwh))*DAMAS_Daily!E197*activation_mult_C)&gt;=(power_mw*hours_per_day*damas_afrr_down*capacity_mult_C*stack_capacity*acceptance_rate+(MIN(DAMAS_Daily!D197*market_share_C*acceptance_rate*stack_activation,power_mw*hours_per_day,capacity_mwh))*DAMAS_Daily!F197*activation_mult_C),"aFRR+","aFRR-")</f>
        <v/>
      </c>
      <c r="D197" s="43">
        <f>IF(C197="aFRR+",damas_afrr_up*capacity_mult_C,damas_afrr_down*capacity_mult_C)</f>
        <v/>
      </c>
      <c r="E197" s="44">
        <f>acceptance_rate</f>
        <v/>
      </c>
      <c r="F197" s="23">
        <f>IF(C197="aFRR+",power_mw*hours_per_day*damas_afrr_up*capacity_mult_C*stack_capacity*acceptance_rate,power_mw*hours_per_day*damas_afrr_down*capacity_mult_C*stack_capacity*acceptance_rate)</f>
        <v/>
      </c>
      <c r="G197" s="42">
        <f>IF(C197="aFRR+",DAMAS_Daily!I197,DAMAS_Daily!J197)</f>
        <v/>
      </c>
      <c r="H197" s="43">
        <f>IF(C197="aFRR+",DAMAS_Daily!E197,DAMAS_Daily!F197)</f>
        <v/>
      </c>
      <c r="I197" s="43">
        <f>IF(C197="aFRR+",DAMAS_Daily!G197,DAMAS_Daily!H197)</f>
        <v/>
      </c>
      <c r="J197" s="45">
        <f>IF(C197="aFRR+",DAMAS_Daily!C197,DAMAS_Daily!D197)</f>
        <v/>
      </c>
      <c r="K197" s="45">
        <f>IF(C197="aFRR+",MIN(DAMAS_Daily!C197*market_share_C*acceptance_rate*stack_activation,power_mw*hours_per_day,capacity_mwh),MIN(DAMAS_Daily!D197*market_share_C*acceptance_rate*stack_activation,power_mw*hours_per_day,capacity_mwh))</f>
        <v/>
      </c>
      <c r="L197" s="42">
        <f>IF(K197&gt;=capacity_mwh-0.01,"yes","no")</f>
        <v/>
      </c>
      <c r="M197" s="23">
        <f>IF(C197="aFRR+",(MIN(DAMAS_Daily!C197*market_share_C*acceptance_rate*stack_activation,power_mw*hours_per_day,capacity_mwh))*DAMAS_Daily!E197*activation_mult_C,(MIN(DAMAS_Daily!D197*market_share_C*acceptance_rate*stack_activation,power_mw*hours_per_day,capacity_mwh))*DAMAS_Daily!F197*activation_mult_C)</f>
        <v/>
      </c>
      <c r="N197" s="24">
        <f>F197+M197</f>
        <v/>
      </c>
    </row>
    <row r="198">
      <c r="A198" s="41">
        <f>DAMAS_Daily!A198</f>
        <v/>
      </c>
      <c r="B198" s="42">
        <f>DAMAS_Daily!B198</f>
        <v/>
      </c>
      <c r="C198" s="42">
        <f>IF((power_mw*hours_per_day*damas_afrr_up*capacity_mult_C*stack_capacity*acceptance_rate+(MIN(DAMAS_Daily!C198*market_share_C*acceptance_rate*stack_activation,power_mw*hours_per_day,capacity_mwh))*DAMAS_Daily!E198*activation_mult_C)&gt;=(power_mw*hours_per_day*damas_afrr_down*capacity_mult_C*stack_capacity*acceptance_rate+(MIN(DAMAS_Daily!D198*market_share_C*acceptance_rate*stack_activation,power_mw*hours_per_day,capacity_mwh))*DAMAS_Daily!F198*activation_mult_C),"aFRR+","aFRR-")</f>
        <v/>
      </c>
      <c r="D198" s="43">
        <f>IF(C198="aFRR+",damas_afrr_up*capacity_mult_C,damas_afrr_down*capacity_mult_C)</f>
        <v/>
      </c>
      <c r="E198" s="44">
        <f>acceptance_rate</f>
        <v/>
      </c>
      <c r="F198" s="23">
        <f>IF(C198="aFRR+",power_mw*hours_per_day*damas_afrr_up*capacity_mult_C*stack_capacity*acceptance_rate,power_mw*hours_per_day*damas_afrr_down*capacity_mult_C*stack_capacity*acceptance_rate)</f>
        <v/>
      </c>
      <c r="G198" s="42">
        <f>IF(C198="aFRR+",DAMAS_Daily!I198,DAMAS_Daily!J198)</f>
        <v/>
      </c>
      <c r="H198" s="43">
        <f>IF(C198="aFRR+",DAMAS_Daily!E198,DAMAS_Daily!F198)</f>
        <v/>
      </c>
      <c r="I198" s="43">
        <f>IF(C198="aFRR+",DAMAS_Daily!G198,DAMAS_Daily!H198)</f>
        <v/>
      </c>
      <c r="J198" s="45">
        <f>IF(C198="aFRR+",DAMAS_Daily!C198,DAMAS_Daily!D198)</f>
        <v/>
      </c>
      <c r="K198" s="45">
        <f>IF(C198="aFRR+",MIN(DAMAS_Daily!C198*market_share_C*acceptance_rate*stack_activation,power_mw*hours_per_day,capacity_mwh),MIN(DAMAS_Daily!D198*market_share_C*acceptance_rate*stack_activation,power_mw*hours_per_day,capacity_mwh))</f>
        <v/>
      </c>
      <c r="L198" s="42">
        <f>IF(K198&gt;=capacity_mwh-0.01,"yes","no")</f>
        <v/>
      </c>
      <c r="M198" s="23">
        <f>IF(C198="aFRR+",(MIN(DAMAS_Daily!C198*market_share_C*acceptance_rate*stack_activation,power_mw*hours_per_day,capacity_mwh))*DAMAS_Daily!E198*activation_mult_C,(MIN(DAMAS_Daily!D198*market_share_C*acceptance_rate*stack_activation,power_mw*hours_per_day,capacity_mwh))*DAMAS_Daily!F198*activation_mult_C)</f>
        <v/>
      </c>
      <c r="N198" s="24">
        <f>F198+M198</f>
        <v/>
      </c>
    </row>
    <row r="199">
      <c r="A199" s="41">
        <f>DAMAS_Daily!A199</f>
        <v/>
      </c>
      <c r="B199" s="42">
        <f>DAMAS_Daily!B199</f>
        <v/>
      </c>
      <c r="C199" s="42">
        <f>IF((power_mw*hours_per_day*damas_afrr_up*capacity_mult_C*stack_capacity*acceptance_rate+(MIN(DAMAS_Daily!C199*market_share_C*acceptance_rate*stack_activation,power_mw*hours_per_day,capacity_mwh))*DAMAS_Daily!E199*activation_mult_C)&gt;=(power_mw*hours_per_day*damas_afrr_down*capacity_mult_C*stack_capacity*acceptance_rate+(MIN(DAMAS_Daily!D199*market_share_C*acceptance_rate*stack_activation,power_mw*hours_per_day,capacity_mwh))*DAMAS_Daily!F199*activation_mult_C),"aFRR+","aFRR-")</f>
        <v/>
      </c>
      <c r="D199" s="43">
        <f>IF(C199="aFRR+",damas_afrr_up*capacity_mult_C,damas_afrr_down*capacity_mult_C)</f>
        <v/>
      </c>
      <c r="E199" s="44">
        <f>acceptance_rate</f>
        <v/>
      </c>
      <c r="F199" s="23">
        <f>IF(C199="aFRR+",power_mw*hours_per_day*damas_afrr_up*capacity_mult_C*stack_capacity*acceptance_rate,power_mw*hours_per_day*damas_afrr_down*capacity_mult_C*stack_capacity*acceptance_rate)</f>
        <v/>
      </c>
      <c r="G199" s="42">
        <f>IF(C199="aFRR+",DAMAS_Daily!I199,DAMAS_Daily!J199)</f>
        <v/>
      </c>
      <c r="H199" s="43">
        <f>IF(C199="aFRR+",DAMAS_Daily!E199,DAMAS_Daily!F199)</f>
        <v/>
      </c>
      <c r="I199" s="43">
        <f>IF(C199="aFRR+",DAMAS_Daily!G199,DAMAS_Daily!H199)</f>
        <v/>
      </c>
      <c r="J199" s="45">
        <f>IF(C199="aFRR+",DAMAS_Daily!C199,DAMAS_Daily!D199)</f>
        <v/>
      </c>
      <c r="K199" s="45">
        <f>IF(C199="aFRR+",MIN(DAMAS_Daily!C199*market_share_C*acceptance_rate*stack_activation,power_mw*hours_per_day,capacity_mwh),MIN(DAMAS_Daily!D199*market_share_C*acceptance_rate*stack_activation,power_mw*hours_per_day,capacity_mwh))</f>
        <v/>
      </c>
      <c r="L199" s="42">
        <f>IF(K199&gt;=capacity_mwh-0.01,"yes","no")</f>
        <v/>
      </c>
      <c r="M199" s="23">
        <f>IF(C199="aFRR+",(MIN(DAMAS_Daily!C199*market_share_C*acceptance_rate*stack_activation,power_mw*hours_per_day,capacity_mwh))*DAMAS_Daily!E199*activation_mult_C,(MIN(DAMAS_Daily!D199*market_share_C*acceptance_rate*stack_activation,power_mw*hours_per_day,capacity_mwh))*DAMAS_Daily!F199*activation_mult_C)</f>
        <v/>
      </c>
      <c r="N199" s="24">
        <f>F199+M199</f>
        <v/>
      </c>
    </row>
    <row r="200">
      <c r="A200" s="41">
        <f>DAMAS_Daily!A200</f>
        <v/>
      </c>
      <c r="B200" s="42">
        <f>DAMAS_Daily!B200</f>
        <v/>
      </c>
      <c r="C200" s="42">
        <f>IF((power_mw*hours_per_day*damas_afrr_up*capacity_mult_C*stack_capacity*acceptance_rate+(MIN(DAMAS_Daily!C200*market_share_C*acceptance_rate*stack_activation,power_mw*hours_per_day,capacity_mwh))*DAMAS_Daily!E200*activation_mult_C)&gt;=(power_mw*hours_per_day*damas_afrr_down*capacity_mult_C*stack_capacity*acceptance_rate+(MIN(DAMAS_Daily!D200*market_share_C*acceptance_rate*stack_activation,power_mw*hours_per_day,capacity_mwh))*DAMAS_Daily!F200*activation_mult_C),"aFRR+","aFRR-")</f>
        <v/>
      </c>
      <c r="D200" s="43">
        <f>IF(C200="aFRR+",damas_afrr_up*capacity_mult_C,damas_afrr_down*capacity_mult_C)</f>
        <v/>
      </c>
      <c r="E200" s="44">
        <f>acceptance_rate</f>
        <v/>
      </c>
      <c r="F200" s="23">
        <f>IF(C200="aFRR+",power_mw*hours_per_day*damas_afrr_up*capacity_mult_C*stack_capacity*acceptance_rate,power_mw*hours_per_day*damas_afrr_down*capacity_mult_C*stack_capacity*acceptance_rate)</f>
        <v/>
      </c>
      <c r="G200" s="42">
        <f>IF(C200="aFRR+",DAMAS_Daily!I200,DAMAS_Daily!J200)</f>
        <v/>
      </c>
      <c r="H200" s="43">
        <f>IF(C200="aFRR+",DAMAS_Daily!E200,DAMAS_Daily!F200)</f>
        <v/>
      </c>
      <c r="I200" s="43">
        <f>IF(C200="aFRR+",DAMAS_Daily!G200,DAMAS_Daily!H200)</f>
        <v/>
      </c>
      <c r="J200" s="45">
        <f>IF(C200="aFRR+",DAMAS_Daily!C200,DAMAS_Daily!D200)</f>
        <v/>
      </c>
      <c r="K200" s="45">
        <f>IF(C200="aFRR+",MIN(DAMAS_Daily!C200*market_share_C*acceptance_rate*stack_activation,power_mw*hours_per_day,capacity_mwh),MIN(DAMAS_Daily!D200*market_share_C*acceptance_rate*stack_activation,power_mw*hours_per_day,capacity_mwh))</f>
        <v/>
      </c>
      <c r="L200" s="42">
        <f>IF(K200&gt;=capacity_mwh-0.01,"yes","no")</f>
        <v/>
      </c>
      <c r="M200" s="23">
        <f>IF(C200="aFRR+",(MIN(DAMAS_Daily!C200*market_share_C*acceptance_rate*stack_activation,power_mw*hours_per_day,capacity_mwh))*DAMAS_Daily!E200*activation_mult_C,(MIN(DAMAS_Daily!D200*market_share_C*acceptance_rate*stack_activation,power_mw*hours_per_day,capacity_mwh))*DAMAS_Daily!F200*activation_mult_C)</f>
        <v/>
      </c>
      <c r="N200" s="24">
        <f>F200+M200</f>
        <v/>
      </c>
    </row>
    <row r="201">
      <c r="A201" s="41">
        <f>DAMAS_Daily!A201</f>
        <v/>
      </c>
      <c r="B201" s="42">
        <f>DAMAS_Daily!B201</f>
        <v/>
      </c>
      <c r="C201" s="42">
        <f>IF((power_mw*hours_per_day*damas_afrr_up*capacity_mult_C*stack_capacity*acceptance_rate+(MIN(DAMAS_Daily!C201*market_share_C*acceptance_rate*stack_activation,power_mw*hours_per_day,capacity_mwh))*DAMAS_Daily!E201*activation_mult_C)&gt;=(power_mw*hours_per_day*damas_afrr_down*capacity_mult_C*stack_capacity*acceptance_rate+(MIN(DAMAS_Daily!D201*market_share_C*acceptance_rate*stack_activation,power_mw*hours_per_day,capacity_mwh))*DAMAS_Daily!F201*activation_mult_C),"aFRR+","aFRR-")</f>
        <v/>
      </c>
      <c r="D201" s="43">
        <f>IF(C201="aFRR+",damas_afrr_up*capacity_mult_C,damas_afrr_down*capacity_mult_C)</f>
        <v/>
      </c>
      <c r="E201" s="44">
        <f>acceptance_rate</f>
        <v/>
      </c>
      <c r="F201" s="23">
        <f>IF(C201="aFRR+",power_mw*hours_per_day*damas_afrr_up*capacity_mult_C*stack_capacity*acceptance_rate,power_mw*hours_per_day*damas_afrr_down*capacity_mult_C*stack_capacity*acceptance_rate)</f>
        <v/>
      </c>
      <c r="G201" s="42">
        <f>IF(C201="aFRR+",DAMAS_Daily!I201,DAMAS_Daily!J201)</f>
        <v/>
      </c>
      <c r="H201" s="43">
        <f>IF(C201="aFRR+",DAMAS_Daily!E201,DAMAS_Daily!F201)</f>
        <v/>
      </c>
      <c r="I201" s="43">
        <f>IF(C201="aFRR+",DAMAS_Daily!G201,DAMAS_Daily!H201)</f>
        <v/>
      </c>
      <c r="J201" s="45">
        <f>IF(C201="aFRR+",DAMAS_Daily!C201,DAMAS_Daily!D201)</f>
        <v/>
      </c>
      <c r="K201" s="45">
        <f>IF(C201="aFRR+",MIN(DAMAS_Daily!C201*market_share_C*acceptance_rate*stack_activation,power_mw*hours_per_day,capacity_mwh),MIN(DAMAS_Daily!D201*market_share_C*acceptance_rate*stack_activation,power_mw*hours_per_day,capacity_mwh))</f>
        <v/>
      </c>
      <c r="L201" s="42">
        <f>IF(K201&gt;=capacity_mwh-0.01,"yes","no")</f>
        <v/>
      </c>
      <c r="M201" s="23">
        <f>IF(C201="aFRR+",(MIN(DAMAS_Daily!C201*market_share_C*acceptance_rate*stack_activation,power_mw*hours_per_day,capacity_mwh))*DAMAS_Daily!E201*activation_mult_C,(MIN(DAMAS_Daily!D201*market_share_C*acceptance_rate*stack_activation,power_mw*hours_per_day,capacity_mwh))*DAMAS_Daily!F201*activation_mult_C)</f>
        <v/>
      </c>
      <c r="N201" s="24">
        <f>F201+M201</f>
        <v/>
      </c>
    </row>
    <row r="202">
      <c r="A202" s="41">
        <f>DAMAS_Daily!A202</f>
        <v/>
      </c>
      <c r="B202" s="42">
        <f>DAMAS_Daily!B202</f>
        <v/>
      </c>
      <c r="C202" s="42">
        <f>IF((power_mw*hours_per_day*damas_afrr_up*capacity_mult_C*stack_capacity*acceptance_rate+(MIN(DAMAS_Daily!C202*market_share_C*acceptance_rate*stack_activation,power_mw*hours_per_day,capacity_mwh))*DAMAS_Daily!E202*activation_mult_C)&gt;=(power_mw*hours_per_day*damas_afrr_down*capacity_mult_C*stack_capacity*acceptance_rate+(MIN(DAMAS_Daily!D202*market_share_C*acceptance_rate*stack_activation,power_mw*hours_per_day,capacity_mwh))*DAMAS_Daily!F202*activation_mult_C),"aFRR+","aFRR-")</f>
        <v/>
      </c>
      <c r="D202" s="43">
        <f>IF(C202="aFRR+",damas_afrr_up*capacity_mult_C,damas_afrr_down*capacity_mult_C)</f>
        <v/>
      </c>
      <c r="E202" s="44">
        <f>acceptance_rate</f>
        <v/>
      </c>
      <c r="F202" s="23">
        <f>IF(C202="aFRR+",power_mw*hours_per_day*damas_afrr_up*capacity_mult_C*stack_capacity*acceptance_rate,power_mw*hours_per_day*damas_afrr_down*capacity_mult_C*stack_capacity*acceptance_rate)</f>
        <v/>
      </c>
      <c r="G202" s="42">
        <f>IF(C202="aFRR+",DAMAS_Daily!I202,DAMAS_Daily!J202)</f>
        <v/>
      </c>
      <c r="H202" s="43">
        <f>IF(C202="aFRR+",DAMAS_Daily!E202,DAMAS_Daily!F202)</f>
        <v/>
      </c>
      <c r="I202" s="43">
        <f>IF(C202="aFRR+",DAMAS_Daily!G202,DAMAS_Daily!H202)</f>
        <v/>
      </c>
      <c r="J202" s="45">
        <f>IF(C202="aFRR+",DAMAS_Daily!C202,DAMAS_Daily!D202)</f>
        <v/>
      </c>
      <c r="K202" s="45">
        <f>IF(C202="aFRR+",MIN(DAMAS_Daily!C202*market_share_C*acceptance_rate*stack_activation,power_mw*hours_per_day,capacity_mwh),MIN(DAMAS_Daily!D202*market_share_C*acceptance_rate*stack_activation,power_mw*hours_per_day,capacity_mwh))</f>
        <v/>
      </c>
      <c r="L202" s="42">
        <f>IF(K202&gt;=capacity_mwh-0.01,"yes","no")</f>
        <v/>
      </c>
      <c r="M202" s="23">
        <f>IF(C202="aFRR+",(MIN(DAMAS_Daily!C202*market_share_C*acceptance_rate*stack_activation,power_mw*hours_per_day,capacity_mwh))*DAMAS_Daily!E202*activation_mult_C,(MIN(DAMAS_Daily!D202*market_share_C*acceptance_rate*stack_activation,power_mw*hours_per_day,capacity_mwh))*DAMAS_Daily!F202*activation_mult_C)</f>
        <v/>
      </c>
      <c r="N202" s="24">
        <f>F202+M202</f>
        <v/>
      </c>
    </row>
    <row r="203">
      <c r="A203" s="41">
        <f>DAMAS_Daily!A203</f>
        <v/>
      </c>
      <c r="B203" s="42">
        <f>DAMAS_Daily!B203</f>
        <v/>
      </c>
      <c r="C203" s="42">
        <f>IF((power_mw*hours_per_day*damas_afrr_up*capacity_mult_C*stack_capacity*acceptance_rate+(MIN(DAMAS_Daily!C203*market_share_C*acceptance_rate*stack_activation,power_mw*hours_per_day,capacity_mwh))*DAMAS_Daily!E203*activation_mult_C)&gt;=(power_mw*hours_per_day*damas_afrr_down*capacity_mult_C*stack_capacity*acceptance_rate+(MIN(DAMAS_Daily!D203*market_share_C*acceptance_rate*stack_activation,power_mw*hours_per_day,capacity_mwh))*DAMAS_Daily!F203*activation_mult_C),"aFRR+","aFRR-")</f>
        <v/>
      </c>
      <c r="D203" s="43">
        <f>IF(C203="aFRR+",damas_afrr_up*capacity_mult_C,damas_afrr_down*capacity_mult_C)</f>
        <v/>
      </c>
      <c r="E203" s="44">
        <f>acceptance_rate</f>
        <v/>
      </c>
      <c r="F203" s="23">
        <f>IF(C203="aFRR+",power_mw*hours_per_day*damas_afrr_up*capacity_mult_C*stack_capacity*acceptance_rate,power_mw*hours_per_day*damas_afrr_down*capacity_mult_C*stack_capacity*acceptance_rate)</f>
        <v/>
      </c>
      <c r="G203" s="42">
        <f>IF(C203="aFRR+",DAMAS_Daily!I203,DAMAS_Daily!J203)</f>
        <v/>
      </c>
      <c r="H203" s="43">
        <f>IF(C203="aFRR+",DAMAS_Daily!E203,DAMAS_Daily!F203)</f>
        <v/>
      </c>
      <c r="I203" s="43">
        <f>IF(C203="aFRR+",DAMAS_Daily!G203,DAMAS_Daily!H203)</f>
        <v/>
      </c>
      <c r="J203" s="45">
        <f>IF(C203="aFRR+",DAMAS_Daily!C203,DAMAS_Daily!D203)</f>
        <v/>
      </c>
      <c r="K203" s="45">
        <f>IF(C203="aFRR+",MIN(DAMAS_Daily!C203*market_share_C*acceptance_rate*stack_activation,power_mw*hours_per_day,capacity_mwh),MIN(DAMAS_Daily!D203*market_share_C*acceptance_rate*stack_activation,power_mw*hours_per_day,capacity_mwh))</f>
        <v/>
      </c>
      <c r="L203" s="42">
        <f>IF(K203&gt;=capacity_mwh-0.01,"yes","no")</f>
        <v/>
      </c>
      <c r="M203" s="23">
        <f>IF(C203="aFRR+",(MIN(DAMAS_Daily!C203*market_share_C*acceptance_rate*stack_activation,power_mw*hours_per_day,capacity_mwh))*DAMAS_Daily!E203*activation_mult_C,(MIN(DAMAS_Daily!D203*market_share_C*acceptance_rate*stack_activation,power_mw*hours_per_day,capacity_mwh))*DAMAS_Daily!F203*activation_mult_C)</f>
        <v/>
      </c>
      <c r="N203" s="24">
        <f>F203+M203</f>
        <v/>
      </c>
    </row>
    <row r="204">
      <c r="A204" s="41">
        <f>DAMAS_Daily!A204</f>
        <v/>
      </c>
      <c r="B204" s="42">
        <f>DAMAS_Daily!B204</f>
        <v/>
      </c>
      <c r="C204" s="42">
        <f>IF((power_mw*hours_per_day*damas_afrr_up*capacity_mult_C*stack_capacity*acceptance_rate+(MIN(DAMAS_Daily!C204*market_share_C*acceptance_rate*stack_activation,power_mw*hours_per_day,capacity_mwh))*DAMAS_Daily!E204*activation_mult_C)&gt;=(power_mw*hours_per_day*damas_afrr_down*capacity_mult_C*stack_capacity*acceptance_rate+(MIN(DAMAS_Daily!D204*market_share_C*acceptance_rate*stack_activation,power_mw*hours_per_day,capacity_mwh))*DAMAS_Daily!F204*activation_mult_C),"aFRR+","aFRR-")</f>
        <v/>
      </c>
      <c r="D204" s="43">
        <f>IF(C204="aFRR+",damas_afrr_up*capacity_mult_C,damas_afrr_down*capacity_mult_C)</f>
        <v/>
      </c>
      <c r="E204" s="44">
        <f>acceptance_rate</f>
        <v/>
      </c>
      <c r="F204" s="23">
        <f>IF(C204="aFRR+",power_mw*hours_per_day*damas_afrr_up*capacity_mult_C*stack_capacity*acceptance_rate,power_mw*hours_per_day*damas_afrr_down*capacity_mult_C*stack_capacity*acceptance_rate)</f>
        <v/>
      </c>
      <c r="G204" s="42">
        <f>IF(C204="aFRR+",DAMAS_Daily!I204,DAMAS_Daily!J204)</f>
        <v/>
      </c>
      <c r="H204" s="43">
        <f>IF(C204="aFRR+",DAMAS_Daily!E204,DAMAS_Daily!F204)</f>
        <v/>
      </c>
      <c r="I204" s="43">
        <f>IF(C204="aFRR+",DAMAS_Daily!G204,DAMAS_Daily!H204)</f>
        <v/>
      </c>
      <c r="J204" s="45">
        <f>IF(C204="aFRR+",DAMAS_Daily!C204,DAMAS_Daily!D204)</f>
        <v/>
      </c>
      <c r="K204" s="45">
        <f>IF(C204="aFRR+",MIN(DAMAS_Daily!C204*market_share_C*acceptance_rate*stack_activation,power_mw*hours_per_day,capacity_mwh),MIN(DAMAS_Daily!D204*market_share_C*acceptance_rate*stack_activation,power_mw*hours_per_day,capacity_mwh))</f>
        <v/>
      </c>
      <c r="L204" s="42">
        <f>IF(K204&gt;=capacity_mwh-0.01,"yes","no")</f>
        <v/>
      </c>
      <c r="M204" s="23">
        <f>IF(C204="aFRR+",(MIN(DAMAS_Daily!C204*market_share_C*acceptance_rate*stack_activation,power_mw*hours_per_day,capacity_mwh))*DAMAS_Daily!E204*activation_mult_C,(MIN(DAMAS_Daily!D204*market_share_C*acceptance_rate*stack_activation,power_mw*hours_per_day,capacity_mwh))*DAMAS_Daily!F204*activation_mult_C)</f>
        <v/>
      </c>
      <c r="N204" s="24">
        <f>F204+M204</f>
        <v/>
      </c>
    </row>
    <row r="205">
      <c r="A205" s="41">
        <f>DAMAS_Daily!A205</f>
        <v/>
      </c>
      <c r="B205" s="42">
        <f>DAMAS_Daily!B205</f>
        <v/>
      </c>
      <c r="C205" s="42">
        <f>IF((power_mw*hours_per_day*damas_afrr_up*capacity_mult_C*stack_capacity*acceptance_rate+(MIN(DAMAS_Daily!C205*market_share_C*acceptance_rate*stack_activation,power_mw*hours_per_day,capacity_mwh))*DAMAS_Daily!E205*activation_mult_C)&gt;=(power_mw*hours_per_day*damas_afrr_down*capacity_mult_C*stack_capacity*acceptance_rate+(MIN(DAMAS_Daily!D205*market_share_C*acceptance_rate*stack_activation,power_mw*hours_per_day,capacity_mwh))*DAMAS_Daily!F205*activation_mult_C),"aFRR+","aFRR-")</f>
        <v/>
      </c>
      <c r="D205" s="43">
        <f>IF(C205="aFRR+",damas_afrr_up*capacity_mult_C,damas_afrr_down*capacity_mult_C)</f>
        <v/>
      </c>
      <c r="E205" s="44">
        <f>acceptance_rate</f>
        <v/>
      </c>
      <c r="F205" s="23">
        <f>IF(C205="aFRR+",power_mw*hours_per_day*damas_afrr_up*capacity_mult_C*stack_capacity*acceptance_rate,power_mw*hours_per_day*damas_afrr_down*capacity_mult_C*stack_capacity*acceptance_rate)</f>
        <v/>
      </c>
      <c r="G205" s="42">
        <f>IF(C205="aFRR+",DAMAS_Daily!I205,DAMAS_Daily!J205)</f>
        <v/>
      </c>
      <c r="H205" s="43">
        <f>IF(C205="aFRR+",DAMAS_Daily!E205,DAMAS_Daily!F205)</f>
        <v/>
      </c>
      <c r="I205" s="43">
        <f>IF(C205="aFRR+",DAMAS_Daily!G205,DAMAS_Daily!H205)</f>
        <v/>
      </c>
      <c r="J205" s="45">
        <f>IF(C205="aFRR+",DAMAS_Daily!C205,DAMAS_Daily!D205)</f>
        <v/>
      </c>
      <c r="K205" s="45">
        <f>IF(C205="aFRR+",MIN(DAMAS_Daily!C205*market_share_C*acceptance_rate*stack_activation,power_mw*hours_per_day,capacity_mwh),MIN(DAMAS_Daily!D205*market_share_C*acceptance_rate*stack_activation,power_mw*hours_per_day,capacity_mwh))</f>
        <v/>
      </c>
      <c r="L205" s="42">
        <f>IF(K205&gt;=capacity_mwh-0.01,"yes","no")</f>
        <v/>
      </c>
      <c r="M205" s="23">
        <f>IF(C205="aFRR+",(MIN(DAMAS_Daily!C205*market_share_C*acceptance_rate*stack_activation,power_mw*hours_per_day,capacity_mwh))*DAMAS_Daily!E205*activation_mult_C,(MIN(DAMAS_Daily!D205*market_share_C*acceptance_rate*stack_activation,power_mw*hours_per_day,capacity_mwh))*DAMAS_Daily!F205*activation_mult_C)</f>
        <v/>
      </c>
      <c r="N205" s="24">
        <f>F205+M205</f>
        <v/>
      </c>
    </row>
    <row r="206">
      <c r="A206" s="41">
        <f>DAMAS_Daily!A206</f>
        <v/>
      </c>
      <c r="B206" s="42">
        <f>DAMAS_Daily!B206</f>
        <v/>
      </c>
      <c r="C206" s="42">
        <f>IF((power_mw*hours_per_day*damas_afrr_up*capacity_mult_C*stack_capacity*acceptance_rate+(MIN(DAMAS_Daily!C206*market_share_C*acceptance_rate*stack_activation,power_mw*hours_per_day,capacity_mwh))*DAMAS_Daily!E206*activation_mult_C)&gt;=(power_mw*hours_per_day*damas_afrr_down*capacity_mult_C*stack_capacity*acceptance_rate+(MIN(DAMAS_Daily!D206*market_share_C*acceptance_rate*stack_activation,power_mw*hours_per_day,capacity_mwh))*DAMAS_Daily!F206*activation_mult_C),"aFRR+","aFRR-")</f>
        <v/>
      </c>
      <c r="D206" s="43">
        <f>IF(C206="aFRR+",damas_afrr_up*capacity_mult_C,damas_afrr_down*capacity_mult_C)</f>
        <v/>
      </c>
      <c r="E206" s="44">
        <f>acceptance_rate</f>
        <v/>
      </c>
      <c r="F206" s="23">
        <f>IF(C206="aFRR+",power_mw*hours_per_day*damas_afrr_up*capacity_mult_C*stack_capacity*acceptance_rate,power_mw*hours_per_day*damas_afrr_down*capacity_mult_C*stack_capacity*acceptance_rate)</f>
        <v/>
      </c>
      <c r="G206" s="42">
        <f>IF(C206="aFRR+",DAMAS_Daily!I206,DAMAS_Daily!J206)</f>
        <v/>
      </c>
      <c r="H206" s="43">
        <f>IF(C206="aFRR+",DAMAS_Daily!E206,DAMAS_Daily!F206)</f>
        <v/>
      </c>
      <c r="I206" s="43">
        <f>IF(C206="aFRR+",DAMAS_Daily!G206,DAMAS_Daily!H206)</f>
        <v/>
      </c>
      <c r="J206" s="45">
        <f>IF(C206="aFRR+",DAMAS_Daily!C206,DAMAS_Daily!D206)</f>
        <v/>
      </c>
      <c r="K206" s="45">
        <f>IF(C206="aFRR+",MIN(DAMAS_Daily!C206*market_share_C*acceptance_rate*stack_activation,power_mw*hours_per_day,capacity_mwh),MIN(DAMAS_Daily!D206*market_share_C*acceptance_rate*stack_activation,power_mw*hours_per_day,capacity_mwh))</f>
        <v/>
      </c>
      <c r="L206" s="42">
        <f>IF(K206&gt;=capacity_mwh-0.01,"yes","no")</f>
        <v/>
      </c>
      <c r="M206" s="23">
        <f>IF(C206="aFRR+",(MIN(DAMAS_Daily!C206*market_share_C*acceptance_rate*stack_activation,power_mw*hours_per_day,capacity_mwh))*DAMAS_Daily!E206*activation_mult_C,(MIN(DAMAS_Daily!D206*market_share_C*acceptance_rate*stack_activation,power_mw*hours_per_day,capacity_mwh))*DAMAS_Daily!F206*activation_mult_C)</f>
        <v/>
      </c>
      <c r="N206" s="24">
        <f>F206+M206</f>
        <v/>
      </c>
    </row>
    <row r="207">
      <c r="A207" s="41">
        <f>DAMAS_Daily!A207</f>
        <v/>
      </c>
      <c r="B207" s="42">
        <f>DAMAS_Daily!B207</f>
        <v/>
      </c>
      <c r="C207" s="42">
        <f>IF((power_mw*hours_per_day*damas_afrr_up*capacity_mult_C*stack_capacity*acceptance_rate+(MIN(DAMAS_Daily!C207*market_share_C*acceptance_rate*stack_activation,power_mw*hours_per_day,capacity_mwh))*DAMAS_Daily!E207*activation_mult_C)&gt;=(power_mw*hours_per_day*damas_afrr_down*capacity_mult_C*stack_capacity*acceptance_rate+(MIN(DAMAS_Daily!D207*market_share_C*acceptance_rate*stack_activation,power_mw*hours_per_day,capacity_mwh))*DAMAS_Daily!F207*activation_mult_C),"aFRR+","aFRR-")</f>
        <v/>
      </c>
      <c r="D207" s="43">
        <f>IF(C207="aFRR+",damas_afrr_up*capacity_mult_C,damas_afrr_down*capacity_mult_C)</f>
        <v/>
      </c>
      <c r="E207" s="44">
        <f>acceptance_rate</f>
        <v/>
      </c>
      <c r="F207" s="23">
        <f>IF(C207="aFRR+",power_mw*hours_per_day*damas_afrr_up*capacity_mult_C*stack_capacity*acceptance_rate,power_mw*hours_per_day*damas_afrr_down*capacity_mult_C*stack_capacity*acceptance_rate)</f>
        <v/>
      </c>
      <c r="G207" s="42">
        <f>IF(C207="aFRR+",DAMAS_Daily!I207,DAMAS_Daily!J207)</f>
        <v/>
      </c>
      <c r="H207" s="43">
        <f>IF(C207="aFRR+",DAMAS_Daily!E207,DAMAS_Daily!F207)</f>
        <v/>
      </c>
      <c r="I207" s="43">
        <f>IF(C207="aFRR+",DAMAS_Daily!G207,DAMAS_Daily!H207)</f>
        <v/>
      </c>
      <c r="J207" s="45">
        <f>IF(C207="aFRR+",DAMAS_Daily!C207,DAMAS_Daily!D207)</f>
        <v/>
      </c>
      <c r="K207" s="45">
        <f>IF(C207="aFRR+",MIN(DAMAS_Daily!C207*market_share_C*acceptance_rate*stack_activation,power_mw*hours_per_day,capacity_mwh),MIN(DAMAS_Daily!D207*market_share_C*acceptance_rate*stack_activation,power_mw*hours_per_day,capacity_mwh))</f>
        <v/>
      </c>
      <c r="L207" s="42">
        <f>IF(K207&gt;=capacity_mwh-0.01,"yes","no")</f>
        <v/>
      </c>
      <c r="M207" s="23">
        <f>IF(C207="aFRR+",(MIN(DAMAS_Daily!C207*market_share_C*acceptance_rate*stack_activation,power_mw*hours_per_day,capacity_mwh))*DAMAS_Daily!E207*activation_mult_C,(MIN(DAMAS_Daily!D207*market_share_C*acceptance_rate*stack_activation,power_mw*hours_per_day,capacity_mwh))*DAMAS_Daily!F207*activation_mult_C)</f>
        <v/>
      </c>
      <c r="N207" s="24">
        <f>F207+M207</f>
        <v/>
      </c>
    </row>
    <row r="208">
      <c r="A208" s="41">
        <f>DAMAS_Daily!A208</f>
        <v/>
      </c>
      <c r="B208" s="42">
        <f>DAMAS_Daily!B208</f>
        <v/>
      </c>
      <c r="C208" s="42">
        <f>IF((power_mw*hours_per_day*damas_afrr_up*capacity_mult_C*stack_capacity*acceptance_rate+(MIN(DAMAS_Daily!C208*market_share_C*acceptance_rate*stack_activation,power_mw*hours_per_day,capacity_mwh))*DAMAS_Daily!E208*activation_mult_C)&gt;=(power_mw*hours_per_day*damas_afrr_down*capacity_mult_C*stack_capacity*acceptance_rate+(MIN(DAMAS_Daily!D208*market_share_C*acceptance_rate*stack_activation,power_mw*hours_per_day,capacity_mwh))*DAMAS_Daily!F208*activation_mult_C),"aFRR+","aFRR-")</f>
        <v/>
      </c>
      <c r="D208" s="43">
        <f>IF(C208="aFRR+",damas_afrr_up*capacity_mult_C,damas_afrr_down*capacity_mult_C)</f>
        <v/>
      </c>
      <c r="E208" s="44">
        <f>acceptance_rate</f>
        <v/>
      </c>
      <c r="F208" s="23">
        <f>IF(C208="aFRR+",power_mw*hours_per_day*damas_afrr_up*capacity_mult_C*stack_capacity*acceptance_rate,power_mw*hours_per_day*damas_afrr_down*capacity_mult_C*stack_capacity*acceptance_rate)</f>
        <v/>
      </c>
      <c r="G208" s="42">
        <f>IF(C208="aFRR+",DAMAS_Daily!I208,DAMAS_Daily!J208)</f>
        <v/>
      </c>
      <c r="H208" s="43">
        <f>IF(C208="aFRR+",DAMAS_Daily!E208,DAMAS_Daily!F208)</f>
        <v/>
      </c>
      <c r="I208" s="43">
        <f>IF(C208="aFRR+",DAMAS_Daily!G208,DAMAS_Daily!H208)</f>
        <v/>
      </c>
      <c r="J208" s="45">
        <f>IF(C208="aFRR+",DAMAS_Daily!C208,DAMAS_Daily!D208)</f>
        <v/>
      </c>
      <c r="K208" s="45">
        <f>IF(C208="aFRR+",MIN(DAMAS_Daily!C208*market_share_C*acceptance_rate*stack_activation,power_mw*hours_per_day,capacity_mwh),MIN(DAMAS_Daily!D208*market_share_C*acceptance_rate*stack_activation,power_mw*hours_per_day,capacity_mwh))</f>
        <v/>
      </c>
      <c r="L208" s="42">
        <f>IF(K208&gt;=capacity_mwh-0.01,"yes","no")</f>
        <v/>
      </c>
      <c r="M208" s="23">
        <f>IF(C208="aFRR+",(MIN(DAMAS_Daily!C208*market_share_C*acceptance_rate*stack_activation,power_mw*hours_per_day,capacity_mwh))*DAMAS_Daily!E208*activation_mult_C,(MIN(DAMAS_Daily!D208*market_share_C*acceptance_rate*stack_activation,power_mw*hours_per_day,capacity_mwh))*DAMAS_Daily!F208*activation_mult_C)</f>
        <v/>
      </c>
      <c r="N208" s="24">
        <f>F208+M208</f>
        <v/>
      </c>
    </row>
    <row r="209">
      <c r="A209" s="41">
        <f>DAMAS_Daily!A209</f>
        <v/>
      </c>
      <c r="B209" s="42">
        <f>DAMAS_Daily!B209</f>
        <v/>
      </c>
      <c r="C209" s="42">
        <f>IF((power_mw*hours_per_day*damas_afrr_up*capacity_mult_C*stack_capacity*acceptance_rate+(MIN(DAMAS_Daily!C209*market_share_C*acceptance_rate*stack_activation,power_mw*hours_per_day,capacity_mwh))*DAMAS_Daily!E209*activation_mult_C)&gt;=(power_mw*hours_per_day*damas_afrr_down*capacity_mult_C*stack_capacity*acceptance_rate+(MIN(DAMAS_Daily!D209*market_share_C*acceptance_rate*stack_activation,power_mw*hours_per_day,capacity_mwh))*DAMAS_Daily!F209*activation_mult_C),"aFRR+","aFRR-")</f>
        <v/>
      </c>
      <c r="D209" s="43">
        <f>IF(C209="aFRR+",damas_afrr_up*capacity_mult_C,damas_afrr_down*capacity_mult_C)</f>
        <v/>
      </c>
      <c r="E209" s="44">
        <f>acceptance_rate</f>
        <v/>
      </c>
      <c r="F209" s="23">
        <f>IF(C209="aFRR+",power_mw*hours_per_day*damas_afrr_up*capacity_mult_C*stack_capacity*acceptance_rate,power_mw*hours_per_day*damas_afrr_down*capacity_mult_C*stack_capacity*acceptance_rate)</f>
        <v/>
      </c>
      <c r="G209" s="42">
        <f>IF(C209="aFRR+",DAMAS_Daily!I209,DAMAS_Daily!J209)</f>
        <v/>
      </c>
      <c r="H209" s="43">
        <f>IF(C209="aFRR+",DAMAS_Daily!E209,DAMAS_Daily!F209)</f>
        <v/>
      </c>
      <c r="I209" s="43">
        <f>IF(C209="aFRR+",DAMAS_Daily!G209,DAMAS_Daily!H209)</f>
        <v/>
      </c>
      <c r="J209" s="45">
        <f>IF(C209="aFRR+",DAMAS_Daily!C209,DAMAS_Daily!D209)</f>
        <v/>
      </c>
      <c r="K209" s="45">
        <f>IF(C209="aFRR+",MIN(DAMAS_Daily!C209*market_share_C*acceptance_rate*stack_activation,power_mw*hours_per_day,capacity_mwh),MIN(DAMAS_Daily!D209*market_share_C*acceptance_rate*stack_activation,power_mw*hours_per_day,capacity_mwh))</f>
        <v/>
      </c>
      <c r="L209" s="42">
        <f>IF(K209&gt;=capacity_mwh-0.01,"yes","no")</f>
        <v/>
      </c>
      <c r="M209" s="23">
        <f>IF(C209="aFRR+",(MIN(DAMAS_Daily!C209*market_share_C*acceptance_rate*stack_activation,power_mw*hours_per_day,capacity_mwh))*DAMAS_Daily!E209*activation_mult_C,(MIN(DAMAS_Daily!D209*market_share_C*acceptance_rate*stack_activation,power_mw*hours_per_day,capacity_mwh))*DAMAS_Daily!F209*activation_mult_C)</f>
        <v/>
      </c>
      <c r="N209" s="24">
        <f>F209+M209</f>
        <v/>
      </c>
    </row>
    <row r="210">
      <c r="A210" s="41">
        <f>DAMAS_Daily!A210</f>
        <v/>
      </c>
      <c r="B210" s="42">
        <f>DAMAS_Daily!B210</f>
        <v/>
      </c>
      <c r="C210" s="42">
        <f>IF((power_mw*hours_per_day*damas_afrr_up*capacity_mult_C*stack_capacity*acceptance_rate+(MIN(DAMAS_Daily!C210*market_share_C*acceptance_rate*stack_activation,power_mw*hours_per_day,capacity_mwh))*DAMAS_Daily!E210*activation_mult_C)&gt;=(power_mw*hours_per_day*damas_afrr_down*capacity_mult_C*stack_capacity*acceptance_rate+(MIN(DAMAS_Daily!D210*market_share_C*acceptance_rate*stack_activation,power_mw*hours_per_day,capacity_mwh))*DAMAS_Daily!F210*activation_mult_C),"aFRR+","aFRR-")</f>
        <v/>
      </c>
      <c r="D210" s="43">
        <f>IF(C210="aFRR+",damas_afrr_up*capacity_mult_C,damas_afrr_down*capacity_mult_C)</f>
        <v/>
      </c>
      <c r="E210" s="44">
        <f>acceptance_rate</f>
        <v/>
      </c>
      <c r="F210" s="23">
        <f>IF(C210="aFRR+",power_mw*hours_per_day*damas_afrr_up*capacity_mult_C*stack_capacity*acceptance_rate,power_mw*hours_per_day*damas_afrr_down*capacity_mult_C*stack_capacity*acceptance_rate)</f>
        <v/>
      </c>
      <c r="G210" s="42">
        <f>IF(C210="aFRR+",DAMAS_Daily!I210,DAMAS_Daily!J210)</f>
        <v/>
      </c>
      <c r="H210" s="43">
        <f>IF(C210="aFRR+",DAMAS_Daily!E210,DAMAS_Daily!F210)</f>
        <v/>
      </c>
      <c r="I210" s="43">
        <f>IF(C210="aFRR+",DAMAS_Daily!G210,DAMAS_Daily!H210)</f>
        <v/>
      </c>
      <c r="J210" s="45">
        <f>IF(C210="aFRR+",DAMAS_Daily!C210,DAMAS_Daily!D210)</f>
        <v/>
      </c>
      <c r="K210" s="45">
        <f>IF(C210="aFRR+",MIN(DAMAS_Daily!C210*market_share_C*acceptance_rate*stack_activation,power_mw*hours_per_day,capacity_mwh),MIN(DAMAS_Daily!D210*market_share_C*acceptance_rate*stack_activation,power_mw*hours_per_day,capacity_mwh))</f>
        <v/>
      </c>
      <c r="L210" s="42">
        <f>IF(K210&gt;=capacity_mwh-0.01,"yes","no")</f>
        <v/>
      </c>
      <c r="M210" s="23">
        <f>IF(C210="aFRR+",(MIN(DAMAS_Daily!C210*market_share_C*acceptance_rate*stack_activation,power_mw*hours_per_day,capacity_mwh))*DAMAS_Daily!E210*activation_mult_C,(MIN(DAMAS_Daily!D210*market_share_C*acceptance_rate*stack_activation,power_mw*hours_per_day,capacity_mwh))*DAMAS_Daily!F210*activation_mult_C)</f>
        <v/>
      </c>
      <c r="N210" s="24">
        <f>F210+M210</f>
        <v/>
      </c>
    </row>
    <row r="211">
      <c r="A211" s="41">
        <f>DAMAS_Daily!A211</f>
        <v/>
      </c>
      <c r="B211" s="42">
        <f>DAMAS_Daily!B211</f>
        <v/>
      </c>
      <c r="C211" s="42">
        <f>IF((power_mw*hours_per_day*damas_afrr_up*capacity_mult_C*stack_capacity*acceptance_rate+(MIN(DAMAS_Daily!C211*market_share_C*acceptance_rate*stack_activation,power_mw*hours_per_day,capacity_mwh))*DAMAS_Daily!E211*activation_mult_C)&gt;=(power_mw*hours_per_day*damas_afrr_down*capacity_mult_C*stack_capacity*acceptance_rate+(MIN(DAMAS_Daily!D211*market_share_C*acceptance_rate*stack_activation,power_mw*hours_per_day,capacity_mwh))*DAMAS_Daily!F211*activation_mult_C),"aFRR+","aFRR-")</f>
        <v/>
      </c>
      <c r="D211" s="43">
        <f>IF(C211="aFRR+",damas_afrr_up*capacity_mult_C,damas_afrr_down*capacity_mult_C)</f>
        <v/>
      </c>
      <c r="E211" s="44">
        <f>acceptance_rate</f>
        <v/>
      </c>
      <c r="F211" s="23">
        <f>IF(C211="aFRR+",power_mw*hours_per_day*damas_afrr_up*capacity_mult_C*stack_capacity*acceptance_rate,power_mw*hours_per_day*damas_afrr_down*capacity_mult_C*stack_capacity*acceptance_rate)</f>
        <v/>
      </c>
      <c r="G211" s="42">
        <f>IF(C211="aFRR+",DAMAS_Daily!I211,DAMAS_Daily!J211)</f>
        <v/>
      </c>
      <c r="H211" s="43">
        <f>IF(C211="aFRR+",DAMAS_Daily!E211,DAMAS_Daily!F211)</f>
        <v/>
      </c>
      <c r="I211" s="43">
        <f>IF(C211="aFRR+",DAMAS_Daily!G211,DAMAS_Daily!H211)</f>
        <v/>
      </c>
      <c r="J211" s="45">
        <f>IF(C211="aFRR+",DAMAS_Daily!C211,DAMAS_Daily!D211)</f>
        <v/>
      </c>
      <c r="K211" s="45">
        <f>IF(C211="aFRR+",MIN(DAMAS_Daily!C211*market_share_C*acceptance_rate*stack_activation,power_mw*hours_per_day,capacity_mwh),MIN(DAMAS_Daily!D211*market_share_C*acceptance_rate*stack_activation,power_mw*hours_per_day,capacity_mwh))</f>
        <v/>
      </c>
      <c r="L211" s="42">
        <f>IF(K211&gt;=capacity_mwh-0.01,"yes","no")</f>
        <v/>
      </c>
      <c r="M211" s="23">
        <f>IF(C211="aFRR+",(MIN(DAMAS_Daily!C211*market_share_C*acceptance_rate*stack_activation,power_mw*hours_per_day,capacity_mwh))*DAMAS_Daily!E211*activation_mult_C,(MIN(DAMAS_Daily!D211*market_share_C*acceptance_rate*stack_activation,power_mw*hours_per_day,capacity_mwh))*DAMAS_Daily!F211*activation_mult_C)</f>
        <v/>
      </c>
      <c r="N211" s="24">
        <f>F211+M211</f>
        <v/>
      </c>
    </row>
    <row r="212">
      <c r="A212" s="41">
        <f>DAMAS_Daily!A212</f>
        <v/>
      </c>
      <c r="B212" s="42">
        <f>DAMAS_Daily!B212</f>
        <v/>
      </c>
      <c r="C212" s="42">
        <f>IF((power_mw*hours_per_day*damas_afrr_up*capacity_mult_C*stack_capacity*acceptance_rate+(MIN(DAMAS_Daily!C212*market_share_C*acceptance_rate*stack_activation,power_mw*hours_per_day,capacity_mwh))*DAMAS_Daily!E212*activation_mult_C)&gt;=(power_mw*hours_per_day*damas_afrr_down*capacity_mult_C*stack_capacity*acceptance_rate+(MIN(DAMAS_Daily!D212*market_share_C*acceptance_rate*stack_activation,power_mw*hours_per_day,capacity_mwh))*DAMAS_Daily!F212*activation_mult_C),"aFRR+","aFRR-")</f>
        <v/>
      </c>
      <c r="D212" s="43">
        <f>IF(C212="aFRR+",damas_afrr_up*capacity_mult_C,damas_afrr_down*capacity_mult_C)</f>
        <v/>
      </c>
      <c r="E212" s="44">
        <f>acceptance_rate</f>
        <v/>
      </c>
      <c r="F212" s="23">
        <f>IF(C212="aFRR+",power_mw*hours_per_day*damas_afrr_up*capacity_mult_C*stack_capacity*acceptance_rate,power_mw*hours_per_day*damas_afrr_down*capacity_mult_C*stack_capacity*acceptance_rate)</f>
        <v/>
      </c>
      <c r="G212" s="42">
        <f>IF(C212="aFRR+",DAMAS_Daily!I212,DAMAS_Daily!J212)</f>
        <v/>
      </c>
      <c r="H212" s="43">
        <f>IF(C212="aFRR+",DAMAS_Daily!E212,DAMAS_Daily!F212)</f>
        <v/>
      </c>
      <c r="I212" s="43">
        <f>IF(C212="aFRR+",DAMAS_Daily!G212,DAMAS_Daily!H212)</f>
        <v/>
      </c>
      <c r="J212" s="45">
        <f>IF(C212="aFRR+",DAMAS_Daily!C212,DAMAS_Daily!D212)</f>
        <v/>
      </c>
      <c r="K212" s="45">
        <f>IF(C212="aFRR+",MIN(DAMAS_Daily!C212*market_share_C*acceptance_rate*stack_activation,power_mw*hours_per_day,capacity_mwh),MIN(DAMAS_Daily!D212*market_share_C*acceptance_rate*stack_activation,power_mw*hours_per_day,capacity_mwh))</f>
        <v/>
      </c>
      <c r="L212" s="42">
        <f>IF(K212&gt;=capacity_mwh-0.01,"yes","no")</f>
        <v/>
      </c>
      <c r="M212" s="23">
        <f>IF(C212="aFRR+",(MIN(DAMAS_Daily!C212*market_share_C*acceptance_rate*stack_activation,power_mw*hours_per_day,capacity_mwh))*DAMAS_Daily!E212*activation_mult_C,(MIN(DAMAS_Daily!D212*market_share_C*acceptance_rate*stack_activation,power_mw*hours_per_day,capacity_mwh))*DAMAS_Daily!F212*activation_mult_C)</f>
        <v/>
      </c>
      <c r="N212" s="24">
        <f>F212+M212</f>
        <v/>
      </c>
    </row>
    <row r="213">
      <c r="A213" s="41">
        <f>DAMAS_Daily!A213</f>
        <v/>
      </c>
      <c r="B213" s="42">
        <f>DAMAS_Daily!B213</f>
        <v/>
      </c>
      <c r="C213" s="42">
        <f>IF((power_mw*hours_per_day*damas_afrr_up*capacity_mult_C*stack_capacity*acceptance_rate+(MIN(DAMAS_Daily!C213*market_share_C*acceptance_rate*stack_activation,power_mw*hours_per_day,capacity_mwh))*DAMAS_Daily!E213*activation_mult_C)&gt;=(power_mw*hours_per_day*damas_afrr_down*capacity_mult_C*stack_capacity*acceptance_rate+(MIN(DAMAS_Daily!D213*market_share_C*acceptance_rate*stack_activation,power_mw*hours_per_day,capacity_mwh))*DAMAS_Daily!F213*activation_mult_C),"aFRR+","aFRR-")</f>
        <v/>
      </c>
      <c r="D213" s="43">
        <f>IF(C213="aFRR+",damas_afrr_up*capacity_mult_C,damas_afrr_down*capacity_mult_C)</f>
        <v/>
      </c>
      <c r="E213" s="44">
        <f>acceptance_rate</f>
        <v/>
      </c>
      <c r="F213" s="23">
        <f>IF(C213="aFRR+",power_mw*hours_per_day*damas_afrr_up*capacity_mult_C*stack_capacity*acceptance_rate,power_mw*hours_per_day*damas_afrr_down*capacity_mult_C*stack_capacity*acceptance_rate)</f>
        <v/>
      </c>
      <c r="G213" s="42">
        <f>IF(C213="aFRR+",DAMAS_Daily!I213,DAMAS_Daily!J213)</f>
        <v/>
      </c>
      <c r="H213" s="43">
        <f>IF(C213="aFRR+",DAMAS_Daily!E213,DAMAS_Daily!F213)</f>
        <v/>
      </c>
      <c r="I213" s="43">
        <f>IF(C213="aFRR+",DAMAS_Daily!G213,DAMAS_Daily!H213)</f>
        <v/>
      </c>
      <c r="J213" s="45">
        <f>IF(C213="aFRR+",DAMAS_Daily!C213,DAMAS_Daily!D213)</f>
        <v/>
      </c>
      <c r="K213" s="45">
        <f>IF(C213="aFRR+",MIN(DAMAS_Daily!C213*market_share_C*acceptance_rate*stack_activation,power_mw*hours_per_day,capacity_mwh),MIN(DAMAS_Daily!D213*market_share_C*acceptance_rate*stack_activation,power_mw*hours_per_day,capacity_mwh))</f>
        <v/>
      </c>
      <c r="L213" s="42">
        <f>IF(K213&gt;=capacity_mwh-0.01,"yes","no")</f>
        <v/>
      </c>
      <c r="M213" s="23">
        <f>IF(C213="aFRR+",(MIN(DAMAS_Daily!C213*market_share_C*acceptance_rate*stack_activation,power_mw*hours_per_day,capacity_mwh))*DAMAS_Daily!E213*activation_mult_C,(MIN(DAMAS_Daily!D213*market_share_C*acceptance_rate*stack_activation,power_mw*hours_per_day,capacity_mwh))*DAMAS_Daily!F213*activation_mult_C)</f>
        <v/>
      </c>
      <c r="N213" s="24">
        <f>F213+M213</f>
        <v/>
      </c>
    </row>
    <row r="214">
      <c r="A214" s="41">
        <f>DAMAS_Daily!A214</f>
        <v/>
      </c>
      <c r="B214" s="42">
        <f>DAMAS_Daily!B214</f>
        <v/>
      </c>
      <c r="C214" s="42">
        <f>IF((power_mw*hours_per_day*damas_afrr_up*capacity_mult_C*stack_capacity*acceptance_rate+(MIN(DAMAS_Daily!C214*market_share_C*acceptance_rate*stack_activation,power_mw*hours_per_day,capacity_mwh))*DAMAS_Daily!E214*activation_mult_C)&gt;=(power_mw*hours_per_day*damas_afrr_down*capacity_mult_C*stack_capacity*acceptance_rate+(MIN(DAMAS_Daily!D214*market_share_C*acceptance_rate*stack_activation,power_mw*hours_per_day,capacity_mwh))*DAMAS_Daily!F214*activation_mult_C),"aFRR+","aFRR-")</f>
        <v/>
      </c>
      <c r="D214" s="43">
        <f>IF(C214="aFRR+",damas_afrr_up*capacity_mult_C,damas_afrr_down*capacity_mult_C)</f>
        <v/>
      </c>
      <c r="E214" s="44">
        <f>acceptance_rate</f>
        <v/>
      </c>
      <c r="F214" s="23">
        <f>IF(C214="aFRR+",power_mw*hours_per_day*damas_afrr_up*capacity_mult_C*stack_capacity*acceptance_rate,power_mw*hours_per_day*damas_afrr_down*capacity_mult_C*stack_capacity*acceptance_rate)</f>
        <v/>
      </c>
      <c r="G214" s="42">
        <f>IF(C214="aFRR+",DAMAS_Daily!I214,DAMAS_Daily!J214)</f>
        <v/>
      </c>
      <c r="H214" s="43">
        <f>IF(C214="aFRR+",DAMAS_Daily!E214,DAMAS_Daily!F214)</f>
        <v/>
      </c>
      <c r="I214" s="43">
        <f>IF(C214="aFRR+",DAMAS_Daily!G214,DAMAS_Daily!H214)</f>
        <v/>
      </c>
      <c r="J214" s="45">
        <f>IF(C214="aFRR+",DAMAS_Daily!C214,DAMAS_Daily!D214)</f>
        <v/>
      </c>
      <c r="K214" s="45">
        <f>IF(C214="aFRR+",MIN(DAMAS_Daily!C214*market_share_C*acceptance_rate*stack_activation,power_mw*hours_per_day,capacity_mwh),MIN(DAMAS_Daily!D214*market_share_C*acceptance_rate*stack_activation,power_mw*hours_per_day,capacity_mwh))</f>
        <v/>
      </c>
      <c r="L214" s="42">
        <f>IF(K214&gt;=capacity_mwh-0.01,"yes","no")</f>
        <v/>
      </c>
      <c r="M214" s="23">
        <f>IF(C214="aFRR+",(MIN(DAMAS_Daily!C214*market_share_C*acceptance_rate*stack_activation,power_mw*hours_per_day,capacity_mwh))*DAMAS_Daily!E214*activation_mult_C,(MIN(DAMAS_Daily!D214*market_share_C*acceptance_rate*stack_activation,power_mw*hours_per_day,capacity_mwh))*DAMAS_Daily!F214*activation_mult_C)</f>
        <v/>
      </c>
      <c r="N214" s="24">
        <f>F214+M214</f>
        <v/>
      </c>
    </row>
    <row r="215">
      <c r="A215" s="41">
        <f>DAMAS_Daily!A215</f>
        <v/>
      </c>
      <c r="B215" s="42">
        <f>DAMAS_Daily!B215</f>
        <v/>
      </c>
      <c r="C215" s="42">
        <f>IF((power_mw*hours_per_day*damas_afrr_up*capacity_mult_C*stack_capacity*acceptance_rate+(MIN(DAMAS_Daily!C215*market_share_C*acceptance_rate*stack_activation,power_mw*hours_per_day,capacity_mwh))*DAMAS_Daily!E215*activation_mult_C)&gt;=(power_mw*hours_per_day*damas_afrr_down*capacity_mult_C*stack_capacity*acceptance_rate+(MIN(DAMAS_Daily!D215*market_share_C*acceptance_rate*stack_activation,power_mw*hours_per_day,capacity_mwh))*DAMAS_Daily!F215*activation_mult_C),"aFRR+","aFRR-")</f>
        <v/>
      </c>
      <c r="D215" s="43">
        <f>IF(C215="aFRR+",damas_afrr_up*capacity_mult_C,damas_afrr_down*capacity_mult_C)</f>
        <v/>
      </c>
      <c r="E215" s="44">
        <f>acceptance_rate</f>
        <v/>
      </c>
      <c r="F215" s="23">
        <f>IF(C215="aFRR+",power_mw*hours_per_day*damas_afrr_up*capacity_mult_C*stack_capacity*acceptance_rate,power_mw*hours_per_day*damas_afrr_down*capacity_mult_C*stack_capacity*acceptance_rate)</f>
        <v/>
      </c>
      <c r="G215" s="42">
        <f>IF(C215="aFRR+",DAMAS_Daily!I215,DAMAS_Daily!J215)</f>
        <v/>
      </c>
      <c r="H215" s="43">
        <f>IF(C215="aFRR+",DAMAS_Daily!E215,DAMAS_Daily!F215)</f>
        <v/>
      </c>
      <c r="I215" s="43">
        <f>IF(C215="aFRR+",DAMAS_Daily!G215,DAMAS_Daily!H215)</f>
        <v/>
      </c>
      <c r="J215" s="45">
        <f>IF(C215="aFRR+",DAMAS_Daily!C215,DAMAS_Daily!D215)</f>
        <v/>
      </c>
      <c r="K215" s="45">
        <f>IF(C215="aFRR+",MIN(DAMAS_Daily!C215*market_share_C*acceptance_rate*stack_activation,power_mw*hours_per_day,capacity_mwh),MIN(DAMAS_Daily!D215*market_share_C*acceptance_rate*stack_activation,power_mw*hours_per_day,capacity_mwh))</f>
        <v/>
      </c>
      <c r="L215" s="42">
        <f>IF(K215&gt;=capacity_mwh-0.01,"yes","no")</f>
        <v/>
      </c>
      <c r="M215" s="23">
        <f>IF(C215="aFRR+",(MIN(DAMAS_Daily!C215*market_share_C*acceptance_rate*stack_activation,power_mw*hours_per_day,capacity_mwh))*DAMAS_Daily!E215*activation_mult_C,(MIN(DAMAS_Daily!D215*market_share_C*acceptance_rate*stack_activation,power_mw*hours_per_day,capacity_mwh))*DAMAS_Daily!F215*activation_mult_C)</f>
        <v/>
      </c>
      <c r="N215" s="24">
        <f>F215+M215</f>
        <v/>
      </c>
    </row>
    <row r="216">
      <c r="A216" s="41">
        <f>DAMAS_Daily!A216</f>
        <v/>
      </c>
      <c r="B216" s="42">
        <f>DAMAS_Daily!B216</f>
        <v/>
      </c>
      <c r="C216" s="42">
        <f>IF((power_mw*hours_per_day*damas_afrr_up*capacity_mult_C*stack_capacity*acceptance_rate+(MIN(DAMAS_Daily!C216*market_share_C*acceptance_rate*stack_activation,power_mw*hours_per_day,capacity_mwh))*DAMAS_Daily!E216*activation_mult_C)&gt;=(power_mw*hours_per_day*damas_afrr_down*capacity_mult_C*stack_capacity*acceptance_rate+(MIN(DAMAS_Daily!D216*market_share_C*acceptance_rate*stack_activation,power_mw*hours_per_day,capacity_mwh))*DAMAS_Daily!F216*activation_mult_C),"aFRR+","aFRR-")</f>
        <v/>
      </c>
      <c r="D216" s="43">
        <f>IF(C216="aFRR+",damas_afrr_up*capacity_mult_C,damas_afrr_down*capacity_mult_C)</f>
        <v/>
      </c>
      <c r="E216" s="44">
        <f>acceptance_rate</f>
        <v/>
      </c>
      <c r="F216" s="23">
        <f>IF(C216="aFRR+",power_mw*hours_per_day*damas_afrr_up*capacity_mult_C*stack_capacity*acceptance_rate,power_mw*hours_per_day*damas_afrr_down*capacity_mult_C*stack_capacity*acceptance_rate)</f>
        <v/>
      </c>
      <c r="G216" s="42">
        <f>IF(C216="aFRR+",DAMAS_Daily!I216,DAMAS_Daily!J216)</f>
        <v/>
      </c>
      <c r="H216" s="43">
        <f>IF(C216="aFRR+",DAMAS_Daily!E216,DAMAS_Daily!F216)</f>
        <v/>
      </c>
      <c r="I216" s="43">
        <f>IF(C216="aFRR+",DAMAS_Daily!G216,DAMAS_Daily!H216)</f>
        <v/>
      </c>
      <c r="J216" s="45">
        <f>IF(C216="aFRR+",DAMAS_Daily!C216,DAMAS_Daily!D216)</f>
        <v/>
      </c>
      <c r="K216" s="45">
        <f>IF(C216="aFRR+",MIN(DAMAS_Daily!C216*market_share_C*acceptance_rate*stack_activation,power_mw*hours_per_day,capacity_mwh),MIN(DAMAS_Daily!D216*market_share_C*acceptance_rate*stack_activation,power_mw*hours_per_day,capacity_mwh))</f>
        <v/>
      </c>
      <c r="L216" s="42">
        <f>IF(K216&gt;=capacity_mwh-0.01,"yes","no")</f>
        <v/>
      </c>
      <c r="M216" s="23">
        <f>IF(C216="aFRR+",(MIN(DAMAS_Daily!C216*market_share_C*acceptance_rate*stack_activation,power_mw*hours_per_day,capacity_mwh))*DAMAS_Daily!E216*activation_mult_C,(MIN(DAMAS_Daily!D216*market_share_C*acceptance_rate*stack_activation,power_mw*hours_per_day,capacity_mwh))*DAMAS_Daily!F216*activation_mult_C)</f>
        <v/>
      </c>
      <c r="N216" s="24">
        <f>F216+M216</f>
        <v/>
      </c>
    </row>
    <row r="217">
      <c r="A217" s="41">
        <f>DAMAS_Daily!A217</f>
        <v/>
      </c>
      <c r="B217" s="42">
        <f>DAMAS_Daily!B217</f>
        <v/>
      </c>
      <c r="C217" s="42">
        <f>IF((power_mw*hours_per_day*damas_afrr_up*capacity_mult_C*stack_capacity*acceptance_rate+(MIN(DAMAS_Daily!C217*market_share_C*acceptance_rate*stack_activation,power_mw*hours_per_day,capacity_mwh))*DAMAS_Daily!E217*activation_mult_C)&gt;=(power_mw*hours_per_day*damas_afrr_down*capacity_mult_C*stack_capacity*acceptance_rate+(MIN(DAMAS_Daily!D217*market_share_C*acceptance_rate*stack_activation,power_mw*hours_per_day,capacity_mwh))*DAMAS_Daily!F217*activation_mult_C),"aFRR+","aFRR-")</f>
        <v/>
      </c>
      <c r="D217" s="43">
        <f>IF(C217="aFRR+",damas_afrr_up*capacity_mult_C,damas_afrr_down*capacity_mult_C)</f>
        <v/>
      </c>
      <c r="E217" s="44">
        <f>acceptance_rate</f>
        <v/>
      </c>
      <c r="F217" s="23">
        <f>IF(C217="aFRR+",power_mw*hours_per_day*damas_afrr_up*capacity_mult_C*stack_capacity*acceptance_rate,power_mw*hours_per_day*damas_afrr_down*capacity_mult_C*stack_capacity*acceptance_rate)</f>
        <v/>
      </c>
      <c r="G217" s="42">
        <f>IF(C217="aFRR+",DAMAS_Daily!I217,DAMAS_Daily!J217)</f>
        <v/>
      </c>
      <c r="H217" s="43">
        <f>IF(C217="aFRR+",DAMAS_Daily!E217,DAMAS_Daily!F217)</f>
        <v/>
      </c>
      <c r="I217" s="43">
        <f>IF(C217="aFRR+",DAMAS_Daily!G217,DAMAS_Daily!H217)</f>
        <v/>
      </c>
      <c r="J217" s="45">
        <f>IF(C217="aFRR+",DAMAS_Daily!C217,DAMAS_Daily!D217)</f>
        <v/>
      </c>
      <c r="K217" s="45">
        <f>IF(C217="aFRR+",MIN(DAMAS_Daily!C217*market_share_C*acceptance_rate*stack_activation,power_mw*hours_per_day,capacity_mwh),MIN(DAMAS_Daily!D217*market_share_C*acceptance_rate*stack_activation,power_mw*hours_per_day,capacity_mwh))</f>
        <v/>
      </c>
      <c r="L217" s="42">
        <f>IF(K217&gt;=capacity_mwh-0.01,"yes","no")</f>
        <v/>
      </c>
      <c r="M217" s="23">
        <f>IF(C217="aFRR+",(MIN(DAMAS_Daily!C217*market_share_C*acceptance_rate*stack_activation,power_mw*hours_per_day,capacity_mwh))*DAMAS_Daily!E217*activation_mult_C,(MIN(DAMAS_Daily!D217*market_share_C*acceptance_rate*stack_activation,power_mw*hours_per_day,capacity_mwh))*DAMAS_Daily!F217*activation_mult_C)</f>
        <v/>
      </c>
      <c r="N217" s="24">
        <f>F217+M217</f>
        <v/>
      </c>
    </row>
    <row r="218">
      <c r="A218" s="41">
        <f>DAMAS_Daily!A218</f>
        <v/>
      </c>
      <c r="B218" s="42">
        <f>DAMAS_Daily!B218</f>
        <v/>
      </c>
      <c r="C218" s="42">
        <f>IF((power_mw*hours_per_day*damas_afrr_up*capacity_mult_C*stack_capacity*acceptance_rate+(MIN(DAMAS_Daily!C218*market_share_C*acceptance_rate*stack_activation,power_mw*hours_per_day,capacity_mwh))*DAMAS_Daily!E218*activation_mult_C)&gt;=(power_mw*hours_per_day*damas_afrr_down*capacity_mult_C*stack_capacity*acceptance_rate+(MIN(DAMAS_Daily!D218*market_share_C*acceptance_rate*stack_activation,power_mw*hours_per_day,capacity_mwh))*DAMAS_Daily!F218*activation_mult_C),"aFRR+","aFRR-")</f>
        <v/>
      </c>
      <c r="D218" s="43">
        <f>IF(C218="aFRR+",damas_afrr_up*capacity_mult_C,damas_afrr_down*capacity_mult_C)</f>
        <v/>
      </c>
      <c r="E218" s="44">
        <f>acceptance_rate</f>
        <v/>
      </c>
      <c r="F218" s="23">
        <f>IF(C218="aFRR+",power_mw*hours_per_day*damas_afrr_up*capacity_mult_C*stack_capacity*acceptance_rate,power_mw*hours_per_day*damas_afrr_down*capacity_mult_C*stack_capacity*acceptance_rate)</f>
        <v/>
      </c>
      <c r="G218" s="42">
        <f>IF(C218="aFRR+",DAMAS_Daily!I218,DAMAS_Daily!J218)</f>
        <v/>
      </c>
      <c r="H218" s="43">
        <f>IF(C218="aFRR+",DAMAS_Daily!E218,DAMAS_Daily!F218)</f>
        <v/>
      </c>
      <c r="I218" s="43">
        <f>IF(C218="aFRR+",DAMAS_Daily!G218,DAMAS_Daily!H218)</f>
        <v/>
      </c>
      <c r="J218" s="45">
        <f>IF(C218="aFRR+",DAMAS_Daily!C218,DAMAS_Daily!D218)</f>
        <v/>
      </c>
      <c r="K218" s="45">
        <f>IF(C218="aFRR+",MIN(DAMAS_Daily!C218*market_share_C*acceptance_rate*stack_activation,power_mw*hours_per_day,capacity_mwh),MIN(DAMAS_Daily!D218*market_share_C*acceptance_rate*stack_activation,power_mw*hours_per_day,capacity_mwh))</f>
        <v/>
      </c>
      <c r="L218" s="42">
        <f>IF(K218&gt;=capacity_mwh-0.01,"yes","no")</f>
        <v/>
      </c>
      <c r="M218" s="23">
        <f>IF(C218="aFRR+",(MIN(DAMAS_Daily!C218*market_share_C*acceptance_rate*stack_activation,power_mw*hours_per_day,capacity_mwh))*DAMAS_Daily!E218*activation_mult_C,(MIN(DAMAS_Daily!D218*market_share_C*acceptance_rate*stack_activation,power_mw*hours_per_day,capacity_mwh))*DAMAS_Daily!F218*activation_mult_C)</f>
        <v/>
      </c>
      <c r="N218" s="24">
        <f>F218+M218</f>
        <v/>
      </c>
    </row>
    <row r="219">
      <c r="A219" s="41">
        <f>DAMAS_Daily!A219</f>
        <v/>
      </c>
      <c r="B219" s="42">
        <f>DAMAS_Daily!B219</f>
        <v/>
      </c>
      <c r="C219" s="42">
        <f>IF((power_mw*hours_per_day*damas_afrr_up*capacity_mult_C*stack_capacity*acceptance_rate+(MIN(DAMAS_Daily!C219*market_share_C*acceptance_rate*stack_activation,power_mw*hours_per_day,capacity_mwh))*DAMAS_Daily!E219*activation_mult_C)&gt;=(power_mw*hours_per_day*damas_afrr_down*capacity_mult_C*stack_capacity*acceptance_rate+(MIN(DAMAS_Daily!D219*market_share_C*acceptance_rate*stack_activation,power_mw*hours_per_day,capacity_mwh))*DAMAS_Daily!F219*activation_mult_C),"aFRR+","aFRR-")</f>
        <v/>
      </c>
      <c r="D219" s="43">
        <f>IF(C219="aFRR+",damas_afrr_up*capacity_mult_C,damas_afrr_down*capacity_mult_C)</f>
        <v/>
      </c>
      <c r="E219" s="44">
        <f>acceptance_rate</f>
        <v/>
      </c>
      <c r="F219" s="23">
        <f>IF(C219="aFRR+",power_mw*hours_per_day*damas_afrr_up*capacity_mult_C*stack_capacity*acceptance_rate,power_mw*hours_per_day*damas_afrr_down*capacity_mult_C*stack_capacity*acceptance_rate)</f>
        <v/>
      </c>
      <c r="G219" s="42">
        <f>IF(C219="aFRR+",DAMAS_Daily!I219,DAMAS_Daily!J219)</f>
        <v/>
      </c>
      <c r="H219" s="43">
        <f>IF(C219="aFRR+",DAMAS_Daily!E219,DAMAS_Daily!F219)</f>
        <v/>
      </c>
      <c r="I219" s="43">
        <f>IF(C219="aFRR+",DAMAS_Daily!G219,DAMAS_Daily!H219)</f>
        <v/>
      </c>
      <c r="J219" s="45">
        <f>IF(C219="aFRR+",DAMAS_Daily!C219,DAMAS_Daily!D219)</f>
        <v/>
      </c>
      <c r="K219" s="45">
        <f>IF(C219="aFRR+",MIN(DAMAS_Daily!C219*market_share_C*acceptance_rate*stack_activation,power_mw*hours_per_day,capacity_mwh),MIN(DAMAS_Daily!D219*market_share_C*acceptance_rate*stack_activation,power_mw*hours_per_day,capacity_mwh))</f>
        <v/>
      </c>
      <c r="L219" s="42">
        <f>IF(K219&gt;=capacity_mwh-0.01,"yes","no")</f>
        <v/>
      </c>
      <c r="M219" s="23">
        <f>IF(C219="aFRR+",(MIN(DAMAS_Daily!C219*market_share_C*acceptance_rate*stack_activation,power_mw*hours_per_day,capacity_mwh))*DAMAS_Daily!E219*activation_mult_C,(MIN(DAMAS_Daily!D219*market_share_C*acceptance_rate*stack_activation,power_mw*hours_per_day,capacity_mwh))*DAMAS_Daily!F219*activation_mult_C)</f>
        <v/>
      </c>
      <c r="N219" s="24">
        <f>F219+M219</f>
        <v/>
      </c>
    </row>
    <row r="220">
      <c r="A220" s="41">
        <f>DAMAS_Daily!A220</f>
        <v/>
      </c>
      <c r="B220" s="42">
        <f>DAMAS_Daily!B220</f>
        <v/>
      </c>
      <c r="C220" s="42">
        <f>IF((power_mw*hours_per_day*damas_afrr_up*capacity_mult_C*stack_capacity*acceptance_rate+(MIN(DAMAS_Daily!C220*market_share_C*acceptance_rate*stack_activation,power_mw*hours_per_day,capacity_mwh))*DAMAS_Daily!E220*activation_mult_C)&gt;=(power_mw*hours_per_day*damas_afrr_down*capacity_mult_C*stack_capacity*acceptance_rate+(MIN(DAMAS_Daily!D220*market_share_C*acceptance_rate*stack_activation,power_mw*hours_per_day,capacity_mwh))*DAMAS_Daily!F220*activation_mult_C),"aFRR+","aFRR-")</f>
        <v/>
      </c>
      <c r="D220" s="43">
        <f>IF(C220="aFRR+",damas_afrr_up*capacity_mult_C,damas_afrr_down*capacity_mult_C)</f>
        <v/>
      </c>
      <c r="E220" s="44">
        <f>acceptance_rate</f>
        <v/>
      </c>
      <c r="F220" s="23">
        <f>IF(C220="aFRR+",power_mw*hours_per_day*damas_afrr_up*capacity_mult_C*stack_capacity*acceptance_rate,power_mw*hours_per_day*damas_afrr_down*capacity_mult_C*stack_capacity*acceptance_rate)</f>
        <v/>
      </c>
      <c r="G220" s="42">
        <f>IF(C220="aFRR+",DAMAS_Daily!I220,DAMAS_Daily!J220)</f>
        <v/>
      </c>
      <c r="H220" s="43">
        <f>IF(C220="aFRR+",DAMAS_Daily!E220,DAMAS_Daily!F220)</f>
        <v/>
      </c>
      <c r="I220" s="43">
        <f>IF(C220="aFRR+",DAMAS_Daily!G220,DAMAS_Daily!H220)</f>
        <v/>
      </c>
      <c r="J220" s="45">
        <f>IF(C220="aFRR+",DAMAS_Daily!C220,DAMAS_Daily!D220)</f>
        <v/>
      </c>
      <c r="K220" s="45">
        <f>IF(C220="aFRR+",MIN(DAMAS_Daily!C220*market_share_C*acceptance_rate*stack_activation,power_mw*hours_per_day,capacity_mwh),MIN(DAMAS_Daily!D220*market_share_C*acceptance_rate*stack_activation,power_mw*hours_per_day,capacity_mwh))</f>
        <v/>
      </c>
      <c r="L220" s="42">
        <f>IF(K220&gt;=capacity_mwh-0.01,"yes","no")</f>
        <v/>
      </c>
      <c r="M220" s="23">
        <f>IF(C220="aFRR+",(MIN(DAMAS_Daily!C220*market_share_C*acceptance_rate*stack_activation,power_mw*hours_per_day,capacity_mwh))*DAMAS_Daily!E220*activation_mult_C,(MIN(DAMAS_Daily!D220*market_share_C*acceptance_rate*stack_activation,power_mw*hours_per_day,capacity_mwh))*DAMAS_Daily!F220*activation_mult_C)</f>
        <v/>
      </c>
      <c r="N220" s="24">
        <f>F220+M220</f>
        <v/>
      </c>
    </row>
    <row r="221">
      <c r="A221" s="41">
        <f>DAMAS_Daily!A221</f>
        <v/>
      </c>
      <c r="B221" s="42">
        <f>DAMAS_Daily!B221</f>
        <v/>
      </c>
      <c r="C221" s="42">
        <f>IF((power_mw*hours_per_day*damas_afrr_up*capacity_mult_C*stack_capacity*acceptance_rate+(MIN(DAMAS_Daily!C221*market_share_C*acceptance_rate*stack_activation,power_mw*hours_per_day,capacity_mwh))*DAMAS_Daily!E221*activation_mult_C)&gt;=(power_mw*hours_per_day*damas_afrr_down*capacity_mult_C*stack_capacity*acceptance_rate+(MIN(DAMAS_Daily!D221*market_share_C*acceptance_rate*stack_activation,power_mw*hours_per_day,capacity_mwh))*DAMAS_Daily!F221*activation_mult_C),"aFRR+","aFRR-")</f>
        <v/>
      </c>
      <c r="D221" s="43">
        <f>IF(C221="aFRR+",damas_afrr_up*capacity_mult_C,damas_afrr_down*capacity_mult_C)</f>
        <v/>
      </c>
      <c r="E221" s="44">
        <f>acceptance_rate</f>
        <v/>
      </c>
      <c r="F221" s="23">
        <f>IF(C221="aFRR+",power_mw*hours_per_day*damas_afrr_up*capacity_mult_C*stack_capacity*acceptance_rate,power_mw*hours_per_day*damas_afrr_down*capacity_mult_C*stack_capacity*acceptance_rate)</f>
        <v/>
      </c>
      <c r="G221" s="42">
        <f>IF(C221="aFRR+",DAMAS_Daily!I221,DAMAS_Daily!J221)</f>
        <v/>
      </c>
      <c r="H221" s="43">
        <f>IF(C221="aFRR+",DAMAS_Daily!E221,DAMAS_Daily!F221)</f>
        <v/>
      </c>
      <c r="I221" s="43">
        <f>IF(C221="aFRR+",DAMAS_Daily!G221,DAMAS_Daily!H221)</f>
        <v/>
      </c>
      <c r="J221" s="45">
        <f>IF(C221="aFRR+",DAMAS_Daily!C221,DAMAS_Daily!D221)</f>
        <v/>
      </c>
      <c r="K221" s="45">
        <f>IF(C221="aFRR+",MIN(DAMAS_Daily!C221*market_share_C*acceptance_rate*stack_activation,power_mw*hours_per_day,capacity_mwh),MIN(DAMAS_Daily!D221*market_share_C*acceptance_rate*stack_activation,power_mw*hours_per_day,capacity_mwh))</f>
        <v/>
      </c>
      <c r="L221" s="42">
        <f>IF(K221&gt;=capacity_mwh-0.01,"yes","no")</f>
        <v/>
      </c>
      <c r="M221" s="23">
        <f>IF(C221="aFRR+",(MIN(DAMAS_Daily!C221*market_share_C*acceptance_rate*stack_activation,power_mw*hours_per_day,capacity_mwh))*DAMAS_Daily!E221*activation_mult_C,(MIN(DAMAS_Daily!D221*market_share_C*acceptance_rate*stack_activation,power_mw*hours_per_day,capacity_mwh))*DAMAS_Daily!F221*activation_mult_C)</f>
        <v/>
      </c>
      <c r="N221" s="24">
        <f>F221+M221</f>
        <v/>
      </c>
    </row>
    <row r="222">
      <c r="A222" s="41">
        <f>DAMAS_Daily!A222</f>
        <v/>
      </c>
      <c r="B222" s="42">
        <f>DAMAS_Daily!B222</f>
        <v/>
      </c>
      <c r="C222" s="42">
        <f>IF((power_mw*hours_per_day*damas_afrr_up*capacity_mult_C*stack_capacity*acceptance_rate+(MIN(DAMAS_Daily!C222*market_share_C*acceptance_rate*stack_activation,power_mw*hours_per_day,capacity_mwh))*DAMAS_Daily!E222*activation_mult_C)&gt;=(power_mw*hours_per_day*damas_afrr_down*capacity_mult_C*stack_capacity*acceptance_rate+(MIN(DAMAS_Daily!D222*market_share_C*acceptance_rate*stack_activation,power_mw*hours_per_day,capacity_mwh))*DAMAS_Daily!F222*activation_mult_C),"aFRR+","aFRR-")</f>
        <v/>
      </c>
      <c r="D222" s="43">
        <f>IF(C222="aFRR+",damas_afrr_up*capacity_mult_C,damas_afrr_down*capacity_mult_C)</f>
        <v/>
      </c>
      <c r="E222" s="44">
        <f>acceptance_rate</f>
        <v/>
      </c>
      <c r="F222" s="23">
        <f>IF(C222="aFRR+",power_mw*hours_per_day*damas_afrr_up*capacity_mult_C*stack_capacity*acceptance_rate,power_mw*hours_per_day*damas_afrr_down*capacity_mult_C*stack_capacity*acceptance_rate)</f>
        <v/>
      </c>
      <c r="G222" s="42">
        <f>IF(C222="aFRR+",DAMAS_Daily!I222,DAMAS_Daily!J222)</f>
        <v/>
      </c>
      <c r="H222" s="43">
        <f>IF(C222="aFRR+",DAMAS_Daily!E222,DAMAS_Daily!F222)</f>
        <v/>
      </c>
      <c r="I222" s="43">
        <f>IF(C222="aFRR+",DAMAS_Daily!G222,DAMAS_Daily!H222)</f>
        <v/>
      </c>
      <c r="J222" s="45">
        <f>IF(C222="aFRR+",DAMAS_Daily!C222,DAMAS_Daily!D222)</f>
        <v/>
      </c>
      <c r="K222" s="45">
        <f>IF(C222="aFRR+",MIN(DAMAS_Daily!C222*market_share_C*acceptance_rate*stack_activation,power_mw*hours_per_day,capacity_mwh),MIN(DAMAS_Daily!D222*market_share_C*acceptance_rate*stack_activation,power_mw*hours_per_day,capacity_mwh))</f>
        <v/>
      </c>
      <c r="L222" s="42">
        <f>IF(K222&gt;=capacity_mwh-0.01,"yes","no")</f>
        <v/>
      </c>
      <c r="M222" s="23">
        <f>IF(C222="aFRR+",(MIN(DAMAS_Daily!C222*market_share_C*acceptance_rate*stack_activation,power_mw*hours_per_day,capacity_mwh))*DAMAS_Daily!E222*activation_mult_C,(MIN(DAMAS_Daily!D222*market_share_C*acceptance_rate*stack_activation,power_mw*hours_per_day,capacity_mwh))*DAMAS_Daily!F222*activation_mult_C)</f>
        <v/>
      </c>
      <c r="N222" s="24">
        <f>F222+M222</f>
        <v/>
      </c>
    </row>
    <row r="223">
      <c r="A223" s="41">
        <f>DAMAS_Daily!A223</f>
        <v/>
      </c>
      <c r="B223" s="42">
        <f>DAMAS_Daily!B223</f>
        <v/>
      </c>
      <c r="C223" s="42">
        <f>IF((power_mw*hours_per_day*damas_afrr_up*capacity_mult_C*stack_capacity*acceptance_rate+(MIN(DAMAS_Daily!C223*market_share_C*acceptance_rate*stack_activation,power_mw*hours_per_day,capacity_mwh))*DAMAS_Daily!E223*activation_mult_C)&gt;=(power_mw*hours_per_day*damas_afrr_down*capacity_mult_C*stack_capacity*acceptance_rate+(MIN(DAMAS_Daily!D223*market_share_C*acceptance_rate*stack_activation,power_mw*hours_per_day,capacity_mwh))*DAMAS_Daily!F223*activation_mult_C),"aFRR+","aFRR-")</f>
        <v/>
      </c>
      <c r="D223" s="43">
        <f>IF(C223="aFRR+",damas_afrr_up*capacity_mult_C,damas_afrr_down*capacity_mult_C)</f>
        <v/>
      </c>
      <c r="E223" s="44">
        <f>acceptance_rate</f>
        <v/>
      </c>
      <c r="F223" s="23">
        <f>IF(C223="aFRR+",power_mw*hours_per_day*damas_afrr_up*capacity_mult_C*stack_capacity*acceptance_rate,power_mw*hours_per_day*damas_afrr_down*capacity_mult_C*stack_capacity*acceptance_rate)</f>
        <v/>
      </c>
      <c r="G223" s="42">
        <f>IF(C223="aFRR+",DAMAS_Daily!I223,DAMAS_Daily!J223)</f>
        <v/>
      </c>
      <c r="H223" s="43">
        <f>IF(C223="aFRR+",DAMAS_Daily!E223,DAMAS_Daily!F223)</f>
        <v/>
      </c>
      <c r="I223" s="43">
        <f>IF(C223="aFRR+",DAMAS_Daily!G223,DAMAS_Daily!H223)</f>
        <v/>
      </c>
      <c r="J223" s="45">
        <f>IF(C223="aFRR+",DAMAS_Daily!C223,DAMAS_Daily!D223)</f>
        <v/>
      </c>
      <c r="K223" s="45">
        <f>IF(C223="aFRR+",MIN(DAMAS_Daily!C223*market_share_C*acceptance_rate*stack_activation,power_mw*hours_per_day,capacity_mwh),MIN(DAMAS_Daily!D223*market_share_C*acceptance_rate*stack_activation,power_mw*hours_per_day,capacity_mwh))</f>
        <v/>
      </c>
      <c r="L223" s="42">
        <f>IF(K223&gt;=capacity_mwh-0.01,"yes","no")</f>
        <v/>
      </c>
      <c r="M223" s="23">
        <f>IF(C223="aFRR+",(MIN(DAMAS_Daily!C223*market_share_C*acceptance_rate*stack_activation,power_mw*hours_per_day,capacity_mwh))*DAMAS_Daily!E223*activation_mult_C,(MIN(DAMAS_Daily!D223*market_share_C*acceptance_rate*stack_activation,power_mw*hours_per_day,capacity_mwh))*DAMAS_Daily!F223*activation_mult_C)</f>
        <v/>
      </c>
      <c r="N223" s="24">
        <f>F223+M223</f>
        <v/>
      </c>
    </row>
    <row r="224">
      <c r="A224" s="41">
        <f>DAMAS_Daily!A224</f>
        <v/>
      </c>
      <c r="B224" s="42">
        <f>DAMAS_Daily!B224</f>
        <v/>
      </c>
      <c r="C224" s="42">
        <f>IF((power_mw*hours_per_day*damas_afrr_up*capacity_mult_C*stack_capacity*acceptance_rate+(MIN(DAMAS_Daily!C224*market_share_C*acceptance_rate*stack_activation,power_mw*hours_per_day,capacity_mwh))*DAMAS_Daily!E224*activation_mult_C)&gt;=(power_mw*hours_per_day*damas_afrr_down*capacity_mult_C*stack_capacity*acceptance_rate+(MIN(DAMAS_Daily!D224*market_share_C*acceptance_rate*stack_activation,power_mw*hours_per_day,capacity_mwh))*DAMAS_Daily!F224*activation_mult_C),"aFRR+","aFRR-")</f>
        <v/>
      </c>
      <c r="D224" s="43">
        <f>IF(C224="aFRR+",damas_afrr_up*capacity_mult_C,damas_afrr_down*capacity_mult_C)</f>
        <v/>
      </c>
      <c r="E224" s="44">
        <f>acceptance_rate</f>
        <v/>
      </c>
      <c r="F224" s="23">
        <f>IF(C224="aFRR+",power_mw*hours_per_day*damas_afrr_up*capacity_mult_C*stack_capacity*acceptance_rate,power_mw*hours_per_day*damas_afrr_down*capacity_mult_C*stack_capacity*acceptance_rate)</f>
        <v/>
      </c>
      <c r="G224" s="42">
        <f>IF(C224="aFRR+",DAMAS_Daily!I224,DAMAS_Daily!J224)</f>
        <v/>
      </c>
      <c r="H224" s="43">
        <f>IF(C224="aFRR+",DAMAS_Daily!E224,DAMAS_Daily!F224)</f>
        <v/>
      </c>
      <c r="I224" s="43">
        <f>IF(C224="aFRR+",DAMAS_Daily!G224,DAMAS_Daily!H224)</f>
        <v/>
      </c>
      <c r="J224" s="45">
        <f>IF(C224="aFRR+",DAMAS_Daily!C224,DAMAS_Daily!D224)</f>
        <v/>
      </c>
      <c r="K224" s="45">
        <f>IF(C224="aFRR+",MIN(DAMAS_Daily!C224*market_share_C*acceptance_rate*stack_activation,power_mw*hours_per_day,capacity_mwh),MIN(DAMAS_Daily!D224*market_share_C*acceptance_rate*stack_activation,power_mw*hours_per_day,capacity_mwh))</f>
        <v/>
      </c>
      <c r="L224" s="42">
        <f>IF(K224&gt;=capacity_mwh-0.01,"yes","no")</f>
        <v/>
      </c>
      <c r="M224" s="23">
        <f>IF(C224="aFRR+",(MIN(DAMAS_Daily!C224*market_share_C*acceptance_rate*stack_activation,power_mw*hours_per_day,capacity_mwh))*DAMAS_Daily!E224*activation_mult_C,(MIN(DAMAS_Daily!D224*market_share_C*acceptance_rate*stack_activation,power_mw*hours_per_day,capacity_mwh))*DAMAS_Daily!F224*activation_mult_C)</f>
        <v/>
      </c>
      <c r="N224" s="24">
        <f>F224+M224</f>
        <v/>
      </c>
    </row>
    <row r="225">
      <c r="A225" s="41">
        <f>DAMAS_Daily!A225</f>
        <v/>
      </c>
      <c r="B225" s="42">
        <f>DAMAS_Daily!B225</f>
        <v/>
      </c>
      <c r="C225" s="42">
        <f>IF((power_mw*hours_per_day*damas_afrr_up*capacity_mult_C*stack_capacity*acceptance_rate+(MIN(DAMAS_Daily!C225*market_share_C*acceptance_rate*stack_activation,power_mw*hours_per_day,capacity_mwh))*DAMAS_Daily!E225*activation_mult_C)&gt;=(power_mw*hours_per_day*damas_afrr_down*capacity_mult_C*stack_capacity*acceptance_rate+(MIN(DAMAS_Daily!D225*market_share_C*acceptance_rate*stack_activation,power_mw*hours_per_day,capacity_mwh))*DAMAS_Daily!F225*activation_mult_C),"aFRR+","aFRR-")</f>
        <v/>
      </c>
      <c r="D225" s="43">
        <f>IF(C225="aFRR+",damas_afrr_up*capacity_mult_C,damas_afrr_down*capacity_mult_C)</f>
        <v/>
      </c>
      <c r="E225" s="44">
        <f>acceptance_rate</f>
        <v/>
      </c>
      <c r="F225" s="23">
        <f>IF(C225="aFRR+",power_mw*hours_per_day*damas_afrr_up*capacity_mult_C*stack_capacity*acceptance_rate,power_mw*hours_per_day*damas_afrr_down*capacity_mult_C*stack_capacity*acceptance_rate)</f>
        <v/>
      </c>
      <c r="G225" s="42">
        <f>IF(C225="aFRR+",DAMAS_Daily!I225,DAMAS_Daily!J225)</f>
        <v/>
      </c>
      <c r="H225" s="43">
        <f>IF(C225="aFRR+",DAMAS_Daily!E225,DAMAS_Daily!F225)</f>
        <v/>
      </c>
      <c r="I225" s="43">
        <f>IF(C225="aFRR+",DAMAS_Daily!G225,DAMAS_Daily!H225)</f>
        <v/>
      </c>
      <c r="J225" s="45">
        <f>IF(C225="aFRR+",DAMAS_Daily!C225,DAMAS_Daily!D225)</f>
        <v/>
      </c>
      <c r="K225" s="45">
        <f>IF(C225="aFRR+",MIN(DAMAS_Daily!C225*market_share_C*acceptance_rate*stack_activation,power_mw*hours_per_day,capacity_mwh),MIN(DAMAS_Daily!D225*market_share_C*acceptance_rate*stack_activation,power_mw*hours_per_day,capacity_mwh))</f>
        <v/>
      </c>
      <c r="L225" s="42">
        <f>IF(K225&gt;=capacity_mwh-0.01,"yes","no")</f>
        <v/>
      </c>
      <c r="M225" s="23">
        <f>IF(C225="aFRR+",(MIN(DAMAS_Daily!C225*market_share_C*acceptance_rate*stack_activation,power_mw*hours_per_day,capacity_mwh))*DAMAS_Daily!E225*activation_mult_C,(MIN(DAMAS_Daily!D225*market_share_C*acceptance_rate*stack_activation,power_mw*hours_per_day,capacity_mwh))*DAMAS_Daily!F225*activation_mult_C)</f>
        <v/>
      </c>
      <c r="N225" s="24">
        <f>F225+M225</f>
        <v/>
      </c>
    </row>
    <row r="226">
      <c r="A226" s="41">
        <f>DAMAS_Daily!A226</f>
        <v/>
      </c>
      <c r="B226" s="42">
        <f>DAMAS_Daily!B226</f>
        <v/>
      </c>
      <c r="C226" s="42">
        <f>IF((power_mw*hours_per_day*damas_afrr_up*capacity_mult_C*stack_capacity*acceptance_rate+(MIN(DAMAS_Daily!C226*market_share_C*acceptance_rate*stack_activation,power_mw*hours_per_day,capacity_mwh))*DAMAS_Daily!E226*activation_mult_C)&gt;=(power_mw*hours_per_day*damas_afrr_down*capacity_mult_C*stack_capacity*acceptance_rate+(MIN(DAMAS_Daily!D226*market_share_C*acceptance_rate*stack_activation,power_mw*hours_per_day,capacity_mwh))*DAMAS_Daily!F226*activation_mult_C),"aFRR+","aFRR-")</f>
        <v/>
      </c>
      <c r="D226" s="43">
        <f>IF(C226="aFRR+",damas_afrr_up*capacity_mult_C,damas_afrr_down*capacity_mult_C)</f>
        <v/>
      </c>
      <c r="E226" s="44">
        <f>acceptance_rate</f>
        <v/>
      </c>
      <c r="F226" s="23">
        <f>IF(C226="aFRR+",power_mw*hours_per_day*damas_afrr_up*capacity_mult_C*stack_capacity*acceptance_rate,power_mw*hours_per_day*damas_afrr_down*capacity_mult_C*stack_capacity*acceptance_rate)</f>
        <v/>
      </c>
      <c r="G226" s="42">
        <f>IF(C226="aFRR+",DAMAS_Daily!I226,DAMAS_Daily!J226)</f>
        <v/>
      </c>
      <c r="H226" s="43">
        <f>IF(C226="aFRR+",DAMAS_Daily!E226,DAMAS_Daily!F226)</f>
        <v/>
      </c>
      <c r="I226" s="43">
        <f>IF(C226="aFRR+",DAMAS_Daily!G226,DAMAS_Daily!H226)</f>
        <v/>
      </c>
      <c r="J226" s="45">
        <f>IF(C226="aFRR+",DAMAS_Daily!C226,DAMAS_Daily!D226)</f>
        <v/>
      </c>
      <c r="K226" s="45">
        <f>IF(C226="aFRR+",MIN(DAMAS_Daily!C226*market_share_C*acceptance_rate*stack_activation,power_mw*hours_per_day,capacity_mwh),MIN(DAMAS_Daily!D226*market_share_C*acceptance_rate*stack_activation,power_mw*hours_per_day,capacity_mwh))</f>
        <v/>
      </c>
      <c r="L226" s="42">
        <f>IF(K226&gt;=capacity_mwh-0.01,"yes","no")</f>
        <v/>
      </c>
      <c r="M226" s="23">
        <f>IF(C226="aFRR+",(MIN(DAMAS_Daily!C226*market_share_C*acceptance_rate*stack_activation,power_mw*hours_per_day,capacity_mwh))*DAMAS_Daily!E226*activation_mult_C,(MIN(DAMAS_Daily!D226*market_share_C*acceptance_rate*stack_activation,power_mw*hours_per_day,capacity_mwh))*DAMAS_Daily!F226*activation_mult_C)</f>
        <v/>
      </c>
      <c r="N226" s="24">
        <f>F226+M226</f>
        <v/>
      </c>
    </row>
    <row r="227">
      <c r="A227" s="41">
        <f>DAMAS_Daily!A227</f>
        <v/>
      </c>
      <c r="B227" s="42">
        <f>DAMAS_Daily!B227</f>
        <v/>
      </c>
      <c r="C227" s="42">
        <f>IF((power_mw*hours_per_day*damas_afrr_up*capacity_mult_C*stack_capacity*acceptance_rate+(MIN(DAMAS_Daily!C227*market_share_C*acceptance_rate*stack_activation,power_mw*hours_per_day,capacity_mwh))*DAMAS_Daily!E227*activation_mult_C)&gt;=(power_mw*hours_per_day*damas_afrr_down*capacity_mult_C*stack_capacity*acceptance_rate+(MIN(DAMAS_Daily!D227*market_share_C*acceptance_rate*stack_activation,power_mw*hours_per_day,capacity_mwh))*DAMAS_Daily!F227*activation_mult_C),"aFRR+","aFRR-")</f>
        <v/>
      </c>
      <c r="D227" s="43">
        <f>IF(C227="aFRR+",damas_afrr_up*capacity_mult_C,damas_afrr_down*capacity_mult_C)</f>
        <v/>
      </c>
      <c r="E227" s="44">
        <f>acceptance_rate</f>
        <v/>
      </c>
      <c r="F227" s="23">
        <f>IF(C227="aFRR+",power_mw*hours_per_day*damas_afrr_up*capacity_mult_C*stack_capacity*acceptance_rate,power_mw*hours_per_day*damas_afrr_down*capacity_mult_C*stack_capacity*acceptance_rate)</f>
        <v/>
      </c>
      <c r="G227" s="42">
        <f>IF(C227="aFRR+",DAMAS_Daily!I227,DAMAS_Daily!J227)</f>
        <v/>
      </c>
      <c r="H227" s="43">
        <f>IF(C227="aFRR+",DAMAS_Daily!E227,DAMAS_Daily!F227)</f>
        <v/>
      </c>
      <c r="I227" s="43">
        <f>IF(C227="aFRR+",DAMAS_Daily!G227,DAMAS_Daily!H227)</f>
        <v/>
      </c>
      <c r="J227" s="45">
        <f>IF(C227="aFRR+",DAMAS_Daily!C227,DAMAS_Daily!D227)</f>
        <v/>
      </c>
      <c r="K227" s="45">
        <f>IF(C227="aFRR+",MIN(DAMAS_Daily!C227*market_share_C*acceptance_rate*stack_activation,power_mw*hours_per_day,capacity_mwh),MIN(DAMAS_Daily!D227*market_share_C*acceptance_rate*stack_activation,power_mw*hours_per_day,capacity_mwh))</f>
        <v/>
      </c>
      <c r="L227" s="42">
        <f>IF(K227&gt;=capacity_mwh-0.01,"yes","no")</f>
        <v/>
      </c>
      <c r="M227" s="23">
        <f>IF(C227="aFRR+",(MIN(DAMAS_Daily!C227*market_share_C*acceptance_rate*stack_activation,power_mw*hours_per_day,capacity_mwh))*DAMAS_Daily!E227*activation_mult_C,(MIN(DAMAS_Daily!D227*market_share_C*acceptance_rate*stack_activation,power_mw*hours_per_day,capacity_mwh))*DAMAS_Daily!F227*activation_mult_C)</f>
        <v/>
      </c>
      <c r="N227" s="24">
        <f>F227+M227</f>
        <v/>
      </c>
    </row>
    <row r="228">
      <c r="A228" s="41">
        <f>DAMAS_Daily!A228</f>
        <v/>
      </c>
      <c r="B228" s="42">
        <f>DAMAS_Daily!B228</f>
        <v/>
      </c>
      <c r="C228" s="42">
        <f>IF((power_mw*hours_per_day*damas_afrr_up*capacity_mult_C*stack_capacity*acceptance_rate+(MIN(DAMAS_Daily!C228*market_share_C*acceptance_rate*stack_activation,power_mw*hours_per_day,capacity_mwh))*DAMAS_Daily!E228*activation_mult_C)&gt;=(power_mw*hours_per_day*damas_afrr_down*capacity_mult_C*stack_capacity*acceptance_rate+(MIN(DAMAS_Daily!D228*market_share_C*acceptance_rate*stack_activation,power_mw*hours_per_day,capacity_mwh))*DAMAS_Daily!F228*activation_mult_C),"aFRR+","aFRR-")</f>
        <v/>
      </c>
      <c r="D228" s="43">
        <f>IF(C228="aFRR+",damas_afrr_up*capacity_mult_C,damas_afrr_down*capacity_mult_C)</f>
        <v/>
      </c>
      <c r="E228" s="44">
        <f>acceptance_rate</f>
        <v/>
      </c>
      <c r="F228" s="23">
        <f>IF(C228="aFRR+",power_mw*hours_per_day*damas_afrr_up*capacity_mult_C*stack_capacity*acceptance_rate,power_mw*hours_per_day*damas_afrr_down*capacity_mult_C*stack_capacity*acceptance_rate)</f>
        <v/>
      </c>
      <c r="G228" s="42">
        <f>IF(C228="aFRR+",DAMAS_Daily!I228,DAMAS_Daily!J228)</f>
        <v/>
      </c>
      <c r="H228" s="43">
        <f>IF(C228="aFRR+",DAMAS_Daily!E228,DAMAS_Daily!F228)</f>
        <v/>
      </c>
      <c r="I228" s="43">
        <f>IF(C228="aFRR+",DAMAS_Daily!G228,DAMAS_Daily!H228)</f>
        <v/>
      </c>
      <c r="J228" s="45">
        <f>IF(C228="aFRR+",DAMAS_Daily!C228,DAMAS_Daily!D228)</f>
        <v/>
      </c>
      <c r="K228" s="45">
        <f>IF(C228="aFRR+",MIN(DAMAS_Daily!C228*market_share_C*acceptance_rate*stack_activation,power_mw*hours_per_day,capacity_mwh),MIN(DAMAS_Daily!D228*market_share_C*acceptance_rate*stack_activation,power_mw*hours_per_day,capacity_mwh))</f>
        <v/>
      </c>
      <c r="L228" s="42">
        <f>IF(K228&gt;=capacity_mwh-0.01,"yes","no")</f>
        <v/>
      </c>
      <c r="M228" s="23">
        <f>IF(C228="aFRR+",(MIN(DAMAS_Daily!C228*market_share_C*acceptance_rate*stack_activation,power_mw*hours_per_day,capacity_mwh))*DAMAS_Daily!E228*activation_mult_C,(MIN(DAMAS_Daily!D228*market_share_C*acceptance_rate*stack_activation,power_mw*hours_per_day,capacity_mwh))*DAMAS_Daily!F228*activation_mult_C)</f>
        <v/>
      </c>
      <c r="N228" s="24">
        <f>F228+M228</f>
        <v/>
      </c>
    </row>
    <row r="229">
      <c r="A229" s="41">
        <f>DAMAS_Daily!A229</f>
        <v/>
      </c>
      <c r="B229" s="42">
        <f>DAMAS_Daily!B229</f>
        <v/>
      </c>
      <c r="C229" s="42">
        <f>IF((power_mw*hours_per_day*damas_afrr_up*capacity_mult_C*stack_capacity*acceptance_rate+(MIN(DAMAS_Daily!C229*market_share_C*acceptance_rate*stack_activation,power_mw*hours_per_day,capacity_mwh))*DAMAS_Daily!E229*activation_mult_C)&gt;=(power_mw*hours_per_day*damas_afrr_down*capacity_mult_C*stack_capacity*acceptance_rate+(MIN(DAMAS_Daily!D229*market_share_C*acceptance_rate*stack_activation,power_mw*hours_per_day,capacity_mwh))*DAMAS_Daily!F229*activation_mult_C),"aFRR+","aFRR-")</f>
        <v/>
      </c>
      <c r="D229" s="43">
        <f>IF(C229="aFRR+",damas_afrr_up*capacity_mult_C,damas_afrr_down*capacity_mult_C)</f>
        <v/>
      </c>
      <c r="E229" s="44">
        <f>acceptance_rate</f>
        <v/>
      </c>
      <c r="F229" s="23">
        <f>IF(C229="aFRR+",power_mw*hours_per_day*damas_afrr_up*capacity_mult_C*stack_capacity*acceptance_rate,power_mw*hours_per_day*damas_afrr_down*capacity_mult_C*stack_capacity*acceptance_rate)</f>
        <v/>
      </c>
      <c r="G229" s="42">
        <f>IF(C229="aFRR+",DAMAS_Daily!I229,DAMAS_Daily!J229)</f>
        <v/>
      </c>
      <c r="H229" s="43">
        <f>IF(C229="aFRR+",DAMAS_Daily!E229,DAMAS_Daily!F229)</f>
        <v/>
      </c>
      <c r="I229" s="43">
        <f>IF(C229="aFRR+",DAMAS_Daily!G229,DAMAS_Daily!H229)</f>
        <v/>
      </c>
      <c r="J229" s="45">
        <f>IF(C229="aFRR+",DAMAS_Daily!C229,DAMAS_Daily!D229)</f>
        <v/>
      </c>
      <c r="K229" s="45">
        <f>IF(C229="aFRR+",MIN(DAMAS_Daily!C229*market_share_C*acceptance_rate*stack_activation,power_mw*hours_per_day,capacity_mwh),MIN(DAMAS_Daily!D229*market_share_C*acceptance_rate*stack_activation,power_mw*hours_per_day,capacity_mwh))</f>
        <v/>
      </c>
      <c r="L229" s="42">
        <f>IF(K229&gt;=capacity_mwh-0.01,"yes","no")</f>
        <v/>
      </c>
      <c r="M229" s="23">
        <f>IF(C229="aFRR+",(MIN(DAMAS_Daily!C229*market_share_C*acceptance_rate*stack_activation,power_mw*hours_per_day,capacity_mwh))*DAMAS_Daily!E229*activation_mult_C,(MIN(DAMAS_Daily!D229*market_share_C*acceptance_rate*stack_activation,power_mw*hours_per_day,capacity_mwh))*DAMAS_Daily!F229*activation_mult_C)</f>
        <v/>
      </c>
      <c r="N229" s="24">
        <f>F229+M229</f>
        <v/>
      </c>
    </row>
    <row r="230">
      <c r="A230" s="41">
        <f>DAMAS_Daily!A230</f>
        <v/>
      </c>
      <c r="B230" s="42">
        <f>DAMAS_Daily!B230</f>
        <v/>
      </c>
      <c r="C230" s="42">
        <f>IF((power_mw*hours_per_day*damas_afrr_up*capacity_mult_C*stack_capacity*acceptance_rate+(MIN(DAMAS_Daily!C230*market_share_C*acceptance_rate*stack_activation,power_mw*hours_per_day,capacity_mwh))*DAMAS_Daily!E230*activation_mult_C)&gt;=(power_mw*hours_per_day*damas_afrr_down*capacity_mult_C*stack_capacity*acceptance_rate+(MIN(DAMAS_Daily!D230*market_share_C*acceptance_rate*stack_activation,power_mw*hours_per_day,capacity_mwh))*DAMAS_Daily!F230*activation_mult_C),"aFRR+","aFRR-")</f>
        <v/>
      </c>
      <c r="D230" s="43">
        <f>IF(C230="aFRR+",damas_afrr_up*capacity_mult_C,damas_afrr_down*capacity_mult_C)</f>
        <v/>
      </c>
      <c r="E230" s="44">
        <f>acceptance_rate</f>
        <v/>
      </c>
      <c r="F230" s="23">
        <f>IF(C230="aFRR+",power_mw*hours_per_day*damas_afrr_up*capacity_mult_C*stack_capacity*acceptance_rate,power_mw*hours_per_day*damas_afrr_down*capacity_mult_C*stack_capacity*acceptance_rate)</f>
        <v/>
      </c>
      <c r="G230" s="42">
        <f>IF(C230="aFRR+",DAMAS_Daily!I230,DAMAS_Daily!J230)</f>
        <v/>
      </c>
      <c r="H230" s="43">
        <f>IF(C230="aFRR+",DAMAS_Daily!E230,DAMAS_Daily!F230)</f>
        <v/>
      </c>
      <c r="I230" s="43">
        <f>IF(C230="aFRR+",DAMAS_Daily!G230,DAMAS_Daily!H230)</f>
        <v/>
      </c>
      <c r="J230" s="45">
        <f>IF(C230="aFRR+",DAMAS_Daily!C230,DAMAS_Daily!D230)</f>
        <v/>
      </c>
      <c r="K230" s="45">
        <f>IF(C230="aFRR+",MIN(DAMAS_Daily!C230*market_share_C*acceptance_rate*stack_activation,power_mw*hours_per_day,capacity_mwh),MIN(DAMAS_Daily!D230*market_share_C*acceptance_rate*stack_activation,power_mw*hours_per_day,capacity_mwh))</f>
        <v/>
      </c>
      <c r="L230" s="42">
        <f>IF(K230&gt;=capacity_mwh-0.01,"yes","no")</f>
        <v/>
      </c>
      <c r="M230" s="23">
        <f>IF(C230="aFRR+",(MIN(DAMAS_Daily!C230*market_share_C*acceptance_rate*stack_activation,power_mw*hours_per_day,capacity_mwh))*DAMAS_Daily!E230*activation_mult_C,(MIN(DAMAS_Daily!D230*market_share_C*acceptance_rate*stack_activation,power_mw*hours_per_day,capacity_mwh))*DAMAS_Daily!F230*activation_mult_C)</f>
        <v/>
      </c>
      <c r="N230" s="24">
        <f>F230+M230</f>
        <v/>
      </c>
    </row>
    <row r="231">
      <c r="A231" s="41">
        <f>DAMAS_Daily!A231</f>
        <v/>
      </c>
      <c r="B231" s="42">
        <f>DAMAS_Daily!B231</f>
        <v/>
      </c>
      <c r="C231" s="42">
        <f>IF((power_mw*hours_per_day*damas_afrr_up*capacity_mult_C*stack_capacity*acceptance_rate+(MIN(DAMAS_Daily!C231*market_share_C*acceptance_rate*stack_activation,power_mw*hours_per_day,capacity_mwh))*DAMAS_Daily!E231*activation_mult_C)&gt;=(power_mw*hours_per_day*damas_afrr_down*capacity_mult_C*stack_capacity*acceptance_rate+(MIN(DAMAS_Daily!D231*market_share_C*acceptance_rate*stack_activation,power_mw*hours_per_day,capacity_mwh))*DAMAS_Daily!F231*activation_mult_C),"aFRR+","aFRR-")</f>
        <v/>
      </c>
      <c r="D231" s="43">
        <f>IF(C231="aFRR+",damas_afrr_up*capacity_mult_C,damas_afrr_down*capacity_mult_C)</f>
        <v/>
      </c>
      <c r="E231" s="44">
        <f>acceptance_rate</f>
        <v/>
      </c>
      <c r="F231" s="23">
        <f>IF(C231="aFRR+",power_mw*hours_per_day*damas_afrr_up*capacity_mult_C*stack_capacity*acceptance_rate,power_mw*hours_per_day*damas_afrr_down*capacity_mult_C*stack_capacity*acceptance_rate)</f>
        <v/>
      </c>
      <c r="G231" s="42">
        <f>IF(C231="aFRR+",DAMAS_Daily!I231,DAMAS_Daily!J231)</f>
        <v/>
      </c>
      <c r="H231" s="43">
        <f>IF(C231="aFRR+",DAMAS_Daily!E231,DAMAS_Daily!F231)</f>
        <v/>
      </c>
      <c r="I231" s="43">
        <f>IF(C231="aFRR+",DAMAS_Daily!G231,DAMAS_Daily!H231)</f>
        <v/>
      </c>
      <c r="J231" s="45">
        <f>IF(C231="aFRR+",DAMAS_Daily!C231,DAMAS_Daily!D231)</f>
        <v/>
      </c>
      <c r="K231" s="45">
        <f>IF(C231="aFRR+",MIN(DAMAS_Daily!C231*market_share_C*acceptance_rate*stack_activation,power_mw*hours_per_day,capacity_mwh),MIN(DAMAS_Daily!D231*market_share_C*acceptance_rate*stack_activation,power_mw*hours_per_day,capacity_mwh))</f>
        <v/>
      </c>
      <c r="L231" s="42">
        <f>IF(K231&gt;=capacity_mwh-0.01,"yes","no")</f>
        <v/>
      </c>
      <c r="M231" s="23">
        <f>IF(C231="aFRR+",(MIN(DAMAS_Daily!C231*market_share_C*acceptance_rate*stack_activation,power_mw*hours_per_day,capacity_mwh))*DAMAS_Daily!E231*activation_mult_C,(MIN(DAMAS_Daily!D231*market_share_C*acceptance_rate*stack_activation,power_mw*hours_per_day,capacity_mwh))*DAMAS_Daily!F231*activation_mult_C)</f>
        <v/>
      </c>
      <c r="N231" s="24">
        <f>F231+M231</f>
        <v/>
      </c>
    </row>
    <row r="232">
      <c r="A232" s="41">
        <f>DAMAS_Daily!A232</f>
        <v/>
      </c>
      <c r="B232" s="42">
        <f>DAMAS_Daily!B232</f>
        <v/>
      </c>
      <c r="C232" s="42">
        <f>IF((power_mw*hours_per_day*damas_afrr_up*capacity_mult_C*stack_capacity*acceptance_rate+(MIN(DAMAS_Daily!C232*market_share_C*acceptance_rate*stack_activation,power_mw*hours_per_day,capacity_mwh))*DAMAS_Daily!E232*activation_mult_C)&gt;=(power_mw*hours_per_day*damas_afrr_down*capacity_mult_C*stack_capacity*acceptance_rate+(MIN(DAMAS_Daily!D232*market_share_C*acceptance_rate*stack_activation,power_mw*hours_per_day,capacity_mwh))*DAMAS_Daily!F232*activation_mult_C),"aFRR+","aFRR-")</f>
        <v/>
      </c>
      <c r="D232" s="43">
        <f>IF(C232="aFRR+",damas_afrr_up*capacity_mult_C,damas_afrr_down*capacity_mult_C)</f>
        <v/>
      </c>
      <c r="E232" s="44">
        <f>acceptance_rate</f>
        <v/>
      </c>
      <c r="F232" s="23">
        <f>IF(C232="aFRR+",power_mw*hours_per_day*damas_afrr_up*capacity_mult_C*stack_capacity*acceptance_rate,power_mw*hours_per_day*damas_afrr_down*capacity_mult_C*stack_capacity*acceptance_rate)</f>
        <v/>
      </c>
      <c r="G232" s="42">
        <f>IF(C232="aFRR+",DAMAS_Daily!I232,DAMAS_Daily!J232)</f>
        <v/>
      </c>
      <c r="H232" s="43">
        <f>IF(C232="aFRR+",DAMAS_Daily!E232,DAMAS_Daily!F232)</f>
        <v/>
      </c>
      <c r="I232" s="43">
        <f>IF(C232="aFRR+",DAMAS_Daily!G232,DAMAS_Daily!H232)</f>
        <v/>
      </c>
      <c r="J232" s="45">
        <f>IF(C232="aFRR+",DAMAS_Daily!C232,DAMAS_Daily!D232)</f>
        <v/>
      </c>
      <c r="K232" s="45">
        <f>IF(C232="aFRR+",MIN(DAMAS_Daily!C232*market_share_C*acceptance_rate*stack_activation,power_mw*hours_per_day,capacity_mwh),MIN(DAMAS_Daily!D232*market_share_C*acceptance_rate*stack_activation,power_mw*hours_per_day,capacity_mwh))</f>
        <v/>
      </c>
      <c r="L232" s="42">
        <f>IF(K232&gt;=capacity_mwh-0.01,"yes","no")</f>
        <v/>
      </c>
      <c r="M232" s="23">
        <f>IF(C232="aFRR+",(MIN(DAMAS_Daily!C232*market_share_C*acceptance_rate*stack_activation,power_mw*hours_per_day,capacity_mwh))*DAMAS_Daily!E232*activation_mult_C,(MIN(DAMAS_Daily!D232*market_share_C*acceptance_rate*stack_activation,power_mw*hours_per_day,capacity_mwh))*DAMAS_Daily!F232*activation_mult_C)</f>
        <v/>
      </c>
      <c r="N232" s="24">
        <f>F232+M232</f>
        <v/>
      </c>
    </row>
    <row r="233">
      <c r="A233" s="41">
        <f>DAMAS_Daily!A233</f>
        <v/>
      </c>
      <c r="B233" s="42">
        <f>DAMAS_Daily!B233</f>
        <v/>
      </c>
      <c r="C233" s="42">
        <f>IF((power_mw*hours_per_day*damas_afrr_up*capacity_mult_C*stack_capacity*acceptance_rate+(MIN(DAMAS_Daily!C233*market_share_C*acceptance_rate*stack_activation,power_mw*hours_per_day,capacity_mwh))*DAMAS_Daily!E233*activation_mult_C)&gt;=(power_mw*hours_per_day*damas_afrr_down*capacity_mult_C*stack_capacity*acceptance_rate+(MIN(DAMAS_Daily!D233*market_share_C*acceptance_rate*stack_activation,power_mw*hours_per_day,capacity_mwh))*DAMAS_Daily!F233*activation_mult_C),"aFRR+","aFRR-")</f>
        <v/>
      </c>
      <c r="D233" s="43">
        <f>IF(C233="aFRR+",damas_afrr_up*capacity_mult_C,damas_afrr_down*capacity_mult_C)</f>
        <v/>
      </c>
      <c r="E233" s="44">
        <f>acceptance_rate</f>
        <v/>
      </c>
      <c r="F233" s="23">
        <f>IF(C233="aFRR+",power_mw*hours_per_day*damas_afrr_up*capacity_mult_C*stack_capacity*acceptance_rate,power_mw*hours_per_day*damas_afrr_down*capacity_mult_C*stack_capacity*acceptance_rate)</f>
        <v/>
      </c>
      <c r="G233" s="42">
        <f>IF(C233="aFRR+",DAMAS_Daily!I233,DAMAS_Daily!J233)</f>
        <v/>
      </c>
      <c r="H233" s="43">
        <f>IF(C233="aFRR+",DAMAS_Daily!E233,DAMAS_Daily!F233)</f>
        <v/>
      </c>
      <c r="I233" s="43">
        <f>IF(C233="aFRR+",DAMAS_Daily!G233,DAMAS_Daily!H233)</f>
        <v/>
      </c>
      <c r="J233" s="45">
        <f>IF(C233="aFRR+",DAMAS_Daily!C233,DAMAS_Daily!D233)</f>
        <v/>
      </c>
      <c r="K233" s="45">
        <f>IF(C233="aFRR+",MIN(DAMAS_Daily!C233*market_share_C*acceptance_rate*stack_activation,power_mw*hours_per_day,capacity_mwh),MIN(DAMAS_Daily!D233*market_share_C*acceptance_rate*stack_activation,power_mw*hours_per_day,capacity_mwh))</f>
        <v/>
      </c>
      <c r="L233" s="42">
        <f>IF(K233&gt;=capacity_mwh-0.01,"yes","no")</f>
        <v/>
      </c>
      <c r="M233" s="23">
        <f>IF(C233="aFRR+",(MIN(DAMAS_Daily!C233*market_share_C*acceptance_rate*stack_activation,power_mw*hours_per_day,capacity_mwh))*DAMAS_Daily!E233*activation_mult_C,(MIN(DAMAS_Daily!D233*market_share_C*acceptance_rate*stack_activation,power_mw*hours_per_day,capacity_mwh))*DAMAS_Daily!F233*activation_mult_C)</f>
        <v/>
      </c>
      <c r="N233" s="24">
        <f>F233+M233</f>
        <v/>
      </c>
    </row>
    <row r="234">
      <c r="A234" s="41">
        <f>DAMAS_Daily!A234</f>
        <v/>
      </c>
      <c r="B234" s="42">
        <f>DAMAS_Daily!B234</f>
        <v/>
      </c>
      <c r="C234" s="42">
        <f>IF((power_mw*hours_per_day*damas_afrr_up*capacity_mult_C*stack_capacity*acceptance_rate+(MIN(DAMAS_Daily!C234*market_share_C*acceptance_rate*stack_activation,power_mw*hours_per_day,capacity_mwh))*DAMAS_Daily!E234*activation_mult_C)&gt;=(power_mw*hours_per_day*damas_afrr_down*capacity_mult_C*stack_capacity*acceptance_rate+(MIN(DAMAS_Daily!D234*market_share_C*acceptance_rate*stack_activation,power_mw*hours_per_day,capacity_mwh))*DAMAS_Daily!F234*activation_mult_C),"aFRR+","aFRR-")</f>
        <v/>
      </c>
      <c r="D234" s="43">
        <f>IF(C234="aFRR+",damas_afrr_up*capacity_mult_C,damas_afrr_down*capacity_mult_C)</f>
        <v/>
      </c>
      <c r="E234" s="44">
        <f>acceptance_rate</f>
        <v/>
      </c>
      <c r="F234" s="23">
        <f>IF(C234="aFRR+",power_mw*hours_per_day*damas_afrr_up*capacity_mult_C*stack_capacity*acceptance_rate,power_mw*hours_per_day*damas_afrr_down*capacity_mult_C*stack_capacity*acceptance_rate)</f>
        <v/>
      </c>
      <c r="G234" s="42">
        <f>IF(C234="aFRR+",DAMAS_Daily!I234,DAMAS_Daily!J234)</f>
        <v/>
      </c>
      <c r="H234" s="43">
        <f>IF(C234="aFRR+",DAMAS_Daily!E234,DAMAS_Daily!F234)</f>
        <v/>
      </c>
      <c r="I234" s="43">
        <f>IF(C234="aFRR+",DAMAS_Daily!G234,DAMAS_Daily!H234)</f>
        <v/>
      </c>
      <c r="J234" s="45">
        <f>IF(C234="aFRR+",DAMAS_Daily!C234,DAMAS_Daily!D234)</f>
        <v/>
      </c>
      <c r="K234" s="45">
        <f>IF(C234="aFRR+",MIN(DAMAS_Daily!C234*market_share_C*acceptance_rate*stack_activation,power_mw*hours_per_day,capacity_mwh),MIN(DAMAS_Daily!D234*market_share_C*acceptance_rate*stack_activation,power_mw*hours_per_day,capacity_mwh))</f>
        <v/>
      </c>
      <c r="L234" s="42">
        <f>IF(K234&gt;=capacity_mwh-0.01,"yes","no")</f>
        <v/>
      </c>
      <c r="M234" s="23">
        <f>IF(C234="aFRR+",(MIN(DAMAS_Daily!C234*market_share_C*acceptance_rate*stack_activation,power_mw*hours_per_day,capacity_mwh))*DAMAS_Daily!E234*activation_mult_C,(MIN(DAMAS_Daily!D234*market_share_C*acceptance_rate*stack_activation,power_mw*hours_per_day,capacity_mwh))*DAMAS_Daily!F234*activation_mult_C)</f>
        <v/>
      </c>
      <c r="N234" s="24">
        <f>F234+M234</f>
        <v/>
      </c>
    </row>
    <row r="235">
      <c r="A235" s="41">
        <f>DAMAS_Daily!A235</f>
        <v/>
      </c>
      <c r="B235" s="42">
        <f>DAMAS_Daily!B235</f>
        <v/>
      </c>
      <c r="C235" s="42">
        <f>IF((power_mw*hours_per_day*damas_afrr_up*capacity_mult_C*stack_capacity*acceptance_rate+(MIN(DAMAS_Daily!C235*market_share_C*acceptance_rate*stack_activation,power_mw*hours_per_day,capacity_mwh))*DAMAS_Daily!E235*activation_mult_C)&gt;=(power_mw*hours_per_day*damas_afrr_down*capacity_mult_C*stack_capacity*acceptance_rate+(MIN(DAMAS_Daily!D235*market_share_C*acceptance_rate*stack_activation,power_mw*hours_per_day,capacity_mwh))*DAMAS_Daily!F235*activation_mult_C),"aFRR+","aFRR-")</f>
        <v/>
      </c>
      <c r="D235" s="43">
        <f>IF(C235="aFRR+",damas_afrr_up*capacity_mult_C,damas_afrr_down*capacity_mult_C)</f>
        <v/>
      </c>
      <c r="E235" s="44">
        <f>acceptance_rate</f>
        <v/>
      </c>
      <c r="F235" s="23">
        <f>IF(C235="aFRR+",power_mw*hours_per_day*damas_afrr_up*capacity_mult_C*stack_capacity*acceptance_rate,power_mw*hours_per_day*damas_afrr_down*capacity_mult_C*stack_capacity*acceptance_rate)</f>
        <v/>
      </c>
      <c r="G235" s="42">
        <f>IF(C235="aFRR+",DAMAS_Daily!I235,DAMAS_Daily!J235)</f>
        <v/>
      </c>
      <c r="H235" s="43">
        <f>IF(C235="aFRR+",DAMAS_Daily!E235,DAMAS_Daily!F235)</f>
        <v/>
      </c>
      <c r="I235" s="43">
        <f>IF(C235="aFRR+",DAMAS_Daily!G235,DAMAS_Daily!H235)</f>
        <v/>
      </c>
      <c r="J235" s="45">
        <f>IF(C235="aFRR+",DAMAS_Daily!C235,DAMAS_Daily!D235)</f>
        <v/>
      </c>
      <c r="K235" s="45">
        <f>IF(C235="aFRR+",MIN(DAMAS_Daily!C235*market_share_C*acceptance_rate*stack_activation,power_mw*hours_per_day,capacity_mwh),MIN(DAMAS_Daily!D235*market_share_C*acceptance_rate*stack_activation,power_mw*hours_per_day,capacity_mwh))</f>
        <v/>
      </c>
      <c r="L235" s="42">
        <f>IF(K235&gt;=capacity_mwh-0.01,"yes","no")</f>
        <v/>
      </c>
      <c r="M235" s="23">
        <f>IF(C235="aFRR+",(MIN(DAMAS_Daily!C235*market_share_C*acceptance_rate*stack_activation,power_mw*hours_per_day,capacity_mwh))*DAMAS_Daily!E235*activation_mult_C,(MIN(DAMAS_Daily!D235*market_share_C*acceptance_rate*stack_activation,power_mw*hours_per_day,capacity_mwh))*DAMAS_Daily!F235*activation_mult_C)</f>
        <v/>
      </c>
      <c r="N235" s="24">
        <f>F235+M235</f>
        <v/>
      </c>
    </row>
    <row r="236">
      <c r="A236" s="41">
        <f>DAMAS_Daily!A236</f>
        <v/>
      </c>
      <c r="B236" s="42">
        <f>DAMAS_Daily!B236</f>
        <v/>
      </c>
      <c r="C236" s="42">
        <f>IF((power_mw*hours_per_day*damas_afrr_up*capacity_mult_C*stack_capacity*acceptance_rate+(MIN(DAMAS_Daily!C236*market_share_C*acceptance_rate*stack_activation,power_mw*hours_per_day,capacity_mwh))*DAMAS_Daily!E236*activation_mult_C)&gt;=(power_mw*hours_per_day*damas_afrr_down*capacity_mult_C*stack_capacity*acceptance_rate+(MIN(DAMAS_Daily!D236*market_share_C*acceptance_rate*stack_activation,power_mw*hours_per_day,capacity_mwh))*DAMAS_Daily!F236*activation_mult_C),"aFRR+","aFRR-")</f>
        <v/>
      </c>
      <c r="D236" s="43">
        <f>IF(C236="aFRR+",damas_afrr_up*capacity_mult_C,damas_afrr_down*capacity_mult_C)</f>
        <v/>
      </c>
      <c r="E236" s="44">
        <f>acceptance_rate</f>
        <v/>
      </c>
      <c r="F236" s="23">
        <f>IF(C236="aFRR+",power_mw*hours_per_day*damas_afrr_up*capacity_mult_C*stack_capacity*acceptance_rate,power_mw*hours_per_day*damas_afrr_down*capacity_mult_C*stack_capacity*acceptance_rate)</f>
        <v/>
      </c>
      <c r="G236" s="42">
        <f>IF(C236="aFRR+",DAMAS_Daily!I236,DAMAS_Daily!J236)</f>
        <v/>
      </c>
      <c r="H236" s="43">
        <f>IF(C236="aFRR+",DAMAS_Daily!E236,DAMAS_Daily!F236)</f>
        <v/>
      </c>
      <c r="I236" s="43">
        <f>IF(C236="aFRR+",DAMAS_Daily!G236,DAMAS_Daily!H236)</f>
        <v/>
      </c>
      <c r="J236" s="45">
        <f>IF(C236="aFRR+",DAMAS_Daily!C236,DAMAS_Daily!D236)</f>
        <v/>
      </c>
      <c r="K236" s="45">
        <f>IF(C236="aFRR+",MIN(DAMAS_Daily!C236*market_share_C*acceptance_rate*stack_activation,power_mw*hours_per_day,capacity_mwh),MIN(DAMAS_Daily!D236*market_share_C*acceptance_rate*stack_activation,power_mw*hours_per_day,capacity_mwh))</f>
        <v/>
      </c>
      <c r="L236" s="42">
        <f>IF(K236&gt;=capacity_mwh-0.01,"yes","no")</f>
        <v/>
      </c>
      <c r="M236" s="23">
        <f>IF(C236="aFRR+",(MIN(DAMAS_Daily!C236*market_share_C*acceptance_rate*stack_activation,power_mw*hours_per_day,capacity_mwh))*DAMAS_Daily!E236*activation_mult_C,(MIN(DAMAS_Daily!D236*market_share_C*acceptance_rate*stack_activation,power_mw*hours_per_day,capacity_mwh))*DAMAS_Daily!F236*activation_mult_C)</f>
        <v/>
      </c>
      <c r="N236" s="24">
        <f>F236+M236</f>
        <v/>
      </c>
    </row>
    <row r="237">
      <c r="A237" s="41">
        <f>DAMAS_Daily!A237</f>
        <v/>
      </c>
      <c r="B237" s="42">
        <f>DAMAS_Daily!B237</f>
        <v/>
      </c>
      <c r="C237" s="42">
        <f>IF((power_mw*hours_per_day*damas_afrr_up*capacity_mult_C*stack_capacity*acceptance_rate+(MIN(DAMAS_Daily!C237*market_share_C*acceptance_rate*stack_activation,power_mw*hours_per_day,capacity_mwh))*DAMAS_Daily!E237*activation_mult_C)&gt;=(power_mw*hours_per_day*damas_afrr_down*capacity_mult_C*stack_capacity*acceptance_rate+(MIN(DAMAS_Daily!D237*market_share_C*acceptance_rate*stack_activation,power_mw*hours_per_day,capacity_mwh))*DAMAS_Daily!F237*activation_mult_C),"aFRR+","aFRR-")</f>
        <v/>
      </c>
      <c r="D237" s="43">
        <f>IF(C237="aFRR+",damas_afrr_up*capacity_mult_C,damas_afrr_down*capacity_mult_C)</f>
        <v/>
      </c>
      <c r="E237" s="44">
        <f>acceptance_rate</f>
        <v/>
      </c>
      <c r="F237" s="23">
        <f>IF(C237="aFRR+",power_mw*hours_per_day*damas_afrr_up*capacity_mult_C*stack_capacity*acceptance_rate,power_mw*hours_per_day*damas_afrr_down*capacity_mult_C*stack_capacity*acceptance_rate)</f>
        <v/>
      </c>
      <c r="G237" s="42">
        <f>IF(C237="aFRR+",DAMAS_Daily!I237,DAMAS_Daily!J237)</f>
        <v/>
      </c>
      <c r="H237" s="43">
        <f>IF(C237="aFRR+",DAMAS_Daily!E237,DAMAS_Daily!F237)</f>
        <v/>
      </c>
      <c r="I237" s="43">
        <f>IF(C237="aFRR+",DAMAS_Daily!G237,DAMAS_Daily!H237)</f>
        <v/>
      </c>
      <c r="J237" s="45">
        <f>IF(C237="aFRR+",DAMAS_Daily!C237,DAMAS_Daily!D237)</f>
        <v/>
      </c>
      <c r="K237" s="45">
        <f>IF(C237="aFRR+",MIN(DAMAS_Daily!C237*market_share_C*acceptance_rate*stack_activation,power_mw*hours_per_day,capacity_mwh),MIN(DAMAS_Daily!D237*market_share_C*acceptance_rate*stack_activation,power_mw*hours_per_day,capacity_mwh))</f>
        <v/>
      </c>
      <c r="L237" s="42">
        <f>IF(K237&gt;=capacity_mwh-0.01,"yes","no")</f>
        <v/>
      </c>
      <c r="M237" s="23">
        <f>IF(C237="aFRR+",(MIN(DAMAS_Daily!C237*market_share_C*acceptance_rate*stack_activation,power_mw*hours_per_day,capacity_mwh))*DAMAS_Daily!E237*activation_mult_C,(MIN(DAMAS_Daily!D237*market_share_C*acceptance_rate*stack_activation,power_mw*hours_per_day,capacity_mwh))*DAMAS_Daily!F237*activation_mult_C)</f>
        <v/>
      </c>
      <c r="N237" s="24">
        <f>F237+M237</f>
        <v/>
      </c>
    </row>
    <row r="238">
      <c r="A238" s="41">
        <f>DAMAS_Daily!A238</f>
        <v/>
      </c>
      <c r="B238" s="42">
        <f>DAMAS_Daily!B238</f>
        <v/>
      </c>
      <c r="C238" s="42">
        <f>IF((power_mw*hours_per_day*damas_afrr_up*capacity_mult_C*stack_capacity*acceptance_rate+(MIN(DAMAS_Daily!C238*market_share_C*acceptance_rate*stack_activation,power_mw*hours_per_day,capacity_mwh))*DAMAS_Daily!E238*activation_mult_C)&gt;=(power_mw*hours_per_day*damas_afrr_down*capacity_mult_C*stack_capacity*acceptance_rate+(MIN(DAMAS_Daily!D238*market_share_C*acceptance_rate*stack_activation,power_mw*hours_per_day,capacity_mwh))*DAMAS_Daily!F238*activation_mult_C),"aFRR+","aFRR-")</f>
        <v/>
      </c>
      <c r="D238" s="43">
        <f>IF(C238="aFRR+",damas_afrr_up*capacity_mult_C,damas_afrr_down*capacity_mult_C)</f>
        <v/>
      </c>
      <c r="E238" s="44">
        <f>acceptance_rate</f>
        <v/>
      </c>
      <c r="F238" s="23">
        <f>IF(C238="aFRR+",power_mw*hours_per_day*damas_afrr_up*capacity_mult_C*stack_capacity*acceptance_rate,power_mw*hours_per_day*damas_afrr_down*capacity_mult_C*stack_capacity*acceptance_rate)</f>
        <v/>
      </c>
      <c r="G238" s="42">
        <f>IF(C238="aFRR+",DAMAS_Daily!I238,DAMAS_Daily!J238)</f>
        <v/>
      </c>
      <c r="H238" s="43">
        <f>IF(C238="aFRR+",DAMAS_Daily!E238,DAMAS_Daily!F238)</f>
        <v/>
      </c>
      <c r="I238" s="43">
        <f>IF(C238="aFRR+",DAMAS_Daily!G238,DAMAS_Daily!H238)</f>
        <v/>
      </c>
      <c r="J238" s="45">
        <f>IF(C238="aFRR+",DAMAS_Daily!C238,DAMAS_Daily!D238)</f>
        <v/>
      </c>
      <c r="K238" s="45">
        <f>IF(C238="aFRR+",MIN(DAMAS_Daily!C238*market_share_C*acceptance_rate*stack_activation,power_mw*hours_per_day,capacity_mwh),MIN(DAMAS_Daily!D238*market_share_C*acceptance_rate*stack_activation,power_mw*hours_per_day,capacity_mwh))</f>
        <v/>
      </c>
      <c r="L238" s="42">
        <f>IF(K238&gt;=capacity_mwh-0.01,"yes","no")</f>
        <v/>
      </c>
      <c r="M238" s="23">
        <f>IF(C238="aFRR+",(MIN(DAMAS_Daily!C238*market_share_C*acceptance_rate*stack_activation,power_mw*hours_per_day,capacity_mwh))*DAMAS_Daily!E238*activation_mult_C,(MIN(DAMAS_Daily!D238*market_share_C*acceptance_rate*stack_activation,power_mw*hours_per_day,capacity_mwh))*DAMAS_Daily!F238*activation_mult_C)</f>
        <v/>
      </c>
      <c r="N238" s="24">
        <f>F238+M238</f>
        <v/>
      </c>
    </row>
    <row r="239">
      <c r="A239" s="41">
        <f>DAMAS_Daily!A239</f>
        <v/>
      </c>
      <c r="B239" s="42">
        <f>DAMAS_Daily!B239</f>
        <v/>
      </c>
      <c r="C239" s="42">
        <f>IF((power_mw*hours_per_day*damas_afrr_up*capacity_mult_C*stack_capacity*acceptance_rate+(MIN(DAMAS_Daily!C239*market_share_C*acceptance_rate*stack_activation,power_mw*hours_per_day,capacity_mwh))*DAMAS_Daily!E239*activation_mult_C)&gt;=(power_mw*hours_per_day*damas_afrr_down*capacity_mult_C*stack_capacity*acceptance_rate+(MIN(DAMAS_Daily!D239*market_share_C*acceptance_rate*stack_activation,power_mw*hours_per_day,capacity_mwh))*DAMAS_Daily!F239*activation_mult_C),"aFRR+","aFRR-")</f>
        <v/>
      </c>
      <c r="D239" s="43">
        <f>IF(C239="aFRR+",damas_afrr_up*capacity_mult_C,damas_afrr_down*capacity_mult_C)</f>
        <v/>
      </c>
      <c r="E239" s="44">
        <f>acceptance_rate</f>
        <v/>
      </c>
      <c r="F239" s="23">
        <f>IF(C239="aFRR+",power_mw*hours_per_day*damas_afrr_up*capacity_mult_C*stack_capacity*acceptance_rate,power_mw*hours_per_day*damas_afrr_down*capacity_mult_C*stack_capacity*acceptance_rate)</f>
        <v/>
      </c>
      <c r="G239" s="42">
        <f>IF(C239="aFRR+",DAMAS_Daily!I239,DAMAS_Daily!J239)</f>
        <v/>
      </c>
      <c r="H239" s="43">
        <f>IF(C239="aFRR+",DAMAS_Daily!E239,DAMAS_Daily!F239)</f>
        <v/>
      </c>
      <c r="I239" s="43">
        <f>IF(C239="aFRR+",DAMAS_Daily!G239,DAMAS_Daily!H239)</f>
        <v/>
      </c>
      <c r="J239" s="45">
        <f>IF(C239="aFRR+",DAMAS_Daily!C239,DAMAS_Daily!D239)</f>
        <v/>
      </c>
      <c r="K239" s="45">
        <f>IF(C239="aFRR+",MIN(DAMAS_Daily!C239*market_share_C*acceptance_rate*stack_activation,power_mw*hours_per_day,capacity_mwh),MIN(DAMAS_Daily!D239*market_share_C*acceptance_rate*stack_activation,power_mw*hours_per_day,capacity_mwh))</f>
        <v/>
      </c>
      <c r="L239" s="42">
        <f>IF(K239&gt;=capacity_mwh-0.01,"yes","no")</f>
        <v/>
      </c>
      <c r="M239" s="23">
        <f>IF(C239="aFRR+",(MIN(DAMAS_Daily!C239*market_share_C*acceptance_rate*stack_activation,power_mw*hours_per_day,capacity_mwh))*DAMAS_Daily!E239*activation_mult_C,(MIN(DAMAS_Daily!D239*market_share_C*acceptance_rate*stack_activation,power_mw*hours_per_day,capacity_mwh))*DAMAS_Daily!F239*activation_mult_C)</f>
        <v/>
      </c>
      <c r="N239" s="24">
        <f>F239+M239</f>
        <v/>
      </c>
    </row>
    <row r="240">
      <c r="A240" s="41">
        <f>DAMAS_Daily!A240</f>
        <v/>
      </c>
      <c r="B240" s="42">
        <f>DAMAS_Daily!B240</f>
        <v/>
      </c>
      <c r="C240" s="42">
        <f>IF((power_mw*hours_per_day*damas_afrr_up*capacity_mult_C*stack_capacity*acceptance_rate+(MIN(DAMAS_Daily!C240*market_share_C*acceptance_rate*stack_activation,power_mw*hours_per_day,capacity_mwh))*DAMAS_Daily!E240*activation_mult_C)&gt;=(power_mw*hours_per_day*damas_afrr_down*capacity_mult_C*stack_capacity*acceptance_rate+(MIN(DAMAS_Daily!D240*market_share_C*acceptance_rate*stack_activation,power_mw*hours_per_day,capacity_mwh))*DAMAS_Daily!F240*activation_mult_C),"aFRR+","aFRR-")</f>
        <v/>
      </c>
      <c r="D240" s="43">
        <f>IF(C240="aFRR+",damas_afrr_up*capacity_mult_C,damas_afrr_down*capacity_mult_C)</f>
        <v/>
      </c>
      <c r="E240" s="44">
        <f>acceptance_rate</f>
        <v/>
      </c>
      <c r="F240" s="23">
        <f>IF(C240="aFRR+",power_mw*hours_per_day*damas_afrr_up*capacity_mult_C*stack_capacity*acceptance_rate,power_mw*hours_per_day*damas_afrr_down*capacity_mult_C*stack_capacity*acceptance_rate)</f>
        <v/>
      </c>
      <c r="G240" s="42">
        <f>IF(C240="aFRR+",DAMAS_Daily!I240,DAMAS_Daily!J240)</f>
        <v/>
      </c>
      <c r="H240" s="43">
        <f>IF(C240="aFRR+",DAMAS_Daily!E240,DAMAS_Daily!F240)</f>
        <v/>
      </c>
      <c r="I240" s="43">
        <f>IF(C240="aFRR+",DAMAS_Daily!G240,DAMAS_Daily!H240)</f>
        <v/>
      </c>
      <c r="J240" s="45">
        <f>IF(C240="aFRR+",DAMAS_Daily!C240,DAMAS_Daily!D240)</f>
        <v/>
      </c>
      <c r="K240" s="45">
        <f>IF(C240="aFRR+",MIN(DAMAS_Daily!C240*market_share_C*acceptance_rate*stack_activation,power_mw*hours_per_day,capacity_mwh),MIN(DAMAS_Daily!D240*market_share_C*acceptance_rate*stack_activation,power_mw*hours_per_day,capacity_mwh))</f>
        <v/>
      </c>
      <c r="L240" s="42">
        <f>IF(K240&gt;=capacity_mwh-0.01,"yes","no")</f>
        <v/>
      </c>
      <c r="M240" s="23">
        <f>IF(C240="aFRR+",(MIN(DAMAS_Daily!C240*market_share_C*acceptance_rate*stack_activation,power_mw*hours_per_day,capacity_mwh))*DAMAS_Daily!E240*activation_mult_C,(MIN(DAMAS_Daily!D240*market_share_C*acceptance_rate*stack_activation,power_mw*hours_per_day,capacity_mwh))*DAMAS_Daily!F240*activation_mult_C)</f>
        <v/>
      </c>
      <c r="N240" s="24">
        <f>F240+M240</f>
        <v/>
      </c>
    </row>
    <row r="241">
      <c r="A241" s="41">
        <f>DAMAS_Daily!A241</f>
        <v/>
      </c>
      <c r="B241" s="42">
        <f>DAMAS_Daily!B241</f>
        <v/>
      </c>
      <c r="C241" s="42">
        <f>IF((power_mw*hours_per_day*damas_afrr_up*capacity_mult_C*stack_capacity*acceptance_rate+(MIN(DAMAS_Daily!C241*market_share_C*acceptance_rate*stack_activation,power_mw*hours_per_day,capacity_mwh))*DAMAS_Daily!E241*activation_mult_C)&gt;=(power_mw*hours_per_day*damas_afrr_down*capacity_mult_C*stack_capacity*acceptance_rate+(MIN(DAMAS_Daily!D241*market_share_C*acceptance_rate*stack_activation,power_mw*hours_per_day,capacity_mwh))*DAMAS_Daily!F241*activation_mult_C),"aFRR+","aFRR-")</f>
        <v/>
      </c>
      <c r="D241" s="43">
        <f>IF(C241="aFRR+",damas_afrr_up*capacity_mult_C,damas_afrr_down*capacity_mult_C)</f>
        <v/>
      </c>
      <c r="E241" s="44">
        <f>acceptance_rate</f>
        <v/>
      </c>
      <c r="F241" s="23">
        <f>IF(C241="aFRR+",power_mw*hours_per_day*damas_afrr_up*capacity_mult_C*stack_capacity*acceptance_rate,power_mw*hours_per_day*damas_afrr_down*capacity_mult_C*stack_capacity*acceptance_rate)</f>
        <v/>
      </c>
      <c r="G241" s="42">
        <f>IF(C241="aFRR+",DAMAS_Daily!I241,DAMAS_Daily!J241)</f>
        <v/>
      </c>
      <c r="H241" s="43">
        <f>IF(C241="aFRR+",DAMAS_Daily!E241,DAMAS_Daily!F241)</f>
        <v/>
      </c>
      <c r="I241" s="43">
        <f>IF(C241="aFRR+",DAMAS_Daily!G241,DAMAS_Daily!H241)</f>
        <v/>
      </c>
      <c r="J241" s="45">
        <f>IF(C241="aFRR+",DAMAS_Daily!C241,DAMAS_Daily!D241)</f>
        <v/>
      </c>
      <c r="K241" s="45">
        <f>IF(C241="aFRR+",MIN(DAMAS_Daily!C241*market_share_C*acceptance_rate*stack_activation,power_mw*hours_per_day,capacity_mwh),MIN(DAMAS_Daily!D241*market_share_C*acceptance_rate*stack_activation,power_mw*hours_per_day,capacity_mwh))</f>
        <v/>
      </c>
      <c r="L241" s="42">
        <f>IF(K241&gt;=capacity_mwh-0.01,"yes","no")</f>
        <v/>
      </c>
      <c r="M241" s="23">
        <f>IF(C241="aFRR+",(MIN(DAMAS_Daily!C241*market_share_C*acceptance_rate*stack_activation,power_mw*hours_per_day,capacity_mwh))*DAMAS_Daily!E241*activation_mult_C,(MIN(DAMAS_Daily!D241*market_share_C*acceptance_rate*stack_activation,power_mw*hours_per_day,capacity_mwh))*DAMAS_Daily!F241*activation_mult_C)</f>
        <v/>
      </c>
      <c r="N241" s="24">
        <f>F241+M241</f>
        <v/>
      </c>
    </row>
    <row r="242">
      <c r="A242" s="41">
        <f>DAMAS_Daily!A242</f>
        <v/>
      </c>
      <c r="B242" s="42">
        <f>DAMAS_Daily!B242</f>
        <v/>
      </c>
      <c r="C242" s="42">
        <f>IF((power_mw*hours_per_day*damas_afrr_up*capacity_mult_C*stack_capacity*acceptance_rate+(MIN(DAMAS_Daily!C242*market_share_C*acceptance_rate*stack_activation,power_mw*hours_per_day,capacity_mwh))*DAMAS_Daily!E242*activation_mult_C)&gt;=(power_mw*hours_per_day*damas_afrr_down*capacity_mult_C*stack_capacity*acceptance_rate+(MIN(DAMAS_Daily!D242*market_share_C*acceptance_rate*stack_activation,power_mw*hours_per_day,capacity_mwh))*DAMAS_Daily!F242*activation_mult_C),"aFRR+","aFRR-")</f>
        <v/>
      </c>
      <c r="D242" s="43">
        <f>IF(C242="aFRR+",damas_afrr_up*capacity_mult_C,damas_afrr_down*capacity_mult_C)</f>
        <v/>
      </c>
      <c r="E242" s="44">
        <f>acceptance_rate</f>
        <v/>
      </c>
      <c r="F242" s="23">
        <f>IF(C242="aFRR+",power_mw*hours_per_day*damas_afrr_up*capacity_mult_C*stack_capacity*acceptance_rate,power_mw*hours_per_day*damas_afrr_down*capacity_mult_C*stack_capacity*acceptance_rate)</f>
        <v/>
      </c>
      <c r="G242" s="42">
        <f>IF(C242="aFRR+",DAMAS_Daily!I242,DAMAS_Daily!J242)</f>
        <v/>
      </c>
      <c r="H242" s="43">
        <f>IF(C242="aFRR+",DAMAS_Daily!E242,DAMAS_Daily!F242)</f>
        <v/>
      </c>
      <c r="I242" s="43">
        <f>IF(C242="aFRR+",DAMAS_Daily!G242,DAMAS_Daily!H242)</f>
        <v/>
      </c>
      <c r="J242" s="45">
        <f>IF(C242="aFRR+",DAMAS_Daily!C242,DAMAS_Daily!D242)</f>
        <v/>
      </c>
      <c r="K242" s="45">
        <f>IF(C242="aFRR+",MIN(DAMAS_Daily!C242*market_share_C*acceptance_rate*stack_activation,power_mw*hours_per_day,capacity_mwh),MIN(DAMAS_Daily!D242*market_share_C*acceptance_rate*stack_activation,power_mw*hours_per_day,capacity_mwh))</f>
        <v/>
      </c>
      <c r="L242" s="42">
        <f>IF(K242&gt;=capacity_mwh-0.01,"yes","no")</f>
        <v/>
      </c>
      <c r="M242" s="23">
        <f>IF(C242="aFRR+",(MIN(DAMAS_Daily!C242*market_share_C*acceptance_rate*stack_activation,power_mw*hours_per_day,capacity_mwh))*DAMAS_Daily!E242*activation_mult_C,(MIN(DAMAS_Daily!D242*market_share_C*acceptance_rate*stack_activation,power_mw*hours_per_day,capacity_mwh))*DAMAS_Daily!F242*activation_mult_C)</f>
        <v/>
      </c>
      <c r="N242" s="24">
        <f>F242+M242</f>
        <v/>
      </c>
    </row>
    <row r="243">
      <c r="A243" s="41">
        <f>DAMAS_Daily!A243</f>
        <v/>
      </c>
      <c r="B243" s="42">
        <f>DAMAS_Daily!B243</f>
        <v/>
      </c>
      <c r="C243" s="42">
        <f>IF((power_mw*hours_per_day*damas_afrr_up*capacity_mult_C*stack_capacity*acceptance_rate+(MIN(DAMAS_Daily!C243*market_share_C*acceptance_rate*stack_activation,power_mw*hours_per_day,capacity_mwh))*DAMAS_Daily!E243*activation_mult_C)&gt;=(power_mw*hours_per_day*damas_afrr_down*capacity_mult_C*stack_capacity*acceptance_rate+(MIN(DAMAS_Daily!D243*market_share_C*acceptance_rate*stack_activation,power_mw*hours_per_day,capacity_mwh))*DAMAS_Daily!F243*activation_mult_C),"aFRR+","aFRR-")</f>
        <v/>
      </c>
      <c r="D243" s="43">
        <f>IF(C243="aFRR+",damas_afrr_up*capacity_mult_C,damas_afrr_down*capacity_mult_C)</f>
        <v/>
      </c>
      <c r="E243" s="44">
        <f>acceptance_rate</f>
        <v/>
      </c>
      <c r="F243" s="23">
        <f>IF(C243="aFRR+",power_mw*hours_per_day*damas_afrr_up*capacity_mult_C*stack_capacity*acceptance_rate,power_mw*hours_per_day*damas_afrr_down*capacity_mult_C*stack_capacity*acceptance_rate)</f>
        <v/>
      </c>
      <c r="G243" s="42">
        <f>IF(C243="aFRR+",DAMAS_Daily!I243,DAMAS_Daily!J243)</f>
        <v/>
      </c>
      <c r="H243" s="43">
        <f>IF(C243="aFRR+",DAMAS_Daily!E243,DAMAS_Daily!F243)</f>
        <v/>
      </c>
      <c r="I243" s="43">
        <f>IF(C243="aFRR+",DAMAS_Daily!G243,DAMAS_Daily!H243)</f>
        <v/>
      </c>
      <c r="J243" s="45">
        <f>IF(C243="aFRR+",DAMAS_Daily!C243,DAMAS_Daily!D243)</f>
        <v/>
      </c>
      <c r="K243" s="45">
        <f>IF(C243="aFRR+",MIN(DAMAS_Daily!C243*market_share_C*acceptance_rate*stack_activation,power_mw*hours_per_day,capacity_mwh),MIN(DAMAS_Daily!D243*market_share_C*acceptance_rate*stack_activation,power_mw*hours_per_day,capacity_mwh))</f>
        <v/>
      </c>
      <c r="L243" s="42">
        <f>IF(K243&gt;=capacity_mwh-0.01,"yes","no")</f>
        <v/>
      </c>
      <c r="M243" s="23">
        <f>IF(C243="aFRR+",(MIN(DAMAS_Daily!C243*market_share_C*acceptance_rate*stack_activation,power_mw*hours_per_day,capacity_mwh))*DAMAS_Daily!E243*activation_mult_C,(MIN(DAMAS_Daily!D243*market_share_C*acceptance_rate*stack_activation,power_mw*hours_per_day,capacity_mwh))*DAMAS_Daily!F243*activation_mult_C)</f>
        <v/>
      </c>
      <c r="N243" s="24">
        <f>F243+M243</f>
        <v/>
      </c>
    </row>
    <row r="244">
      <c r="A244" s="41">
        <f>DAMAS_Daily!A244</f>
        <v/>
      </c>
      <c r="B244" s="42">
        <f>DAMAS_Daily!B244</f>
        <v/>
      </c>
      <c r="C244" s="42">
        <f>IF((power_mw*hours_per_day*damas_afrr_up*capacity_mult_C*stack_capacity*acceptance_rate+(MIN(DAMAS_Daily!C244*market_share_C*acceptance_rate*stack_activation,power_mw*hours_per_day,capacity_mwh))*DAMAS_Daily!E244*activation_mult_C)&gt;=(power_mw*hours_per_day*damas_afrr_down*capacity_mult_C*stack_capacity*acceptance_rate+(MIN(DAMAS_Daily!D244*market_share_C*acceptance_rate*stack_activation,power_mw*hours_per_day,capacity_mwh))*DAMAS_Daily!F244*activation_mult_C),"aFRR+","aFRR-")</f>
        <v/>
      </c>
      <c r="D244" s="43">
        <f>IF(C244="aFRR+",damas_afrr_up*capacity_mult_C,damas_afrr_down*capacity_mult_C)</f>
        <v/>
      </c>
      <c r="E244" s="44">
        <f>acceptance_rate</f>
        <v/>
      </c>
      <c r="F244" s="23">
        <f>IF(C244="aFRR+",power_mw*hours_per_day*damas_afrr_up*capacity_mult_C*stack_capacity*acceptance_rate,power_mw*hours_per_day*damas_afrr_down*capacity_mult_C*stack_capacity*acceptance_rate)</f>
        <v/>
      </c>
      <c r="G244" s="42">
        <f>IF(C244="aFRR+",DAMAS_Daily!I244,DAMAS_Daily!J244)</f>
        <v/>
      </c>
      <c r="H244" s="43">
        <f>IF(C244="aFRR+",DAMAS_Daily!E244,DAMAS_Daily!F244)</f>
        <v/>
      </c>
      <c r="I244" s="43">
        <f>IF(C244="aFRR+",DAMAS_Daily!G244,DAMAS_Daily!H244)</f>
        <v/>
      </c>
      <c r="J244" s="45">
        <f>IF(C244="aFRR+",DAMAS_Daily!C244,DAMAS_Daily!D244)</f>
        <v/>
      </c>
      <c r="K244" s="45">
        <f>IF(C244="aFRR+",MIN(DAMAS_Daily!C244*market_share_C*acceptance_rate*stack_activation,power_mw*hours_per_day,capacity_mwh),MIN(DAMAS_Daily!D244*market_share_C*acceptance_rate*stack_activation,power_mw*hours_per_day,capacity_mwh))</f>
        <v/>
      </c>
      <c r="L244" s="42">
        <f>IF(K244&gt;=capacity_mwh-0.01,"yes","no")</f>
        <v/>
      </c>
      <c r="M244" s="23">
        <f>IF(C244="aFRR+",(MIN(DAMAS_Daily!C244*market_share_C*acceptance_rate*stack_activation,power_mw*hours_per_day,capacity_mwh))*DAMAS_Daily!E244*activation_mult_C,(MIN(DAMAS_Daily!D244*market_share_C*acceptance_rate*stack_activation,power_mw*hours_per_day,capacity_mwh))*DAMAS_Daily!F244*activation_mult_C)</f>
        <v/>
      </c>
      <c r="N244" s="24">
        <f>F244+M244</f>
        <v/>
      </c>
    </row>
    <row r="245">
      <c r="A245" s="41">
        <f>DAMAS_Daily!A245</f>
        <v/>
      </c>
      <c r="B245" s="42">
        <f>DAMAS_Daily!B245</f>
        <v/>
      </c>
      <c r="C245" s="42">
        <f>IF((power_mw*hours_per_day*damas_afrr_up*capacity_mult_C*stack_capacity*acceptance_rate+(MIN(DAMAS_Daily!C245*market_share_C*acceptance_rate*stack_activation,power_mw*hours_per_day,capacity_mwh))*DAMAS_Daily!E245*activation_mult_C)&gt;=(power_mw*hours_per_day*damas_afrr_down*capacity_mult_C*stack_capacity*acceptance_rate+(MIN(DAMAS_Daily!D245*market_share_C*acceptance_rate*stack_activation,power_mw*hours_per_day,capacity_mwh))*DAMAS_Daily!F245*activation_mult_C),"aFRR+","aFRR-")</f>
        <v/>
      </c>
      <c r="D245" s="43">
        <f>IF(C245="aFRR+",damas_afrr_up*capacity_mult_C,damas_afrr_down*capacity_mult_C)</f>
        <v/>
      </c>
      <c r="E245" s="44">
        <f>acceptance_rate</f>
        <v/>
      </c>
      <c r="F245" s="23">
        <f>IF(C245="aFRR+",power_mw*hours_per_day*damas_afrr_up*capacity_mult_C*stack_capacity*acceptance_rate,power_mw*hours_per_day*damas_afrr_down*capacity_mult_C*stack_capacity*acceptance_rate)</f>
        <v/>
      </c>
      <c r="G245" s="42">
        <f>IF(C245="aFRR+",DAMAS_Daily!I245,DAMAS_Daily!J245)</f>
        <v/>
      </c>
      <c r="H245" s="43">
        <f>IF(C245="aFRR+",DAMAS_Daily!E245,DAMAS_Daily!F245)</f>
        <v/>
      </c>
      <c r="I245" s="43">
        <f>IF(C245="aFRR+",DAMAS_Daily!G245,DAMAS_Daily!H245)</f>
        <v/>
      </c>
      <c r="J245" s="45">
        <f>IF(C245="aFRR+",DAMAS_Daily!C245,DAMAS_Daily!D245)</f>
        <v/>
      </c>
      <c r="K245" s="45">
        <f>IF(C245="aFRR+",MIN(DAMAS_Daily!C245*market_share_C*acceptance_rate*stack_activation,power_mw*hours_per_day,capacity_mwh),MIN(DAMAS_Daily!D245*market_share_C*acceptance_rate*stack_activation,power_mw*hours_per_day,capacity_mwh))</f>
        <v/>
      </c>
      <c r="L245" s="42">
        <f>IF(K245&gt;=capacity_mwh-0.01,"yes","no")</f>
        <v/>
      </c>
      <c r="M245" s="23">
        <f>IF(C245="aFRR+",(MIN(DAMAS_Daily!C245*market_share_C*acceptance_rate*stack_activation,power_mw*hours_per_day,capacity_mwh))*DAMAS_Daily!E245*activation_mult_C,(MIN(DAMAS_Daily!D245*market_share_C*acceptance_rate*stack_activation,power_mw*hours_per_day,capacity_mwh))*DAMAS_Daily!F245*activation_mult_C)</f>
        <v/>
      </c>
      <c r="N245" s="24">
        <f>F245+M245</f>
        <v/>
      </c>
    </row>
    <row r="246">
      <c r="A246" s="41">
        <f>DAMAS_Daily!A246</f>
        <v/>
      </c>
      <c r="B246" s="42">
        <f>DAMAS_Daily!B246</f>
        <v/>
      </c>
      <c r="C246" s="42">
        <f>IF((power_mw*hours_per_day*damas_afrr_up*capacity_mult_C*stack_capacity*acceptance_rate+(MIN(DAMAS_Daily!C246*market_share_C*acceptance_rate*stack_activation,power_mw*hours_per_day,capacity_mwh))*DAMAS_Daily!E246*activation_mult_C)&gt;=(power_mw*hours_per_day*damas_afrr_down*capacity_mult_C*stack_capacity*acceptance_rate+(MIN(DAMAS_Daily!D246*market_share_C*acceptance_rate*stack_activation,power_mw*hours_per_day,capacity_mwh))*DAMAS_Daily!F246*activation_mult_C),"aFRR+","aFRR-")</f>
        <v/>
      </c>
      <c r="D246" s="43">
        <f>IF(C246="aFRR+",damas_afrr_up*capacity_mult_C,damas_afrr_down*capacity_mult_C)</f>
        <v/>
      </c>
      <c r="E246" s="44">
        <f>acceptance_rate</f>
        <v/>
      </c>
      <c r="F246" s="23">
        <f>IF(C246="aFRR+",power_mw*hours_per_day*damas_afrr_up*capacity_mult_C*stack_capacity*acceptance_rate,power_mw*hours_per_day*damas_afrr_down*capacity_mult_C*stack_capacity*acceptance_rate)</f>
        <v/>
      </c>
      <c r="G246" s="42">
        <f>IF(C246="aFRR+",DAMAS_Daily!I246,DAMAS_Daily!J246)</f>
        <v/>
      </c>
      <c r="H246" s="43">
        <f>IF(C246="aFRR+",DAMAS_Daily!E246,DAMAS_Daily!F246)</f>
        <v/>
      </c>
      <c r="I246" s="43">
        <f>IF(C246="aFRR+",DAMAS_Daily!G246,DAMAS_Daily!H246)</f>
        <v/>
      </c>
      <c r="J246" s="45">
        <f>IF(C246="aFRR+",DAMAS_Daily!C246,DAMAS_Daily!D246)</f>
        <v/>
      </c>
      <c r="K246" s="45">
        <f>IF(C246="aFRR+",MIN(DAMAS_Daily!C246*market_share_C*acceptance_rate*stack_activation,power_mw*hours_per_day,capacity_mwh),MIN(DAMAS_Daily!D246*market_share_C*acceptance_rate*stack_activation,power_mw*hours_per_day,capacity_mwh))</f>
        <v/>
      </c>
      <c r="L246" s="42">
        <f>IF(K246&gt;=capacity_mwh-0.01,"yes","no")</f>
        <v/>
      </c>
      <c r="M246" s="23">
        <f>IF(C246="aFRR+",(MIN(DAMAS_Daily!C246*market_share_C*acceptance_rate*stack_activation,power_mw*hours_per_day,capacity_mwh))*DAMAS_Daily!E246*activation_mult_C,(MIN(DAMAS_Daily!D246*market_share_C*acceptance_rate*stack_activation,power_mw*hours_per_day,capacity_mwh))*DAMAS_Daily!F246*activation_mult_C)</f>
        <v/>
      </c>
      <c r="N246" s="24">
        <f>F246+M246</f>
        <v/>
      </c>
    </row>
    <row r="247">
      <c r="A247" s="41">
        <f>DAMAS_Daily!A247</f>
        <v/>
      </c>
      <c r="B247" s="42">
        <f>DAMAS_Daily!B247</f>
        <v/>
      </c>
      <c r="C247" s="42">
        <f>IF((power_mw*hours_per_day*damas_afrr_up*capacity_mult_C*stack_capacity*acceptance_rate+(MIN(DAMAS_Daily!C247*market_share_C*acceptance_rate*stack_activation,power_mw*hours_per_day,capacity_mwh))*DAMAS_Daily!E247*activation_mult_C)&gt;=(power_mw*hours_per_day*damas_afrr_down*capacity_mult_C*stack_capacity*acceptance_rate+(MIN(DAMAS_Daily!D247*market_share_C*acceptance_rate*stack_activation,power_mw*hours_per_day,capacity_mwh))*DAMAS_Daily!F247*activation_mult_C),"aFRR+","aFRR-")</f>
        <v/>
      </c>
      <c r="D247" s="43">
        <f>IF(C247="aFRR+",damas_afrr_up*capacity_mult_C,damas_afrr_down*capacity_mult_C)</f>
        <v/>
      </c>
      <c r="E247" s="44">
        <f>acceptance_rate</f>
        <v/>
      </c>
      <c r="F247" s="23">
        <f>IF(C247="aFRR+",power_mw*hours_per_day*damas_afrr_up*capacity_mult_C*stack_capacity*acceptance_rate,power_mw*hours_per_day*damas_afrr_down*capacity_mult_C*stack_capacity*acceptance_rate)</f>
        <v/>
      </c>
      <c r="G247" s="42">
        <f>IF(C247="aFRR+",DAMAS_Daily!I247,DAMAS_Daily!J247)</f>
        <v/>
      </c>
      <c r="H247" s="43">
        <f>IF(C247="aFRR+",DAMAS_Daily!E247,DAMAS_Daily!F247)</f>
        <v/>
      </c>
      <c r="I247" s="43">
        <f>IF(C247="aFRR+",DAMAS_Daily!G247,DAMAS_Daily!H247)</f>
        <v/>
      </c>
      <c r="J247" s="45">
        <f>IF(C247="aFRR+",DAMAS_Daily!C247,DAMAS_Daily!D247)</f>
        <v/>
      </c>
      <c r="K247" s="45">
        <f>IF(C247="aFRR+",MIN(DAMAS_Daily!C247*market_share_C*acceptance_rate*stack_activation,power_mw*hours_per_day,capacity_mwh),MIN(DAMAS_Daily!D247*market_share_C*acceptance_rate*stack_activation,power_mw*hours_per_day,capacity_mwh))</f>
        <v/>
      </c>
      <c r="L247" s="42">
        <f>IF(K247&gt;=capacity_mwh-0.01,"yes","no")</f>
        <v/>
      </c>
      <c r="M247" s="23">
        <f>IF(C247="aFRR+",(MIN(DAMAS_Daily!C247*market_share_C*acceptance_rate*stack_activation,power_mw*hours_per_day,capacity_mwh))*DAMAS_Daily!E247*activation_mult_C,(MIN(DAMAS_Daily!D247*market_share_C*acceptance_rate*stack_activation,power_mw*hours_per_day,capacity_mwh))*DAMAS_Daily!F247*activation_mult_C)</f>
        <v/>
      </c>
      <c r="N247" s="24">
        <f>F247+M247</f>
        <v/>
      </c>
    </row>
    <row r="248">
      <c r="A248" s="41">
        <f>DAMAS_Daily!A248</f>
        <v/>
      </c>
      <c r="B248" s="42">
        <f>DAMAS_Daily!B248</f>
        <v/>
      </c>
      <c r="C248" s="42">
        <f>IF((power_mw*hours_per_day*damas_afrr_up*capacity_mult_C*stack_capacity*acceptance_rate+(MIN(DAMAS_Daily!C248*market_share_C*acceptance_rate*stack_activation,power_mw*hours_per_day,capacity_mwh))*DAMAS_Daily!E248*activation_mult_C)&gt;=(power_mw*hours_per_day*damas_afrr_down*capacity_mult_C*stack_capacity*acceptance_rate+(MIN(DAMAS_Daily!D248*market_share_C*acceptance_rate*stack_activation,power_mw*hours_per_day,capacity_mwh))*DAMAS_Daily!F248*activation_mult_C),"aFRR+","aFRR-")</f>
        <v/>
      </c>
      <c r="D248" s="43">
        <f>IF(C248="aFRR+",damas_afrr_up*capacity_mult_C,damas_afrr_down*capacity_mult_C)</f>
        <v/>
      </c>
      <c r="E248" s="44">
        <f>acceptance_rate</f>
        <v/>
      </c>
      <c r="F248" s="23">
        <f>IF(C248="aFRR+",power_mw*hours_per_day*damas_afrr_up*capacity_mult_C*stack_capacity*acceptance_rate,power_mw*hours_per_day*damas_afrr_down*capacity_mult_C*stack_capacity*acceptance_rate)</f>
        <v/>
      </c>
      <c r="G248" s="42">
        <f>IF(C248="aFRR+",DAMAS_Daily!I248,DAMAS_Daily!J248)</f>
        <v/>
      </c>
      <c r="H248" s="43">
        <f>IF(C248="aFRR+",DAMAS_Daily!E248,DAMAS_Daily!F248)</f>
        <v/>
      </c>
      <c r="I248" s="43">
        <f>IF(C248="aFRR+",DAMAS_Daily!G248,DAMAS_Daily!H248)</f>
        <v/>
      </c>
      <c r="J248" s="45">
        <f>IF(C248="aFRR+",DAMAS_Daily!C248,DAMAS_Daily!D248)</f>
        <v/>
      </c>
      <c r="K248" s="45">
        <f>IF(C248="aFRR+",MIN(DAMAS_Daily!C248*market_share_C*acceptance_rate*stack_activation,power_mw*hours_per_day,capacity_mwh),MIN(DAMAS_Daily!D248*market_share_C*acceptance_rate*stack_activation,power_mw*hours_per_day,capacity_mwh))</f>
        <v/>
      </c>
      <c r="L248" s="42">
        <f>IF(K248&gt;=capacity_mwh-0.01,"yes","no")</f>
        <v/>
      </c>
      <c r="M248" s="23">
        <f>IF(C248="aFRR+",(MIN(DAMAS_Daily!C248*market_share_C*acceptance_rate*stack_activation,power_mw*hours_per_day,capacity_mwh))*DAMAS_Daily!E248*activation_mult_C,(MIN(DAMAS_Daily!D248*market_share_C*acceptance_rate*stack_activation,power_mw*hours_per_day,capacity_mwh))*DAMAS_Daily!F248*activation_mult_C)</f>
        <v/>
      </c>
      <c r="N248" s="24">
        <f>F248+M248</f>
        <v/>
      </c>
    </row>
    <row r="249">
      <c r="A249" s="41">
        <f>DAMAS_Daily!A249</f>
        <v/>
      </c>
      <c r="B249" s="42">
        <f>DAMAS_Daily!B249</f>
        <v/>
      </c>
      <c r="C249" s="42">
        <f>IF((power_mw*hours_per_day*damas_afrr_up*capacity_mult_C*stack_capacity*acceptance_rate+(MIN(DAMAS_Daily!C249*market_share_C*acceptance_rate*stack_activation,power_mw*hours_per_day,capacity_mwh))*DAMAS_Daily!E249*activation_mult_C)&gt;=(power_mw*hours_per_day*damas_afrr_down*capacity_mult_C*stack_capacity*acceptance_rate+(MIN(DAMAS_Daily!D249*market_share_C*acceptance_rate*stack_activation,power_mw*hours_per_day,capacity_mwh))*DAMAS_Daily!F249*activation_mult_C),"aFRR+","aFRR-")</f>
        <v/>
      </c>
      <c r="D249" s="43">
        <f>IF(C249="aFRR+",damas_afrr_up*capacity_mult_C,damas_afrr_down*capacity_mult_C)</f>
        <v/>
      </c>
      <c r="E249" s="44">
        <f>acceptance_rate</f>
        <v/>
      </c>
      <c r="F249" s="23">
        <f>IF(C249="aFRR+",power_mw*hours_per_day*damas_afrr_up*capacity_mult_C*stack_capacity*acceptance_rate,power_mw*hours_per_day*damas_afrr_down*capacity_mult_C*stack_capacity*acceptance_rate)</f>
        <v/>
      </c>
      <c r="G249" s="42">
        <f>IF(C249="aFRR+",DAMAS_Daily!I249,DAMAS_Daily!J249)</f>
        <v/>
      </c>
      <c r="H249" s="43">
        <f>IF(C249="aFRR+",DAMAS_Daily!E249,DAMAS_Daily!F249)</f>
        <v/>
      </c>
      <c r="I249" s="43">
        <f>IF(C249="aFRR+",DAMAS_Daily!G249,DAMAS_Daily!H249)</f>
        <v/>
      </c>
      <c r="J249" s="45">
        <f>IF(C249="aFRR+",DAMAS_Daily!C249,DAMAS_Daily!D249)</f>
        <v/>
      </c>
      <c r="K249" s="45">
        <f>IF(C249="aFRR+",MIN(DAMAS_Daily!C249*market_share_C*acceptance_rate*stack_activation,power_mw*hours_per_day,capacity_mwh),MIN(DAMAS_Daily!D249*market_share_C*acceptance_rate*stack_activation,power_mw*hours_per_day,capacity_mwh))</f>
        <v/>
      </c>
      <c r="L249" s="42">
        <f>IF(K249&gt;=capacity_mwh-0.01,"yes","no")</f>
        <v/>
      </c>
      <c r="M249" s="23">
        <f>IF(C249="aFRR+",(MIN(DAMAS_Daily!C249*market_share_C*acceptance_rate*stack_activation,power_mw*hours_per_day,capacity_mwh))*DAMAS_Daily!E249*activation_mult_C,(MIN(DAMAS_Daily!D249*market_share_C*acceptance_rate*stack_activation,power_mw*hours_per_day,capacity_mwh))*DAMAS_Daily!F249*activation_mult_C)</f>
        <v/>
      </c>
      <c r="N249" s="24">
        <f>F249+M249</f>
        <v/>
      </c>
    </row>
    <row r="250">
      <c r="A250" s="41">
        <f>DAMAS_Daily!A250</f>
        <v/>
      </c>
      <c r="B250" s="42">
        <f>DAMAS_Daily!B250</f>
        <v/>
      </c>
      <c r="C250" s="42">
        <f>IF((power_mw*hours_per_day*damas_afrr_up*capacity_mult_C*stack_capacity*acceptance_rate+(MIN(DAMAS_Daily!C250*market_share_C*acceptance_rate*stack_activation,power_mw*hours_per_day,capacity_mwh))*DAMAS_Daily!E250*activation_mult_C)&gt;=(power_mw*hours_per_day*damas_afrr_down*capacity_mult_C*stack_capacity*acceptance_rate+(MIN(DAMAS_Daily!D250*market_share_C*acceptance_rate*stack_activation,power_mw*hours_per_day,capacity_mwh))*DAMAS_Daily!F250*activation_mult_C),"aFRR+","aFRR-")</f>
        <v/>
      </c>
      <c r="D250" s="43">
        <f>IF(C250="aFRR+",damas_afrr_up*capacity_mult_C,damas_afrr_down*capacity_mult_C)</f>
        <v/>
      </c>
      <c r="E250" s="44">
        <f>acceptance_rate</f>
        <v/>
      </c>
      <c r="F250" s="23">
        <f>IF(C250="aFRR+",power_mw*hours_per_day*damas_afrr_up*capacity_mult_C*stack_capacity*acceptance_rate,power_mw*hours_per_day*damas_afrr_down*capacity_mult_C*stack_capacity*acceptance_rate)</f>
        <v/>
      </c>
      <c r="G250" s="42">
        <f>IF(C250="aFRR+",DAMAS_Daily!I250,DAMAS_Daily!J250)</f>
        <v/>
      </c>
      <c r="H250" s="43">
        <f>IF(C250="aFRR+",DAMAS_Daily!E250,DAMAS_Daily!F250)</f>
        <v/>
      </c>
      <c r="I250" s="43">
        <f>IF(C250="aFRR+",DAMAS_Daily!G250,DAMAS_Daily!H250)</f>
        <v/>
      </c>
      <c r="J250" s="45">
        <f>IF(C250="aFRR+",DAMAS_Daily!C250,DAMAS_Daily!D250)</f>
        <v/>
      </c>
      <c r="K250" s="45">
        <f>IF(C250="aFRR+",MIN(DAMAS_Daily!C250*market_share_C*acceptance_rate*stack_activation,power_mw*hours_per_day,capacity_mwh),MIN(DAMAS_Daily!D250*market_share_C*acceptance_rate*stack_activation,power_mw*hours_per_day,capacity_mwh))</f>
        <v/>
      </c>
      <c r="L250" s="42">
        <f>IF(K250&gt;=capacity_mwh-0.01,"yes","no")</f>
        <v/>
      </c>
      <c r="M250" s="23">
        <f>IF(C250="aFRR+",(MIN(DAMAS_Daily!C250*market_share_C*acceptance_rate*stack_activation,power_mw*hours_per_day,capacity_mwh))*DAMAS_Daily!E250*activation_mult_C,(MIN(DAMAS_Daily!D250*market_share_C*acceptance_rate*stack_activation,power_mw*hours_per_day,capacity_mwh))*DAMAS_Daily!F250*activation_mult_C)</f>
        <v/>
      </c>
      <c r="N250" s="24">
        <f>F250+M250</f>
        <v/>
      </c>
    </row>
    <row r="251">
      <c r="A251" s="41">
        <f>DAMAS_Daily!A251</f>
        <v/>
      </c>
      <c r="B251" s="42">
        <f>DAMAS_Daily!B251</f>
        <v/>
      </c>
      <c r="C251" s="42">
        <f>IF((power_mw*hours_per_day*damas_afrr_up*capacity_mult_C*stack_capacity*acceptance_rate+(MIN(DAMAS_Daily!C251*market_share_C*acceptance_rate*stack_activation,power_mw*hours_per_day,capacity_mwh))*DAMAS_Daily!E251*activation_mult_C)&gt;=(power_mw*hours_per_day*damas_afrr_down*capacity_mult_C*stack_capacity*acceptance_rate+(MIN(DAMAS_Daily!D251*market_share_C*acceptance_rate*stack_activation,power_mw*hours_per_day,capacity_mwh))*DAMAS_Daily!F251*activation_mult_C),"aFRR+","aFRR-")</f>
        <v/>
      </c>
      <c r="D251" s="43">
        <f>IF(C251="aFRR+",damas_afrr_up*capacity_mult_C,damas_afrr_down*capacity_mult_C)</f>
        <v/>
      </c>
      <c r="E251" s="44">
        <f>acceptance_rate</f>
        <v/>
      </c>
      <c r="F251" s="23">
        <f>IF(C251="aFRR+",power_mw*hours_per_day*damas_afrr_up*capacity_mult_C*stack_capacity*acceptance_rate,power_mw*hours_per_day*damas_afrr_down*capacity_mult_C*stack_capacity*acceptance_rate)</f>
        <v/>
      </c>
      <c r="G251" s="42">
        <f>IF(C251="aFRR+",DAMAS_Daily!I251,DAMAS_Daily!J251)</f>
        <v/>
      </c>
      <c r="H251" s="43">
        <f>IF(C251="aFRR+",DAMAS_Daily!E251,DAMAS_Daily!F251)</f>
        <v/>
      </c>
      <c r="I251" s="43">
        <f>IF(C251="aFRR+",DAMAS_Daily!G251,DAMAS_Daily!H251)</f>
        <v/>
      </c>
      <c r="J251" s="45">
        <f>IF(C251="aFRR+",DAMAS_Daily!C251,DAMAS_Daily!D251)</f>
        <v/>
      </c>
      <c r="K251" s="45">
        <f>IF(C251="aFRR+",MIN(DAMAS_Daily!C251*market_share_C*acceptance_rate*stack_activation,power_mw*hours_per_day,capacity_mwh),MIN(DAMAS_Daily!D251*market_share_C*acceptance_rate*stack_activation,power_mw*hours_per_day,capacity_mwh))</f>
        <v/>
      </c>
      <c r="L251" s="42">
        <f>IF(K251&gt;=capacity_mwh-0.01,"yes","no")</f>
        <v/>
      </c>
      <c r="M251" s="23">
        <f>IF(C251="aFRR+",(MIN(DAMAS_Daily!C251*market_share_C*acceptance_rate*stack_activation,power_mw*hours_per_day,capacity_mwh))*DAMAS_Daily!E251*activation_mult_C,(MIN(DAMAS_Daily!D251*market_share_C*acceptance_rate*stack_activation,power_mw*hours_per_day,capacity_mwh))*DAMAS_Daily!F251*activation_mult_C)</f>
        <v/>
      </c>
      <c r="N251" s="24">
        <f>F251+M251</f>
        <v/>
      </c>
    </row>
    <row r="252">
      <c r="A252" s="41">
        <f>DAMAS_Daily!A252</f>
        <v/>
      </c>
      <c r="B252" s="42">
        <f>DAMAS_Daily!B252</f>
        <v/>
      </c>
      <c r="C252" s="42">
        <f>IF((power_mw*hours_per_day*damas_afrr_up*capacity_mult_C*stack_capacity*acceptance_rate+(MIN(DAMAS_Daily!C252*market_share_C*acceptance_rate*stack_activation,power_mw*hours_per_day,capacity_mwh))*DAMAS_Daily!E252*activation_mult_C)&gt;=(power_mw*hours_per_day*damas_afrr_down*capacity_mult_C*stack_capacity*acceptance_rate+(MIN(DAMAS_Daily!D252*market_share_C*acceptance_rate*stack_activation,power_mw*hours_per_day,capacity_mwh))*DAMAS_Daily!F252*activation_mult_C),"aFRR+","aFRR-")</f>
        <v/>
      </c>
      <c r="D252" s="43">
        <f>IF(C252="aFRR+",damas_afrr_up*capacity_mult_C,damas_afrr_down*capacity_mult_C)</f>
        <v/>
      </c>
      <c r="E252" s="44">
        <f>acceptance_rate</f>
        <v/>
      </c>
      <c r="F252" s="23">
        <f>IF(C252="aFRR+",power_mw*hours_per_day*damas_afrr_up*capacity_mult_C*stack_capacity*acceptance_rate,power_mw*hours_per_day*damas_afrr_down*capacity_mult_C*stack_capacity*acceptance_rate)</f>
        <v/>
      </c>
      <c r="G252" s="42">
        <f>IF(C252="aFRR+",DAMAS_Daily!I252,DAMAS_Daily!J252)</f>
        <v/>
      </c>
      <c r="H252" s="43">
        <f>IF(C252="aFRR+",DAMAS_Daily!E252,DAMAS_Daily!F252)</f>
        <v/>
      </c>
      <c r="I252" s="43">
        <f>IF(C252="aFRR+",DAMAS_Daily!G252,DAMAS_Daily!H252)</f>
        <v/>
      </c>
      <c r="J252" s="45">
        <f>IF(C252="aFRR+",DAMAS_Daily!C252,DAMAS_Daily!D252)</f>
        <v/>
      </c>
      <c r="K252" s="45">
        <f>IF(C252="aFRR+",MIN(DAMAS_Daily!C252*market_share_C*acceptance_rate*stack_activation,power_mw*hours_per_day,capacity_mwh),MIN(DAMAS_Daily!D252*market_share_C*acceptance_rate*stack_activation,power_mw*hours_per_day,capacity_mwh))</f>
        <v/>
      </c>
      <c r="L252" s="42">
        <f>IF(K252&gt;=capacity_mwh-0.01,"yes","no")</f>
        <v/>
      </c>
      <c r="M252" s="23">
        <f>IF(C252="aFRR+",(MIN(DAMAS_Daily!C252*market_share_C*acceptance_rate*stack_activation,power_mw*hours_per_day,capacity_mwh))*DAMAS_Daily!E252*activation_mult_C,(MIN(DAMAS_Daily!D252*market_share_C*acceptance_rate*stack_activation,power_mw*hours_per_day,capacity_mwh))*DAMAS_Daily!F252*activation_mult_C)</f>
        <v/>
      </c>
      <c r="N252" s="24">
        <f>F252+M252</f>
        <v/>
      </c>
    </row>
    <row r="253">
      <c r="A253" s="41">
        <f>DAMAS_Daily!A253</f>
        <v/>
      </c>
      <c r="B253" s="42">
        <f>DAMAS_Daily!B253</f>
        <v/>
      </c>
      <c r="C253" s="42">
        <f>IF((power_mw*hours_per_day*damas_afrr_up*capacity_mult_C*stack_capacity*acceptance_rate+(MIN(DAMAS_Daily!C253*market_share_C*acceptance_rate*stack_activation,power_mw*hours_per_day,capacity_mwh))*DAMAS_Daily!E253*activation_mult_C)&gt;=(power_mw*hours_per_day*damas_afrr_down*capacity_mult_C*stack_capacity*acceptance_rate+(MIN(DAMAS_Daily!D253*market_share_C*acceptance_rate*stack_activation,power_mw*hours_per_day,capacity_mwh))*DAMAS_Daily!F253*activation_mult_C),"aFRR+","aFRR-")</f>
        <v/>
      </c>
      <c r="D253" s="43">
        <f>IF(C253="aFRR+",damas_afrr_up*capacity_mult_C,damas_afrr_down*capacity_mult_C)</f>
        <v/>
      </c>
      <c r="E253" s="44">
        <f>acceptance_rate</f>
        <v/>
      </c>
      <c r="F253" s="23">
        <f>IF(C253="aFRR+",power_mw*hours_per_day*damas_afrr_up*capacity_mult_C*stack_capacity*acceptance_rate,power_mw*hours_per_day*damas_afrr_down*capacity_mult_C*stack_capacity*acceptance_rate)</f>
        <v/>
      </c>
      <c r="G253" s="42">
        <f>IF(C253="aFRR+",DAMAS_Daily!I253,DAMAS_Daily!J253)</f>
        <v/>
      </c>
      <c r="H253" s="43">
        <f>IF(C253="aFRR+",DAMAS_Daily!E253,DAMAS_Daily!F253)</f>
        <v/>
      </c>
      <c r="I253" s="43">
        <f>IF(C253="aFRR+",DAMAS_Daily!G253,DAMAS_Daily!H253)</f>
        <v/>
      </c>
      <c r="J253" s="45">
        <f>IF(C253="aFRR+",DAMAS_Daily!C253,DAMAS_Daily!D253)</f>
        <v/>
      </c>
      <c r="K253" s="45">
        <f>IF(C253="aFRR+",MIN(DAMAS_Daily!C253*market_share_C*acceptance_rate*stack_activation,power_mw*hours_per_day,capacity_mwh),MIN(DAMAS_Daily!D253*market_share_C*acceptance_rate*stack_activation,power_mw*hours_per_day,capacity_mwh))</f>
        <v/>
      </c>
      <c r="L253" s="42">
        <f>IF(K253&gt;=capacity_mwh-0.01,"yes","no")</f>
        <v/>
      </c>
      <c r="M253" s="23">
        <f>IF(C253="aFRR+",(MIN(DAMAS_Daily!C253*market_share_C*acceptance_rate*stack_activation,power_mw*hours_per_day,capacity_mwh))*DAMAS_Daily!E253*activation_mult_C,(MIN(DAMAS_Daily!D253*market_share_C*acceptance_rate*stack_activation,power_mw*hours_per_day,capacity_mwh))*DAMAS_Daily!F253*activation_mult_C)</f>
        <v/>
      </c>
      <c r="N253" s="24">
        <f>F253+M253</f>
        <v/>
      </c>
    </row>
    <row r="254">
      <c r="A254" s="41">
        <f>DAMAS_Daily!A254</f>
        <v/>
      </c>
      <c r="B254" s="42">
        <f>DAMAS_Daily!B254</f>
        <v/>
      </c>
      <c r="C254" s="42">
        <f>IF((power_mw*hours_per_day*damas_afrr_up*capacity_mult_C*stack_capacity*acceptance_rate+(MIN(DAMAS_Daily!C254*market_share_C*acceptance_rate*stack_activation,power_mw*hours_per_day,capacity_mwh))*DAMAS_Daily!E254*activation_mult_C)&gt;=(power_mw*hours_per_day*damas_afrr_down*capacity_mult_C*stack_capacity*acceptance_rate+(MIN(DAMAS_Daily!D254*market_share_C*acceptance_rate*stack_activation,power_mw*hours_per_day,capacity_mwh))*DAMAS_Daily!F254*activation_mult_C),"aFRR+","aFRR-")</f>
        <v/>
      </c>
      <c r="D254" s="43">
        <f>IF(C254="aFRR+",damas_afrr_up*capacity_mult_C,damas_afrr_down*capacity_mult_C)</f>
        <v/>
      </c>
      <c r="E254" s="44">
        <f>acceptance_rate</f>
        <v/>
      </c>
      <c r="F254" s="23">
        <f>IF(C254="aFRR+",power_mw*hours_per_day*damas_afrr_up*capacity_mult_C*stack_capacity*acceptance_rate,power_mw*hours_per_day*damas_afrr_down*capacity_mult_C*stack_capacity*acceptance_rate)</f>
        <v/>
      </c>
      <c r="G254" s="42">
        <f>IF(C254="aFRR+",DAMAS_Daily!I254,DAMAS_Daily!J254)</f>
        <v/>
      </c>
      <c r="H254" s="43">
        <f>IF(C254="aFRR+",DAMAS_Daily!E254,DAMAS_Daily!F254)</f>
        <v/>
      </c>
      <c r="I254" s="43">
        <f>IF(C254="aFRR+",DAMAS_Daily!G254,DAMAS_Daily!H254)</f>
        <v/>
      </c>
      <c r="J254" s="45">
        <f>IF(C254="aFRR+",DAMAS_Daily!C254,DAMAS_Daily!D254)</f>
        <v/>
      </c>
      <c r="K254" s="45">
        <f>IF(C254="aFRR+",MIN(DAMAS_Daily!C254*market_share_C*acceptance_rate*stack_activation,power_mw*hours_per_day,capacity_mwh),MIN(DAMAS_Daily!D254*market_share_C*acceptance_rate*stack_activation,power_mw*hours_per_day,capacity_mwh))</f>
        <v/>
      </c>
      <c r="L254" s="42">
        <f>IF(K254&gt;=capacity_mwh-0.01,"yes","no")</f>
        <v/>
      </c>
      <c r="M254" s="23">
        <f>IF(C254="aFRR+",(MIN(DAMAS_Daily!C254*market_share_C*acceptance_rate*stack_activation,power_mw*hours_per_day,capacity_mwh))*DAMAS_Daily!E254*activation_mult_C,(MIN(DAMAS_Daily!D254*market_share_C*acceptance_rate*stack_activation,power_mw*hours_per_day,capacity_mwh))*DAMAS_Daily!F254*activation_mult_C)</f>
        <v/>
      </c>
      <c r="N254" s="24">
        <f>F254+M254</f>
        <v/>
      </c>
    </row>
    <row r="255">
      <c r="A255" s="41">
        <f>DAMAS_Daily!A255</f>
        <v/>
      </c>
      <c r="B255" s="42">
        <f>DAMAS_Daily!B255</f>
        <v/>
      </c>
      <c r="C255" s="42">
        <f>IF((power_mw*hours_per_day*damas_afrr_up*capacity_mult_C*stack_capacity*acceptance_rate+(MIN(DAMAS_Daily!C255*market_share_C*acceptance_rate*stack_activation,power_mw*hours_per_day,capacity_mwh))*DAMAS_Daily!E255*activation_mult_C)&gt;=(power_mw*hours_per_day*damas_afrr_down*capacity_mult_C*stack_capacity*acceptance_rate+(MIN(DAMAS_Daily!D255*market_share_C*acceptance_rate*stack_activation,power_mw*hours_per_day,capacity_mwh))*DAMAS_Daily!F255*activation_mult_C),"aFRR+","aFRR-")</f>
        <v/>
      </c>
      <c r="D255" s="43">
        <f>IF(C255="aFRR+",damas_afrr_up*capacity_mult_C,damas_afrr_down*capacity_mult_C)</f>
        <v/>
      </c>
      <c r="E255" s="44">
        <f>acceptance_rate</f>
        <v/>
      </c>
      <c r="F255" s="23">
        <f>IF(C255="aFRR+",power_mw*hours_per_day*damas_afrr_up*capacity_mult_C*stack_capacity*acceptance_rate,power_mw*hours_per_day*damas_afrr_down*capacity_mult_C*stack_capacity*acceptance_rate)</f>
        <v/>
      </c>
      <c r="G255" s="42">
        <f>IF(C255="aFRR+",DAMAS_Daily!I255,DAMAS_Daily!J255)</f>
        <v/>
      </c>
      <c r="H255" s="43">
        <f>IF(C255="aFRR+",DAMAS_Daily!E255,DAMAS_Daily!F255)</f>
        <v/>
      </c>
      <c r="I255" s="43">
        <f>IF(C255="aFRR+",DAMAS_Daily!G255,DAMAS_Daily!H255)</f>
        <v/>
      </c>
      <c r="J255" s="45">
        <f>IF(C255="aFRR+",DAMAS_Daily!C255,DAMAS_Daily!D255)</f>
        <v/>
      </c>
      <c r="K255" s="45">
        <f>IF(C255="aFRR+",MIN(DAMAS_Daily!C255*market_share_C*acceptance_rate*stack_activation,power_mw*hours_per_day,capacity_mwh),MIN(DAMAS_Daily!D255*market_share_C*acceptance_rate*stack_activation,power_mw*hours_per_day,capacity_mwh))</f>
        <v/>
      </c>
      <c r="L255" s="42">
        <f>IF(K255&gt;=capacity_mwh-0.01,"yes","no")</f>
        <v/>
      </c>
      <c r="M255" s="23">
        <f>IF(C255="aFRR+",(MIN(DAMAS_Daily!C255*market_share_C*acceptance_rate*stack_activation,power_mw*hours_per_day,capacity_mwh))*DAMAS_Daily!E255*activation_mult_C,(MIN(DAMAS_Daily!D255*market_share_C*acceptance_rate*stack_activation,power_mw*hours_per_day,capacity_mwh))*DAMAS_Daily!F255*activation_mult_C)</f>
        <v/>
      </c>
      <c r="N255" s="24">
        <f>F255+M255</f>
        <v/>
      </c>
    </row>
    <row r="256">
      <c r="A256" s="41">
        <f>DAMAS_Daily!A256</f>
        <v/>
      </c>
      <c r="B256" s="42">
        <f>DAMAS_Daily!B256</f>
        <v/>
      </c>
      <c r="C256" s="42">
        <f>IF((power_mw*hours_per_day*damas_afrr_up*capacity_mult_C*stack_capacity*acceptance_rate+(MIN(DAMAS_Daily!C256*market_share_C*acceptance_rate*stack_activation,power_mw*hours_per_day,capacity_mwh))*DAMAS_Daily!E256*activation_mult_C)&gt;=(power_mw*hours_per_day*damas_afrr_down*capacity_mult_C*stack_capacity*acceptance_rate+(MIN(DAMAS_Daily!D256*market_share_C*acceptance_rate*stack_activation,power_mw*hours_per_day,capacity_mwh))*DAMAS_Daily!F256*activation_mult_C),"aFRR+","aFRR-")</f>
        <v/>
      </c>
      <c r="D256" s="43">
        <f>IF(C256="aFRR+",damas_afrr_up*capacity_mult_C,damas_afrr_down*capacity_mult_C)</f>
        <v/>
      </c>
      <c r="E256" s="44">
        <f>acceptance_rate</f>
        <v/>
      </c>
      <c r="F256" s="23">
        <f>IF(C256="aFRR+",power_mw*hours_per_day*damas_afrr_up*capacity_mult_C*stack_capacity*acceptance_rate,power_mw*hours_per_day*damas_afrr_down*capacity_mult_C*stack_capacity*acceptance_rate)</f>
        <v/>
      </c>
      <c r="G256" s="42">
        <f>IF(C256="aFRR+",DAMAS_Daily!I256,DAMAS_Daily!J256)</f>
        <v/>
      </c>
      <c r="H256" s="43">
        <f>IF(C256="aFRR+",DAMAS_Daily!E256,DAMAS_Daily!F256)</f>
        <v/>
      </c>
      <c r="I256" s="43">
        <f>IF(C256="aFRR+",DAMAS_Daily!G256,DAMAS_Daily!H256)</f>
        <v/>
      </c>
      <c r="J256" s="45">
        <f>IF(C256="aFRR+",DAMAS_Daily!C256,DAMAS_Daily!D256)</f>
        <v/>
      </c>
      <c r="K256" s="45">
        <f>IF(C256="aFRR+",MIN(DAMAS_Daily!C256*market_share_C*acceptance_rate*stack_activation,power_mw*hours_per_day,capacity_mwh),MIN(DAMAS_Daily!D256*market_share_C*acceptance_rate*stack_activation,power_mw*hours_per_day,capacity_mwh))</f>
        <v/>
      </c>
      <c r="L256" s="42">
        <f>IF(K256&gt;=capacity_mwh-0.01,"yes","no")</f>
        <v/>
      </c>
      <c r="M256" s="23">
        <f>IF(C256="aFRR+",(MIN(DAMAS_Daily!C256*market_share_C*acceptance_rate*stack_activation,power_mw*hours_per_day,capacity_mwh))*DAMAS_Daily!E256*activation_mult_C,(MIN(DAMAS_Daily!D256*market_share_C*acceptance_rate*stack_activation,power_mw*hours_per_day,capacity_mwh))*DAMAS_Daily!F256*activation_mult_C)</f>
        <v/>
      </c>
      <c r="N256" s="24">
        <f>F256+M256</f>
        <v/>
      </c>
    </row>
    <row r="257">
      <c r="A257" s="41">
        <f>DAMAS_Daily!A257</f>
        <v/>
      </c>
      <c r="B257" s="42">
        <f>DAMAS_Daily!B257</f>
        <v/>
      </c>
      <c r="C257" s="42">
        <f>IF((power_mw*hours_per_day*damas_afrr_up*capacity_mult_C*stack_capacity*acceptance_rate+(MIN(DAMAS_Daily!C257*market_share_C*acceptance_rate*stack_activation,power_mw*hours_per_day,capacity_mwh))*DAMAS_Daily!E257*activation_mult_C)&gt;=(power_mw*hours_per_day*damas_afrr_down*capacity_mult_C*stack_capacity*acceptance_rate+(MIN(DAMAS_Daily!D257*market_share_C*acceptance_rate*stack_activation,power_mw*hours_per_day,capacity_mwh))*DAMAS_Daily!F257*activation_mult_C),"aFRR+","aFRR-")</f>
        <v/>
      </c>
      <c r="D257" s="43">
        <f>IF(C257="aFRR+",damas_afrr_up*capacity_mult_C,damas_afrr_down*capacity_mult_C)</f>
        <v/>
      </c>
      <c r="E257" s="44">
        <f>acceptance_rate</f>
        <v/>
      </c>
      <c r="F257" s="23">
        <f>IF(C257="aFRR+",power_mw*hours_per_day*damas_afrr_up*capacity_mult_C*stack_capacity*acceptance_rate,power_mw*hours_per_day*damas_afrr_down*capacity_mult_C*stack_capacity*acceptance_rate)</f>
        <v/>
      </c>
      <c r="G257" s="42">
        <f>IF(C257="aFRR+",DAMAS_Daily!I257,DAMAS_Daily!J257)</f>
        <v/>
      </c>
      <c r="H257" s="43">
        <f>IF(C257="aFRR+",DAMAS_Daily!E257,DAMAS_Daily!F257)</f>
        <v/>
      </c>
      <c r="I257" s="43">
        <f>IF(C257="aFRR+",DAMAS_Daily!G257,DAMAS_Daily!H257)</f>
        <v/>
      </c>
      <c r="J257" s="45">
        <f>IF(C257="aFRR+",DAMAS_Daily!C257,DAMAS_Daily!D257)</f>
        <v/>
      </c>
      <c r="K257" s="45">
        <f>IF(C257="aFRR+",MIN(DAMAS_Daily!C257*market_share_C*acceptance_rate*stack_activation,power_mw*hours_per_day,capacity_mwh),MIN(DAMAS_Daily!D257*market_share_C*acceptance_rate*stack_activation,power_mw*hours_per_day,capacity_mwh))</f>
        <v/>
      </c>
      <c r="L257" s="42">
        <f>IF(K257&gt;=capacity_mwh-0.01,"yes","no")</f>
        <v/>
      </c>
      <c r="M257" s="23">
        <f>IF(C257="aFRR+",(MIN(DAMAS_Daily!C257*market_share_C*acceptance_rate*stack_activation,power_mw*hours_per_day,capacity_mwh))*DAMAS_Daily!E257*activation_mult_C,(MIN(DAMAS_Daily!D257*market_share_C*acceptance_rate*stack_activation,power_mw*hours_per_day,capacity_mwh))*DAMAS_Daily!F257*activation_mult_C)</f>
        <v/>
      </c>
      <c r="N257" s="24">
        <f>F257+M257</f>
        <v/>
      </c>
    </row>
    <row r="258">
      <c r="A258" s="41">
        <f>DAMAS_Daily!A258</f>
        <v/>
      </c>
      <c r="B258" s="42">
        <f>DAMAS_Daily!B258</f>
        <v/>
      </c>
      <c r="C258" s="42">
        <f>IF((power_mw*hours_per_day*damas_afrr_up*capacity_mult_C*stack_capacity*acceptance_rate+(MIN(DAMAS_Daily!C258*market_share_C*acceptance_rate*stack_activation,power_mw*hours_per_day,capacity_mwh))*DAMAS_Daily!E258*activation_mult_C)&gt;=(power_mw*hours_per_day*damas_afrr_down*capacity_mult_C*stack_capacity*acceptance_rate+(MIN(DAMAS_Daily!D258*market_share_C*acceptance_rate*stack_activation,power_mw*hours_per_day,capacity_mwh))*DAMAS_Daily!F258*activation_mult_C),"aFRR+","aFRR-")</f>
        <v/>
      </c>
      <c r="D258" s="43">
        <f>IF(C258="aFRR+",damas_afrr_up*capacity_mult_C,damas_afrr_down*capacity_mult_C)</f>
        <v/>
      </c>
      <c r="E258" s="44">
        <f>acceptance_rate</f>
        <v/>
      </c>
      <c r="F258" s="23">
        <f>IF(C258="aFRR+",power_mw*hours_per_day*damas_afrr_up*capacity_mult_C*stack_capacity*acceptance_rate,power_mw*hours_per_day*damas_afrr_down*capacity_mult_C*stack_capacity*acceptance_rate)</f>
        <v/>
      </c>
      <c r="G258" s="42">
        <f>IF(C258="aFRR+",DAMAS_Daily!I258,DAMAS_Daily!J258)</f>
        <v/>
      </c>
      <c r="H258" s="43">
        <f>IF(C258="aFRR+",DAMAS_Daily!E258,DAMAS_Daily!F258)</f>
        <v/>
      </c>
      <c r="I258" s="43">
        <f>IF(C258="aFRR+",DAMAS_Daily!G258,DAMAS_Daily!H258)</f>
        <v/>
      </c>
      <c r="J258" s="45">
        <f>IF(C258="aFRR+",DAMAS_Daily!C258,DAMAS_Daily!D258)</f>
        <v/>
      </c>
      <c r="K258" s="45">
        <f>IF(C258="aFRR+",MIN(DAMAS_Daily!C258*market_share_C*acceptance_rate*stack_activation,power_mw*hours_per_day,capacity_mwh),MIN(DAMAS_Daily!D258*market_share_C*acceptance_rate*stack_activation,power_mw*hours_per_day,capacity_mwh))</f>
        <v/>
      </c>
      <c r="L258" s="42">
        <f>IF(K258&gt;=capacity_mwh-0.01,"yes","no")</f>
        <v/>
      </c>
      <c r="M258" s="23">
        <f>IF(C258="aFRR+",(MIN(DAMAS_Daily!C258*market_share_C*acceptance_rate*stack_activation,power_mw*hours_per_day,capacity_mwh))*DAMAS_Daily!E258*activation_mult_C,(MIN(DAMAS_Daily!D258*market_share_C*acceptance_rate*stack_activation,power_mw*hours_per_day,capacity_mwh))*DAMAS_Daily!F258*activation_mult_C)</f>
        <v/>
      </c>
      <c r="N258" s="24">
        <f>F258+M258</f>
        <v/>
      </c>
    </row>
    <row r="259">
      <c r="A259" s="41">
        <f>DAMAS_Daily!A259</f>
        <v/>
      </c>
      <c r="B259" s="42">
        <f>DAMAS_Daily!B259</f>
        <v/>
      </c>
      <c r="C259" s="42">
        <f>IF((power_mw*hours_per_day*damas_afrr_up*capacity_mult_C*stack_capacity*acceptance_rate+(MIN(DAMAS_Daily!C259*market_share_C*acceptance_rate*stack_activation,power_mw*hours_per_day,capacity_mwh))*DAMAS_Daily!E259*activation_mult_C)&gt;=(power_mw*hours_per_day*damas_afrr_down*capacity_mult_C*stack_capacity*acceptance_rate+(MIN(DAMAS_Daily!D259*market_share_C*acceptance_rate*stack_activation,power_mw*hours_per_day,capacity_mwh))*DAMAS_Daily!F259*activation_mult_C),"aFRR+","aFRR-")</f>
        <v/>
      </c>
      <c r="D259" s="43">
        <f>IF(C259="aFRR+",damas_afrr_up*capacity_mult_C,damas_afrr_down*capacity_mult_C)</f>
        <v/>
      </c>
      <c r="E259" s="44">
        <f>acceptance_rate</f>
        <v/>
      </c>
      <c r="F259" s="23">
        <f>IF(C259="aFRR+",power_mw*hours_per_day*damas_afrr_up*capacity_mult_C*stack_capacity*acceptance_rate,power_mw*hours_per_day*damas_afrr_down*capacity_mult_C*stack_capacity*acceptance_rate)</f>
        <v/>
      </c>
      <c r="G259" s="42">
        <f>IF(C259="aFRR+",DAMAS_Daily!I259,DAMAS_Daily!J259)</f>
        <v/>
      </c>
      <c r="H259" s="43">
        <f>IF(C259="aFRR+",DAMAS_Daily!E259,DAMAS_Daily!F259)</f>
        <v/>
      </c>
      <c r="I259" s="43">
        <f>IF(C259="aFRR+",DAMAS_Daily!G259,DAMAS_Daily!H259)</f>
        <v/>
      </c>
      <c r="J259" s="45">
        <f>IF(C259="aFRR+",DAMAS_Daily!C259,DAMAS_Daily!D259)</f>
        <v/>
      </c>
      <c r="K259" s="45">
        <f>IF(C259="aFRR+",MIN(DAMAS_Daily!C259*market_share_C*acceptance_rate*stack_activation,power_mw*hours_per_day,capacity_mwh),MIN(DAMAS_Daily!D259*market_share_C*acceptance_rate*stack_activation,power_mw*hours_per_day,capacity_mwh))</f>
        <v/>
      </c>
      <c r="L259" s="42">
        <f>IF(K259&gt;=capacity_mwh-0.01,"yes","no")</f>
        <v/>
      </c>
      <c r="M259" s="23">
        <f>IF(C259="aFRR+",(MIN(DAMAS_Daily!C259*market_share_C*acceptance_rate*stack_activation,power_mw*hours_per_day,capacity_mwh))*DAMAS_Daily!E259*activation_mult_C,(MIN(DAMAS_Daily!D259*market_share_C*acceptance_rate*stack_activation,power_mw*hours_per_day,capacity_mwh))*DAMAS_Daily!F259*activation_mult_C)</f>
        <v/>
      </c>
      <c r="N259" s="24">
        <f>F259+M259</f>
        <v/>
      </c>
    </row>
    <row r="260">
      <c r="A260" s="41">
        <f>DAMAS_Daily!A260</f>
        <v/>
      </c>
      <c r="B260" s="42">
        <f>DAMAS_Daily!B260</f>
        <v/>
      </c>
      <c r="C260" s="42">
        <f>IF((power_mw*hours_per_day*damas_afrr_up*capacity_mult_C*stack_capacity*acceptance_rate+(MIN(DAMAS_Daily!C260*market_share_C*acceptance_rate*stack_activation,power_mw*hours_per_day,capacity_mwh))*DAMAS_Daily!E260*activation_mult_C)&gt;=(power_mw*hours_per_day*damas_afrr_down*capacity_mult_C*stack_capacity*acceptance_rate+(MIN(DAMAS_Daily!D260*market_share_C*acceptance_rate*stack_activation,power_mw*hours_per_day,capacity_mwh))*DAMAS_Daily!F260*activation_mult_C),"aFRR+","aFRR-")</f>
        <v/>
      </c>
      <c r="D260" s="43">
        <f>IF(C260="aFRR+",damas_afrr_up*capacity_mult_C,damas_afrr_down*capacity_mult_C)</f>
        <v/>
      </c>
      <c r="E260" s="44">
        <f>acceptance_rate</f>
        <v/>
      </c>
      <c r="F260" s="23">
        <f>IF(C260="aFRR+",power_mw*hours_per_day*damas_afrr_up*capacity_mult_C*stack_capacity*acceptance_rate,power_mw*hours_per_day*damas_afrr_down*capacity_mult_C*stack_capacity*acceptance_rate)</f>
        <v/>
      </c>
      <c r="G260" s="42">
        <f>IF(C260="aFRR+",DAMAS_Daily!I260,DAMAS_Daily!J260)</f>
        <v/>
      </c>
      <c r="H260" s="43">
        <f>IF(C260="aFRR+",DAMAS_Daily!E260,DAMAS_Daily!F260)</f>
        <v/>
      </c>
      <c r="I260" s="43">
        <f>IF(C260="aFRR+",DAMAS_Daily!G260,DAMAS_Daily!H260)</f>
        <v/>
      </c>
      <c r="J260" s="45">
        <f>IF(C260="aFRR+",DAMAS_Daily!C260,DAMAS_Daily!D260)</f>
        <v/>
      </c>
      <c r="K260" s="45">
        <f>IF(C260="aFRR+",MIN(DAMAS_Daily!C260*market_share_C*acceptance_rate*stack_activation,power_mw*hours_per_day,capacity_mwh),MIN(DAMAS_Daily!D260*market_share_C*acceptance_rate*stack_activation,power_mw*hours_per_day,capacity_mwh))</f>
        <v/>
      </c>
      <c r="L260" s="42">
        <f>IF(K260&gt;=capacity_mwh-0.01,"yes","no")</f>
        <v/>
      </c>
      <c r="M260" s="23">
        <f>IF(C260="aFRR+",(MIN(DAMAS_Daily!C260*market_share_C*acceptance_rate*stack_activation,power_mw*hours_per_day,capacity_mwh))*DAMAS_Daily!E260*activation_mult_C,(MIN(DAMAS_Daily!D260*market_share_C*acceptance_rate*stack_activation,power_mw*hours_per_day,capacity_mwh))*DAMAS_Daily!F260*activation_mult_C)</f>
        <v/>
      </c>
      <c r="N260" s="24">
        <f>F260+M260</f>
        <v/>
      </c>
    </row>
    <row r="261">
      <c r="A261" s="41">
        <f>DAMAS_Daily!A261</f>
        <v/>
      </c>
      <c r="B261" s="42">
        <f>DAMAS_Daily!B261</f>
        <v/>
      </c>
      <c r="C261" s="42">
        <f>IF((power_mw*hours_per_day*damas_afrr_up*capacity_mult_C*stack_capacity*acceptance_rate+(MIN(DAMAS_Daily!C261*market_share_C*acceptance_rate*stack_activation,power_mw*hours_per_day,capacity_mwh))*DAMAS_Daily!E261*activation_mult_C)&gt;=(power_mw*hours_per_day*damas_afrr_down*capacity_mult_C*stack_capacity*acceptance_rate+(MIN(DAMAS_Daily!D261*market_share_C*acceptance_rate*stack_activation,power_mw*hours_per_day,capacity_mwh))*DAMAS_Daily!F261*activation_mult_C),"aFRR+","aFRR-")</f>
        <v/>
      </c>
      <c r="D261" s="43">
        <f>IF(C261="aFRR+",damas_afrr_up*capacity_mult_C,damas_afrr_down*capacity_mult_C)</f>
        <v/>
      </c>
      <c r="E261" s="44">
        <f>acceptance_rate</f>
        <v/>
      </c>
      <c r="F261" s="23">
        <f>IF(C261="aFRR+",power_mw*hours_per_day*damas_afrr_up*capacity_mult_C*stack_capacity*acceptance_rate,power_mw*hours_per_day*damas_afrr_down*capacity_mult_C*stack_capacity*acceptance_rate)</f>
        <v/>
      </c>
      <c r="G261" s="42">
        <f>IF(C261="aFRR+",DAMAS_Daily!I261,DAMAS_Daily!J261)</f>
        <v/>
      </c>
      <c r="H261" s="43">
        <f>IF(C261="aFRR+",DAMAS_Daily!E261,DAMAS_Daily!F261)</f>
        <v/>
      </c>
      <c r="I261" s="43">
        <f>IF(C261="aFRR+",DAMAS_Daily!G261,DAMAS_Daily!H261)</f>
        <v/>
      </c>
      <c r="J261" s="45">
        <f>IF(C261="aFRR+",DAMAS_Daily!C261,DAMAS_Daily!D261)</f>
        <v/>
      </c>
      <c r="K261" s="45">
        <f>IF(C261="aFRR+",MIN(DAMAS_Daily!C261*market_share_C*acceptance_rate*stack_activation,power_mw*hours_per_day,capacity_mwh),MIN(DAMAS_Daily!D261*market_share_C*acceptance_rate*stack_activation,power_mw*hours_per_day,capacity_mwh))</f>
        <v/>
      </c>
      <c r="L261" s="42">
        <f>IF(K261&gt;=capacity_mwh-0.01,"yes","no")</f>
        <v/>
      </c>
      <c r="M261" s="23">
        <f>IF(C261="aFRR+",(MIN(DAMAS_Daily!C261*market_share_C*acceptance_rate*stack_activation,power_mw*hours_per_day,capacity_mwh))*DAMAS_Daily!E261*activation_mult_C,(MIN(DAMAS_Daily!D261*market_share_C*acceptance_rate*stack_activation,power_mw*hours_per_day,capacity_mwh))*DAMAS_Daily!F261*activation_mult_C)</f>
        <v/>
      </c>
      <c r="N261" s="24">
        <f>F261+M261</f>
        <v/>
      </c>
    </row>
    <row r="262">
      <c r="A262" s="41">
        <f>DAMAS_Daily!A262</f>
        <v/>
      </c>
      <c r="B262" s="42">
        <f>DAMAS_Daily!B262</f>
        <v/>
      </c>
      <c r="C262" s="42">
        <f>IF((power_mw*hours_per_day*damas_afrr_up*capacity_mult_C*stack_capacity*acceptance_rate+(MIN(DAMAS_Daily!C262*market_share_C*acceptance_rate*stack_activation,power_mw*hours_per_day,capacity_mwh))*DAMAS_Daily!E262*activation_mult_C)&gt;=(power_mw*hours_per_day*damas_afrr_down*capacity_mult_C*stack_capacity*acceptance_rate+(MIN(DAMAS_Daily!D262*market_share_C*acceptance_rate*stack_activation,power_mw*hours_per_day,capacity_mwh))*DAMAS_Daily!F262*activation_mult_C),"aFRR+","aFRR-")</f>
        <v/>
      </c>
      <c r="D262" s="43">
        <f>IF(C262="aFRR+",damas_afrr_up*capacity_mult_C,damas_afrr_down*capacity_mult_C)</f>
        <v/>
      </c>
      <c r="E262" s="44">
        <f>acceptance_rate</f>
        <v/>
      </c>
      <c r="F262" s="23">
        <f>IF(C262="aFRR+",power_mw*hours_per_day*damas_afrr_up*capacity_mult_C*stack_capacity*acceptance_rate,power_mw*hours_per_day*damas_afrr_down*capacity_mult_C*stack_capacity*acceptance_rate)</f>
        <v/>
      </c>
      <c r="G262" s="42">
        <f>IF(C262="aFRR+",DAMAS_Daily!I262,DAMAS_Daily!J262)</f>
        <v/>
      </c>
      <c r="H262" s="43">
        <f>IF(C262="aFRR+",DAMAS_Daily!E262,DAMAS_Daily!F262)</f>
        <v/>
      </c>
      <c r="I262" s="43">
        <f>IF(C262="aFRR+",DAMAS_Daily!G262,DAMAS_Daily!H262)</f>
        <v/>
      </c>
      <c r="J262" s="45">
        <f>IF(C262="aFRR+",DAMAS_Daily!C262,DAMAS_Daily!D262)</f>
        <v/>
      </c>
      <c r="K262" s="45">
        <f>IF(C262="aFRR+",MIN(DAMAS_Daily!C262*market_share_C*acceptance_rate*stack_activation,power_mw*hours_per_day,capacity_mwh),MIN(DAMAS_Daily!D262*market_share_C*acceptance_rate*stack_activation,power_mw*hours_per_day,capacity_mwh))</f>
        <v/>
      </c>
      <c r="L262" s="42">
        <f>IF(K262&gt;=capacity_mwh-0.01,"yes","no")</f>
        <v/>
      </c>
      <c r="M262" s="23">
        <f>IF(C262="aFRR+",(MIN(DAMAS_Daily!C262*market_share_C*acceptance_rate*stack_activation,power_mw*hours_per_day,capacity_mwh))*DAMAS_Daily!E262*activation_mult_C,(MIN(DAMAS_Daily!D262*market_share_C*acceptance_rate*stack_activation,power_mw*hours_per_day,capacity_mwh))*DAMAS_Daily!F262*activation_mult_C)</f>
        <v/>
      </c>
      <c r="N262" s="24">
        <f>F262+M262</f>
        <v/>
      </c>
    </row>
    <row r="263">
      <c r="A263" s="41">
        <f>DAMAS_Daily!A263</f>
        <v/>
      </c>
      <c r="B263" s="42">
        <f>DAMAS_Daily!B263</f>
        <v/>
      </c>
      <c r="C263" s="42">
        <f>IF((power_mw*hours_per_day*damas_afrr_up*capacity_mult_C*stack_capacity*acceptance_rate+(MIN(DAMAS_Daily!C263*market_share_C*acceptance_rate*stack_activation,power_mw*hours_per_day,capacity_mwh))*DAMAS_Daily!E263*activation_mult_C)&gt;=(power_mw*hours_per_day*damas_afrr_down*capacity_mult_C*stack_capacity*acceptance_rate+(MIN(DAMAS_Daily!D263*market_share_C*acceptance_rate*stack_activation,power_mw*hours_per_day,capacity_mwh))*DAMAS_Daily!F263*activation_mult_C),"aFRR+","aFRR-")</f>
        <v/>
      </c>
      <c r="D263" s="43">
        <f>IF(C263="aFRR+",damas_afrr_up*capacity_mult_C,damas_afrr_down*capacity_mult_C)</f>
        <v/>
      </c>
      <c r="E263" s="44">
        <f>acceptance_rate</f>
        <v/>
      </c>
      <c r="F263" s="23">
        <f>IF(C263="aFRR+",power_mw*hours_per_day*damas_afrr_up*capacity_mult_C*stack_capacity*acceptance_rate,power_mw*hours_per_day*damas_afrr_down*capacity_mult_C*stack_capacity*acceptance_rate)</f>
        <v/>
      </c>
      <c r="G263" s="42">
        <f>IF(C263="aFRR+",DAMAS_Daily!I263,DAMAS_Daily!J263)</f>
        <v/>
      </c>
      <c r="H263" s="43">
        <f>IF(C263="aFRR+",DAMAS_Daily!E263,DAMAS_Daily!F263)</f>
        <v/>
      </c>
      <c r="I263" s="43">
        <f>IF(C263="aFRR+",DAMAS_Daily!G263,DAMAS_Daily!H263)</f>
        <v/>
      </c>
      <c r="J263" s="45">
        <f>IF(C263="aFRR+",DAMAS_Daily!C263,DAMAS_Daily!D263)</f>
        <v/>
      </c>
      <c r="K263" s="45">
        <f>IF(C263="aFRR+",MIN(DAMAS_Daily!C263*market_share_C*acceptance_rate*stack_activation,power_mw*hours_per_day,capacity_mwh),MIN(DAMAS_Daily!D263*market_share_C*acceptance_rate*stack_activation,power_mw*hours_per_day,capacity_mwh))</f>
        <v/>
      </c>
      <c r="L263" s="42">
        <f>IF(K263&gt;=capacity_mwh-0.01,"yes","no")</f>
        <v/>
      </c>
      <c r="M263" s="23">
        <f>IF(C263="aFRR+",(MIN(DAMAS_Daily!C263*market_share_C*acceptance_rate*stack_activation,power_mw*hours_per_day,capacity_mwh))*DAMAS_Daily!E263*activation_mult_C,(MIN(DAMAS_Daily!D263*market_share_C*acceptance_rate*stack_activation,power_mw*hours_per_day,capacity_mwh))*DAMAS_Daily!F263*activation_mult_C)</f>
        <v/>
      </c>
      <c r="N263" s="24">
        <f>F263+M263</f>
        <v/>
      </c>
    </row>
    <row r="264">
      <c r="A264" s="41">
        <f>DAMAS_Daily!A264</f>
        <v/>
      </c>
      <c r="B264" s="42">
        <f>DAMAS_Daily!B264</f>
        <v/>
      </c>
      <c r="C264" s="42">
        <f>IF((power_mw*hours_per_day*damas_afrr_up*capacity_mult_C*stack_capacity*acceptance_rate+(MIN(DAMAS_Daily!C264*market_share_C*acceptance_rate*stack_activation,power_mw*hours_per_day,capacity_mwh))*DAMAS_Daily!E264*activation_mult_C)&gt;=(power_mw*hours_per_day*damas_afrr_down*capacity_mult_C*stack_capacity*acceptance_rate+(MIN(DAMAS_Daily!D264*market_share_C*acceptance_rate*stack_activation,power_mw*hours_per_day,capacity_mwh))*DAMAS_Daily!F264*activation_mult_C),"aFRR+","aFRR-")</f>
        <v/>
      </c>
      <c r="D264" s="43">
        <f>IF(C264="aFRR+",damas_afrr_up*capacity_mult_C,damas_afrr_down*capacity_mult_C)</f>
        <v/>
      </c>
      <c r="E264" s="44">
        <f>acceptance_rate</f>
        <v/>
      </c>
      <c r="F264" s="23">
        <f>IF(C264="aFRR+",power_mw*hours_per_day*damas_afrr_up*capacity_mult_C*stack_capacity*acceptance_rate,power_mw*hours_per_day*damas_afrr_down*capacity_mult_C*stack_capacity*acceptance_rate)</f>
        <v/>
      </c>
      <c r="G264" s="42">
        <f>IF(C264="aFRR+",DAMAS_Daily!I264,DAMAS_Daily!J264)</f>
        <v/>
      </c>
      <c r="H264" s="43">
        <f>IF(C264="aFRR+",DAMAS_Daily!E264,DAMAS_Daily!F264)</f>
        <v/>
      </c>
      <c r="I264" s="43">
        <f>IF(C264="aFRR+",DAMAS_Daily!G264,DAMAS_Daily!H264)</f>
        <v/>
      </c>
      <c r="J264" s="45">
        <f>IF(C264="aFRR+",DAMAS_Daily!C264,DAMAS_Daily!D264)</f>
        <v/>
      </c>
      <c r="K264" s="45">
        <f>IF(C264="aFRR+",MIN(DAMAS_Daily!C264*market_share_C*acceptance_rate*stack_activation,power_mw*hours_per_day,capacity_mwh),MIN(DAMAS_Daily!D264*market_share_C*acceptance_rate*stack_activation,power_mw*hours_per_day,capacity_mwh))</f>
        <v/>
      </c>
      <c r="L264" s="42">
        <f>IF(K264&gt;=capacity_mwh-0.01,"yes","no")</f>
        <v/>
      </c>
      <c r="M264" s="23">
        <f>IF(C264="aFRR+",(MIN(DAMAS_Daily!C264*market_share_C*acceptance_rate*stack_activation,power_mw*hours_per_day,capacity_mwh))*DAMAS_Daily!E264*activation_mult_C,(MIN(DAMAS_Daily!D264*market_share_C*acceptance_rate*stack_activation,power_mw*hours_per_day,capacity_mwh))*DAMAS_Daily!F264*activation_mult_C)</f>
        <v/>
      </c>
      <c r="N264" s="24">
        <f>F264+M264</f>
        <v/>
      </c>
    </row>
    <row r="265">
      <c r="A265" s="41">
        <f>DAMAS_Daily!A265</f>
        <v/>
      </c>
      <c r="B265" s="42">
        <f>DAMAS_Daily!B265</f>
        <v/>
      </c>
      <c r="C265" s="42">
        <f>IF((power_mw*hours_per_day*damas_afrr_up*capacity_mult_C*stack_capacity*acceptance_rate+(MIN(DAMAS_Daily!C265*market_share_C*acceptance_rate*stack_activation,power_mw*hours_per_day,capacity_mwh))*DAMAS_Daily!E265*activation_mult_C)&gt;=(power_mw*hours_per_day*damas_afrr_down*capacity_mult_C*stack_capacity*acceptance_rate+(MIN(DAMAS_Daily!D265*market_share_C*acceptance_rate*stack_activation,power_mw*hours_per_day,capacity_mwh))*DAMAS_Daily!F265*activation_mult_C),"aFRR+","aFRR-")</f>
        <v/>
      </c>
      <c r="D265" s="43">
        <f>IF(C265="aFRR+",damas_afrr_up*capacity_mult_C,damas_afrr_down*capacity_mult_C)</f>
        <v/>
      </c>
      <c r="E265" s="44">
        <f>acceptance_rate</f>
        <v/>
      </c>
      <c r="F265" s="23">
        <f>IF(C265="aFRR+",power_mw*hours_per_day*damas_afrr_up*capacity_mult_C*stack_capacity*acceptance_rate,power_mw*hours_per_day*damas_afrr_down*capacity_mult_C*stack_capacity*acceptance_rate)</f>
        <v/>
      </c>
      <c r="G265" s="42">
        <f>IF(C265="aFRR+",DAMAS_Daily!I265,DAMAS_Daily!J265)</f>
        <v/>
      </c>
      <c r="H265" s="43">
        <f>IF(C265="aFRR+",DAMAS_Daily!E265,DAMAS_Daily!F265)</f>
        <v/>
      </c>
      <c r="I265" s="43">
        <f>IF(C265="aFRR+",DAMAS_Daily!G265,DAMAS_Daily!H265)</f>
        <v/>
      </c>
      <c r="J265" s="45">
        <f>IF(C265="aFRR+",DAMAS_Daily!C265,DAMAS_Daily!D265)</f>
        <v/>
      </c>
      <c r="K265" s="45">
        <f>IF(C265="aFRR+",MIN(DAMAS_Daily!C265*market_share_C*acceptance_rate*stack_activation,power_mw*hours_per_day,capacity_mwh),MIN(DAMAS_Daily!D265*market_share_C*acceptance_rate*stack_activation,power_mw*hours_per_day,capacity_mwh))</f>
        <v/>
      </c>
      <c r="L265" s="42">
        <f>IF(K265&gt;=capacity_mwh-0.01,"yes","no")</f>
        <v/>
      </c>
      <c r="M265" s="23">
        <f>IF(C265="aFRR+",(MIN(DAMAS_Daily!C265*market_share_C*acceptance_rate*stack_activation,power_mw*hours_per_day,capacity_mwh))*DAMAS_Daily!E265*activation_mult_C,(MIN(DAMAS_Daily!D265*market_share_C*acceptance_rate*stack_activation,power_mw*hours_per_day,capacity_mwh))*DAMAS_Daily!F265*activation_mult_C)</f>
        <v/>
      </c>
      <c r="N265" s="24">
        <f>F265+M265</f>
        <v/>
      </c>
    </row>
    <row r="266">
      <c r="A266" s="41">
        <f>DAMAS_Daily!A266</f>
        <v/>
      </c>
      <c r="B266" s="42">
        <f>DAMAS_Daily!B266</f>
        <v/>
      </c>
      <c r="C266" s="42">
        <f>IF((power_mw*hours_per_day*damas_afrr_up*capacity_mult_C*stack_capacity*acceptance_rate+(MIN(DAMAS_Daily!C266*market_share_C*acceptance_rate*stack_activation,power_mw*hours_per_day,capacity_mwh))*DAMAS_Daily!E266*activation_mult_C)&gt;=(power_mw*hours_per_day*damas_afrr_down*capacity_mult_C*stack_capacity*acceptance_rate+(MIN(DAMAS_Daily!D266*market_share_C*acceptance_rate*stack_activation,power_mw*hours_per_day,capacity_mwh))*DAMAS_Daily!F266*activation_mult_C),"aFRR+","aFRR-")</f>
        <v/>
      </c>
      <c r="D266" s="43">
        <f>IF(C266="aFRR+",damas_afrr_up*capacity_mult_C,damas_afrr_down*capacity_mult_C)</f>
        <v/>
      </c>
      <c r="E266" s="44">
        <f>acceptance_rate</f>
        <v/>
      </c>
      <c r="F266" s="23">
        <f>IF(C266="aFRR+",power_mw*hours_per_day*damas_afrr_up*capacity_mult_C*stack_capacity*acceptance_rate,power_mw*hours_per_day*damas_afrr_down*capacity_mult_C*stack_capacity*acceptance_rate)</f>
        <v/>
      </c>
      <c r="G266" s="42">
        <f>IF(C266="aFRR+",DAMAS_Daily!I266,DAMAS_Daily!J266)</f>
        <v/>
      </c>
      <c r="H266" s="43">
        <f>IF(C266="aFRR+",DAMAS_Daily!E266,DAMAS_Daily!F266)</f>
        <v/>
      </c>
      <c r="I266" s="43">
        <f>IF(C266="aFRR+",DAMAS_Daily!G266,DAMAS_Daily!H266)</f>
        <v/>
      </c>
      <c r="J266" s="45">
        <f>IF(C266="aFRR+",DAMAS_Daily!C266,DAMAS_Daily!D266)</f>
        <v/>
      </c>
      <c r="K266" s="45">
        <f>IF(C266="aFRR+",MIN(DAMAS_Daily!C266*market_share_C*acceptance_rate*stack_activation,power_mw*hours_per_day,capacity_mwh),MIN(DAMAS_Daily!D266*market_share_C*acceptance_rate*stack_activation,power_mw*hours_per_day,capacity_mwh))</f>
        <v/>
      </c>
      <c r="L266" s="42">
        <f>IF(K266&gt;=capacity_mwh-0.01,"yes","no")</f>
        <v/>
      </c>
      <c r="M266" s="23">
        <f>IF(C266="aFRR+",(MIN(DAMAS_Daily!C266*market_share_C*acceptance_rate*stack_activation,power_mw*hours_per_day,capacity_mwh))*DAMAS_Daily!E266*activation_mult_C,(MIN(DAMAS_Daily!D266*market_share_C*acceptance_rate*stack_activation,power_mw*hours_per_day,capacity_mwh))*DAMAS_Daily!F266*activation_mult_C)</f>
        <v/>
      </c>
      <c r="N266" s="24">
        <f>F266+M266</f>
        <v/>
      </c>
    </row>
    <row r="267">
      <c r="A267" s="41">
        <f>DAMAS_Daily!A267</f>
        <v/>
      </c>
      <c r="B267" s="42">
        <f>DAMAS_Daily!B267</f>
        <v/>
      </c>
      <c r="C267" s="42">
        <f>IF((power_mw*hours_per_day*damas_afrr_up*capacity_mult_C*stack_capacity*acceptance_rate+(MIN(DAMAS_Daily!C267*market_share_C*acceptance_rate*stack_activation,power_mw*hours_per_day,capacity_mwh))*DAMAS_Daily!E267*activation_mult_C)&gt;=(power_mw*hours_per_day*damas_afrr_down*capacity_mult_C*stack_capacity*acceptance_rate+(MIN(DAMAS_Daily!D267*market_share_C*acceptance_rate*stack_activation,power_mw*hours_per_day,capacity_mwh))*DAMAS_Daily!F267*activation_mult_C),"aFRR+","aFRR-")</f>
        <v/>
      </c>
      <c r="D267" s="43">
        <f>IF(C267="aFRR+",damas_afrr_up*capacity_mult_C,damas_afrr_down*capacity_mult_C)</f>
        <v/>
      </c>
      <c r="E267" s="44">
        <f>acceptance_rate</f>
        <v/>
      </c>
      <c r="F267" s="23">
        <f>IF(C267="aFRR+",power_mw*hours_per_day*damas_afrr_up*capacity_mult_C*stack_capacity*acceptance_rate,power_mw*hours_per_day*damas_afrr_down*capacity_mult_C*stack_capacity*acceptance_rate)</f>
        <v/>
      </c>
      <c r="G267" s="42">
        <f>IF(C267="aFRR+",DAMAS_Daily!I267,DAMAS_Daily!J267)</f>
        <v/>
      </c>
      <c r="H267" s="43">
        <f>IF(C267="aFRR+",DAMAS_Daily!E267,DAMAS_Daily!F267)</f>
        <v/>
      </c>
      <c r="I267" s="43">
        <f>IF(C267="aFRR+",DAMAS_Daily!G267,DAMAS_Daily!H267)</f>
        <v/>
      </c>
      <c r="J267" s="45">
        <f>IF(C267="aFRR+",DAMAS_Daily!C267,DAMAS_Daily!D267)</f>
        <v/>
      </c>
      <c r="K267" s="45">
        <f>IF(C267="aFRR+",MIN(DAMAS_Daily!C267*market_share_C*acceptance_rate*stack_activation,power_mw*hours_per_day,capacity_mwh),MIN(DAMAS_Daily!D267*market_share_C*acceptance_rate*stack_activation,power_mw*hours_per_day,capacity_mwh))</f>
        <v/>
      </c>
      <c r="L267" s="42">
        <f>IF(K267&gt;=capacity_mwh-0.01,"yes","no")</f>
        <v/>
      </c>
      <c r="M267" s="23">
        <f>IF(C267="aFRR+",(MIN(DAMAS_Daily!C267*market_share_C*acceptance_rate*stack_activation,power_mw*hours_per_day,capacity_mwh))*DAMAS_Daily!E267*activation_mult_C,(MIN(DAMAS_Daily!D267*market_share_C*acceptance_rate*stack_activation,power_mw*hours_per_day,capacity_mwh))*DAMAS_Daily!F267*activation_mult_C)</f>
        <v/>
      </c>
      <c r="N267" s="24">
        <f>F267+M267</f>
        <v/>
      </c>
    </row>
    <row r="268">
      <c r="A268" s="41">
        <f>DAMAS_Daily!A268</f>
        <v/>
      </c>
      <c r="B268" s="42">
        <f>DAMAS_Daily!B268</f>
        <v/>
      </c>
      <c r="C268" s="42">
        <f>IF((power_mw*hours_per_day*damas_afrr_up*capacity_mult_C*stack_capacity*acceptance_rate+(MIN(DAMAS_Daily!C268*market_share_C*acceptance_rate*stack_activation,power_mw*hours_per_day,capacity_mwh))*DAMAS_Daily!E268*activation_mult_C)&gt;=(power_mw*hours_per_day*damas_afrr_down*capacity_mult_C*stack_capacity*acceptance_rate+(MIN(DAMAS_Daily!D268*market_share_C*acceptance_rate*stack_activation,power_mw*hours_per_day,capacity_mwh))*DAMAS_Daily!F268*activation_mult_C),"aFRR+","aFRR-")</f>
        <v/>
      </c>
      <c r="D268" s="43">
        <f>IF(C268="aFRR+",damas_afrr_up*capacity_mult_C,damas_afrr_down*capacity_mult_C)</f>
        <v/>
      </c>
      <c r="E268" s="44">
        <f>acceptance_rate</f>
        <v/>
      </c>
      <c r="F268" s="23">
        <f>IF(C268="aFRR+",power_mw*hours_per_day*damas_afrr_up*capacity_mult_C*stack_capacity*acceptance_rate,power_mw*hours_per_day*damas_afrr_down*capacity_mult_C*stack_capacity*acceptance_rate)</f>
        <v/>
      </c>
      <c r="G268" s="42">
        <f>IF(C268="aFRR+",DAMAS_Daily!I268,DAMAS_Daily!J268)</f>
        <v/>
      </c>
      <c r="H268" s="43">
        <f>IF(C268="aFRR+",DAMAS_Daily!E268,DAMAS_Daily!F268)</f>
        <v/>
      </c>
      <c r="I268" s="43">
        <f>IF(C268="aFRR+",DAMAS_Daily!G268,DAMAS_Daily!H268)</f>
        <v/>
      </c>
      <c r="J268" s="45">
        <f>IF(C268="aFRR+",DAMAS_Daily!C268,DAMAS_Daily!D268)</f>
        <v/>
      </c>
      <c r="K268" s="45">
        <f>IF(C268="aFRR+",MIN(DAMAS_Daily!C268*market_share_C*acceptance_rate*stack_activation,power_mw*hours_per_day,capacity_mwh),MIN(DAMAS_Daily!D268*market_share_C*acceptance_rate*stack_activation,power_mw*hours_per_day,capacity_mwh))</f>
        <v/>
      </c>
      <c r="L268" s="42">
        <f>IF(K268&gt;=capacity_mwh-0.01,"yes","no")</f>
        <v/>
      </c>
      <c r="M268" s="23">
        <f>IF(C268="aFRR+",(MIN(DAMAS_Daily!C268*market_share_C*acceptance_rate*stack_activation,power_mw*hours_per_day,capacity_mwh))*DAMAS_Daily!E268*activation_mult_C,(MIN(DAMAS_Daily!D268*market_share_C*acceptance_rate*stack_activation,power_mw*hours_per_day,capacity_mwh))*DAMAS_Daily!F268*activation_mult_C)</f>
        <v/>
      </c>
      <c r="N268" s="24">
        <f>F268+M268</f>
        <v/>
      </c>
    </row>
    <row r="269">
      <c r="A269" s="41">
        <f>DAMAS_Daily!A269</f>
        <v/>
      </c>
      <c r="B269" s="42">
        <f>DAMAS_Daily!B269</f>
        <v/>
      </c>
      <c r="C269" s="42">
        <f>IF((power_mw*hours_per_day*damas_afrr_up*capacity_mult_C*stack_capacity*acceptance_rate+(MIN(DAMAS_Daily!C269*market_share_C*acceptance_rate*stack_activation,power_mw*hours_per_day,capacity_mwh))*DAMAS_Daily!E269*activation_mult_C)&gt;=(power_mw*hours_per_day*damas_afrr_down*capacity_mult_C*stack_capacity*acceptance_rate+(MIN(DAMAS_Daily!D269*market_share_C*acceptance_rate*stack_activation,power_mw*hours_per_day,capacity_mwh))*DAMAS_Daily!F269*activation_mult_C),"aFRR+","aFRR-")</f>
        <v/>
      </c>
      <c r="D269" s="43">
        <f>IF(C269="aFRR+",damas_afrr_up*capacity_mult_C,damas_afrr_down*capacity_mult_C)</f>
        <v/>
      </c>
      <c r="E269" s="44">
        <f>acceptance_rate</f>
        <v/>
      </c>
      <c r="F269" s="23">
        <f>IF(C269="aFRR+",power_mw*hours_per_day*damas_afrr_up*capacity_mult_C*stack_capacity*acceptance_rate,power_mw*hours_per_day*damas_afrr_down*capacity_mult_C*stack_capacity*acceptance_rate)</f>
        <v/>
      </c>
      <c r="G269" s="42">
        <f>IF(C269="aFRR+",DAMAS_Daily!I269,DAMAS_Daily!J269)</f>
        <v/>
      </c>
      <c r="H269" s="43">
        <f>IF(C269="aFRR+",DAMAS_Daily!E269,DAMAS_Daily!F269)</f>
        <v/>
      </c>
      <c r="I269" s="43">
        <f>IF(C269="aFRR+",DAMAS_Daily!G269,DAMAS_Daily!H269)</f>
        <v/>
      </c>
      <c r="J269" s="45">
        <f>IF(C269="aFRR+",DAMAS_Daily!C269,DAMAS_Daily!D269)</f>
        <v/>
      </c>
      <c r="K269" s="45">
        <f>IF(C269="aFRR+",MIN(DAMAS_Daily!C269*market_share_C*acceptance_rate*stack_activation,power_mw*hours_per_day,capacity_mwh),MIN(DAMAS_Daily!D269*market_share_C*acceptance_rate*stack_activation,power_mw*hours_per_day,capacity_mwh))</f>
        <v/>
      </c>
      <c r="L269" s="42">
        <f>IF(K269&gt;=capacity_mwh-0.01,"yes","no")</f>
        <v/>
      </c>
      <c r="M269" s="23">
        <f>IF(C269="aFRR+",(MIN(DAMAS_Daily!C269*market_share_C*acceptance_rate*stack_activation,power_mw*hours_per_day,capacity_mwh))*DAMAS_Daily!E269*activation_mult_C,(MIN(DAMAS_Daily!D269*market_share_C*acceptance_rate*stack_activation,power_mw*hours_per_day,capacity_mwh))*DAMAS_Daily!F269*activation_mult_C)</f>
        <v/>
      </c>
      <c r="N269" s="24">
        <f>F269+M269</f>
        <v/>
      </c>
    </row>
    <row r="270">
      <c r="A270" s="41">
        <f>DAMAS_Daily!A270</f>
        <v/>
      </c>
      <c r="B270" s="42">
        <f>DAMAS_Daily!B270</f>
        <v/>
      </c>
      <c r="C270" s="42">
        <f>IF((power_mw*hours_per_day*damas_afrr_up*capacity_mult_C*stack_capacity*acceptance_rate+(MIN(DAMAS_Daily!C270*market_share_C*acceptance_rate*stack_activation,power_mw*hours_per_day,capacity_mwh))*DAMAS_Daily!E270*activation_mult_C)&gt;=(power_mw*hours_per_day*damas_afrr_down*capacity_mult_C*stack_capacity*acceptance_rate+(MIN(DAMAS_Daily!D270*market_share_C*acceptance_rate*stack_activation,power_mw*hours_per_day,capacity_mwh))*DAMAS_Daily!F270*activation_mult_C),"aFRR+","aFRR-")</f>
        <v/>
      </c>
      <c r="D270" s="43">
        <f>IF(C270="aFRR+",damas_afrr_up*capacity_mult_C,damas_afrr_down*capacity_mult_C)</f>
        <v/>
      </c>
      <c r="E270" s="44">
        <f>acceptance_rate</f>
        <v/>
      </c>
      <c r="F270" s="23">
        <f>IF(C270="aFRR+",power_mw*hours_per_day*damas_afrr_up*capacity_mult_C*stack_capacity*acceptance_rate,power_mw*hours_per_day*damas_afrr_down*capacity_mult_C*stack_capacity*acceptance_rate)</f>
        <v/>
      </c>
      <c r="G270" s="42">
        <f>IF(C270="aFRR+",DAMAS_Daily!I270,DAMAS_Daily!J270)</f>
        <v/>
      </c>
      <c r="H270" s="43">
        <f>IF(C270="aFRR+",DAMAS_Daily!E270,DAMAS_Daily!F270)</f>
        <v/>
      </c>
      <c r="I270" s="43">
        <f>IF(C270="aFRR+",DAMAS_Daily!G270,DAMAS_Daily!H270)</f>
        <v/>
      </c>
      <c r="J270" s="45">
        <f>IF(C270="aFRR+",DAMAS_Daily!C270,DAMAS_Daily!D270)</f>
        <v/>
      </c>
      <c r="K270" s="45">
        <f>IF(C270="aFRR+",MIN(DAMAS_Daily!C270*market_share_C*acceptance_rate*stack_activation,power_mw*hours_per_day,capacity_mwh),MIN(DAMAS_Daily!D270*market_share_C*acceptance_rate*stack_activation,power_mw*hours_per_day,capacity_mwh))</f>
        <v/>
      </c>
      <c r="L270" s="42">
        <f>IF(K270&gt;=capacity_mwh-0.01,"yes","no")</f>
        <v/>
      </c>
      <c r="M270" s="23">
        <f>IF(C270="aFRR+",(MIN(DAMAS_Daily!C270*market_share_C*acceptance_rate*stack_activation,power_mw*hours_per_day,capacity_mwh))*DAMAS_Daily!E270*activation_mult_C,(MIN(DAMAS_Daily!D270*market_share_C*acceptance_rate*stack_activation,power_mw*hours_per_day,capacity_mwh))*DAMAS_Daily!F270*activation_mult_C)</f>
        <v/>
      </c>
      <c r="N270" s="24">
        <f>F270+M270</f>
        <v/>
      </c>
    </row>
    <row r="271">
      <c r="A271" s="41">
        <f>DAMAS_Daily!A271</f>
        <v/>
      </c>
      <c r="B271" s="42">
        <f>DAMAS_Daily!B271</f>
        <v/>
      </c>
      <c r="C271" s="42">
        <f>IF((power_mw*hours_per_day*damas_afrr_up*capacity_mult_C*stack_capacity*acceptance_rate+(MIN(DAMAS_Daily!C271*market_share_C*acceptance_rate*stack_activation,power_mw*hours_per_day,capacity_mwh))*DAMAS_Daily!E271*activation_mult_C)&gt;=(power_mw*hours_per_day*damas_afrr_down*capacity_mult_C*stack_capacity*acceptance_rate+(MIN(DAMAS_Daily!D271*market_share_C*acceptance_rate*stack_activation,power_mw*hours_per_day,capacity_mwh))*DAMAS_Daily!F271*activation_mult_C),"aFRR+","aFRR-")</f>
        <v/>
      </c>
      <c r="D271" s="43">
        <f>IF(C271="aFRR+",damas_afrr_up*capacity_mult_C,damas_afrr_down*capacity_mult_C)</f>
        <v/>
      </c>
      <c r="E271" s="44">
        <f>acceptance_rate</f>
        <v/>
      </c>
      <c r="F271" s="23">
        <f>IF(C271="aFRR+",power_mw*hours_per_day*damas_afrr_up*capacity_mult_C*stack_capacity*acceptance_rate,power_mw*hours_per_day*damas_afrr_down*capacity_mult_C*stack_capacity*acceptance_rate)</f>
        <v/>
      </c>
      <c r="G271" s="42">
        <f>IF(C271="aFRR+",DAMAS_Daily!I271,DAMAS_Daily!J271)</f>
        <v/>
      </c>
      <c r="H271" s="43">
        <f>IF(C271="aFRR+",DAMAS_Daily!E271,DAMAS_Daily!F271)</f>
        <v/>
      </c>
      <c r="I271" s="43">
        <f>IF(C271="aFRR+",DAMAS_Daily!G271,DAMAS_Daily!H271)</f>
        <v/>
      </c>
      <c r="J271" s="45">
        <f>IF(C271="aFRR+",DAMAS_Daily!C271,DAMAS_Daily!D271)</f>
        <v/>
      </c>
      <c r="K271" s="45">
        <f>IF(C271="aFRR+",MIN(DAMAS_Daily!C271*market_share_C*acceptance_rate*stack_activation,power_mw*hours_per_day,capacity_mwh),MIN(DAMAS_Daily!D271*market_share_C*acceptance_rate*stack_activation,power_mw*hours_per_day,capacity_mwh))</f>
        <v/>
      </c>
      <c r="L271" s="42">
        <f>IF(K271&gt;=capacity_mwh-0.01,"yes","no")</f>
        <v/>
      </c>
      <c r="M271" s="23">
        <f>IF(C271="aFRR+",(MIN(DAMAS_Daily!C271*market_share_C*acceptance_rate*stack_activation,power_mw*hours_per_day,capacity_mwh))*DAMAS_Daily!E271*activation_mult_C,(MIN(DAMAS_Daily!D271*market_share_C*acceptance_rate*stack_activation,power_mw*hours_per_day,capacity_mwh))*DAMAS_Daily!F271*activation_mult_C)</f>
        <v/>
      </c>
      <c r="N271" s="24">
        <f>F271+M271</f>
        <v/>
      </c>
    </row>
    <row r="272">
      <c r="A272" s="41">
        <f>DAMAS_Daily!A272</f>
        <v/>
      </c>
      <c r="B272" s="42">
        <f>DAMAS_Daily!B272</f>
        <v/>
      </c>
      <c r="C272" s="42">
        <f>IF((power_mw*hours_per_day*damas_afrr_up*capacity_mult_C*stack_capacity*acceptance_rate+(MIN(DAMAS_Daily!C272*market_share_C*acceptance_rate*stack_activation,power_mw*hours_per_day,capacity_mwh))*DAMAS_Daily!E272*activation_mult_C)&gt;=(power_mw*hours_per_day*damas_afrr_down*capacity_mult_C*stack_capacity*acceptance_rate+(MIN(DAMAS_Daily!D272*market_share_C*acceptance_rate*stack_activation,power_mw*hours_per_day,capacity_mwh))*DAMAS_Daily!F272*activation_mult_C),"aFRR+","aFRR-")</f>
        <v/>
      </c>
      <c r="D272" s="43">
        <f>IF(C272="aFRR+",damas_afrr_up*capacity_mult_C,damas_afrr_down*capacity_mult_C)</f>
        <v/>
      </c>
      <c r="E272" s="44">
        <f>acceptance_rate</f>
        <v/>
      </c>
      <c r="F272" s="23">
        <f>IF(C272="aFRR+",power_mw*hours_per_day*damas_afrr_up*capacity_mult_C*stack_capacity*acceptance_rate,power_mw*hours_per_day*damas_afrr_down*capacity_mult_C*stack_capacity*acceptance_rate)</f>
        <v/>
      </c>
      <c r="G272" s="42">
        <f>IF(C272="aFRR+",DAMAS_Daily!I272,DAMAS_Daily!J272)</f>
        <v/>
      </c>
      <c r="H272" s="43">
        <f>IF(C272="aFRR+",DAMAS_Daily!E272,DAMAS_Daily!F272)</f>
        <v/>
      </c>
      <c r="I272" s="43">
        <f>IF(C272="aFRR+",DAMAS_Daily!G272,DAMAS_Daily!H272)</f>
        <v/>
      </c>
      <c r="J272" s="45">
        <f>IF(C272="aFRR+",DAMAS_Daily!C272,DAMAS_Daily!D272)</f>
        <v/>
      </c>
      <c r="K272" s="45">
        <f>IF(C272="aFRR+",MIN(DAMAS_Daily!C272*market_share_C*acceptance_rate*stack_activation,power_mw*hours_per_day,capacity_mwh),MIN(DAMAS_Daily!D272*market_share_C*acceptance_rate*stack_activation,power_mw*hours_per_day,capacity_mwh))</f>
        <v/>
      </c>
      <c r="L272" s="42">
        <f>IF(K272&gt;=capacity_mwh-0.01,"yes","no")</f>
        <v/>
      </c>
      <c r="M272" s="23">
        <f>IF(C272="aFRR+",(MIN(DAMAS_Daily!C272*market_share_C*acceptance_rate*stack_activation,power_mw*hours_per_day,capacity_mwh))*DAMAS_Daily!E272*activation_mult_C,(MIN(DAMAS_Daily!D272*market_share_C*acceptance_rate*stack_activation,power_mw*hours_per_day,capacity_mwh))*DAMAS_Daily!F272*activation_mult_C)</f>
        <v/>
      </c>
      <c r="N272" s="24">
        <f>F272+M272</f>
        <v/>
      </c>
    </row>
    <row r="273">
      <c r="A273" s="41">
        <f>DAMAS_Daily!A273</f>
        <v/>
      </c>
      <c r="B273" s="42">
        <f>DAMAS_Daily!B273</f>
        <v/>
      </c>
      <c r="C273" s="42">
        <f>IF((power_mw*hours_per_day*damas_afrr_up*capacity_mult_C*stack_capacity*acceptance_rate+(MIN(DAMAS_Daily!C273*market_share_C*acceptance_rate*stack_activation,power_mw*hours_per_day,capacity_mwh))*DAMAS_Daily!E273*activation_mult_C)&gt;=(power_mw*hours_per_day*damas_afrr_down*capacity_mult_C*stack_capacity*acceptance_rate+(MIN(DAMAS_Daily!D273*market_share_C*acceptance_rate*stack_activation,power_mw*hours_per_day,capacity_mwh))*DAMAS_Daily!F273*activation_mult_C),"aFRR+","aFRR-")</f>
        <v/>
      </c>
      <c r="D273" s="43">
        <f>IF(C273="aFRR+",damas_afrr_up*capacity_mult_C,damas_afrr_down*capacity_mult_C)</f>
        <v/>
      </c>
      <c r="E273" s="44">
        <f>acceptance_rate</f>
        <v/>
      </c>
      <c r="F273" s="23">
        <f>IF(C273="aFRR+",power_mw*hours_per_day*damas_afrr_up*capacity_mult_C*stack_capacity*acceptance_rate,power_mw*hours_per_day*damas_afrr_down*capacity_mult_C*stack_capacity*acceptance_rate)</f>
        <v/>
      </c>
      <c r="G273" s="42">
        <f>IF(C273="aFRR+",DAMAS_Daily!I273,DAMAS_Daily!J273)</f>
        <v/>
      </c>
      <c r="H273" s="43">
        <f>IF(C273="aFRR+",DAMAS_Daily!E273,DAMAS_Daily!F273)</f>
        <v/>
      </c>
      <c r="I273" s="43">
        <f>IF(C273="aFRR+",DAMAS_Daily!G273,DAMAS_Daily!H273)</f>
        <v/>
      </c>
      <c r="J273" s="45">
        <f>IF(C273="aFRR+",DAMAS_Daily!C273,DAMAS_Daily!D273)</f>
        <v/>
      </c>
      <c r="K273" s="45">
        <f>IF(C273="aFRR+",MIN(DAMAS_Daily!C273*market_share_C*acceptance_rate*stack_activation,power_mw*hours_per_day,capacity_mwh),MIN(DAMAS_Daily!D273*market_share_C*acceptance_rate*stack_activation,power_mw*hours_per_day,capacity_mwh))</f>
        <v/>
      </c>
      <c r="L273" s="42">
        <f>IF(K273&gt;=capacity_mwh-0.01,"yes","no")</f>
        <v/>
      </c>
      <c r="M273" s="23">
        <f>IF(C273="aFRR+",(MIN(DAMAS_Daily!C273*market_share_C*acceptance_rate*stack_activation,power_mw*hours_per_day,capacity_mwh))*DAMAS_Daily!E273*activation_mult_C,(MIN(DAMAS_Daily!D273*market_share_C*acceptance_rate*stack_activation,power_mw*hours_per_day,capacity_mwh))*DAMAS_Daily!F273*activation_mult_C)</f>
        <v/>
      </c>
      <c r="N273" s="24">
        <f>F273+M273</f>
        <v/>
      </c>
    </row>
    <row r="274">
      <c r="A274" s="41">
        <f>DAMAS_Daily!A274</f>
        <v/>
      </c>
      <c r="B274" s="42">
        <f>DAMAS_Daily!B274</f>
        <v/>
      </c>
      <c r="C274" s="42">
        <f>IF((power_mw*hours_per_day*damas_afrr_up*capacity_mult_C*stack_capacity*acceptance_rate+(MIN(DAMAS_Daily!C274*market_share_C*acceptance_rate*stack_activation,power_mw*hours_per_day,capacity_mwh))*DAMAS_Daily!E274*activation_mult_C)&gt;=(power_mw*hours_per_day*damas_afrr_down*capacity_mult_C*stack_capacity*acceptance_rate+(MIN(DAMAS_Daily!D274*market_share_C*acceptance_rate*stack_activation,power_mw*hours_per_day,capacity_mwh))*DAMAS_Daily!F274*activation_mult_C),"aFRR+","aFRR-")</f>
        <v/>
      </c>
      <c r="D274" s="43">
        <f>IF(C274="aFRR+",damas_afrr_up*capacity_mult_C,damas_afrr_down*capacity_mult_C)</f>
        <v/>
      </c>
      <c r="E274" s="44">
        <f>acceptance_rate</f>
        <v/>
      </c>
      <c r="F274" s="23">
        <f>IF(C274="aFRR+",power_mw*hours_per_day*damas_afrr_up*capacity_mult_C*stack_capacity*acceptance_rate,power_mw*hours_per_day*damas_afrr_down*capacity_mult_C*stack_capacity*acceptance_rate)</f>
        <v/>
      </c>
      <c r="G274" s="42">
        <f>IF(C274="aFRR+",DAMAS_Daily!I274,DAMAS_Daily!J274)</f>
        <v/>
      </c>
      <c r="H274" s="43">
        <f>IF(C274="aFRR+",DAMAS_Daily!E274,DAMAS_Daily!F274)</f>
        <v/>
      </c>
      <c r="I274" s="43">
        <f>IF(C274="aFRR+",DAMAS_Daily!G274,DAMAS_Daily!H274)</f>
        <v/>
      </c>
      <c r="J274" s="45">
        <f>IF(C274="aFRR+",DAMAS_Daily!C274,DAMAS_Daily!D274)</f>
        <v/>
      </c>
      <c r="K274" s="45">
        <f>IF(C274="aFRR+",MIN(DAMAS_Daily!C274*market_share_C*acceptance_rate*stack_activation,power_mw*hours_per_day,capacity_mwh),MIN(DAMAS_Daily!D274*market_share_C*acceptance_rate*stack_activation,power_mw*hours_per_day,capacity_mwh))</f>
        <v/>
      </c>
      <c r="L274" s="42">
        <f>IF(K274&gt;=capacity_mwh-0.01,"yes","no")</f>
        <v/>
      </c>
      <c r="M274" s="23">
        <f>IF(C274="aFRR+",(MIN(DAMAS_Daily!C274*market_share_C*acceptance_rate*stack_activation,power_mw*hours_per_day,capacity_mwh))*DAMAS_Daily!E274*activation_mult_C,(MIN(DAMAS_Daily!D274*market_share_C*acceptance_rate*stack_activation,power_mw*hours_per_day,capacity_mwh))*DAMAS_Daily!F274*activation_mult_C)</f>
        <v/>
      </c>
      <c r="N274" s="24">
        <f>F274+M274</f>
        <v/>
      </c>
    </row>
    <row r="275">
      <c r="A275" s="41">
        <f>DAMAS_Daily!A275</f>
        <v/>
      </c>
      <c r="B275" s="42">
        <f>DAMAS_Daily!B275</f>
        <v/>
      </c>
      <c r="C275" s="42">
        <f>IF((power_mw*hours_per_day*damas_afrr_up*capacity_mult_C*stack_capacity*acceptance_rate+(MIN(DAMAS_Daily!C275*market_share_C*acceptance_rate*stack_activation,power_mw*hours_per_day,capacity_mwh))*DAMAS_Daily!E275*activation_mult_C)&gt;=(power_mw*hours_per_day*damas_afrr_down*capacity_mult_C*stack_capacity*acceptance_rate+(MIN(DAMAS_Daily!D275*market_share_C*acceptance_rate*stack_activation,power_mw*hours_per_day,capacity_mwh))*DAMAS_Daily!F275*activation_mult_C),"aFRR+","aFRR-")</f>
        <v/>
      </c>
      <c r="D275" s="43">
        <f>IF(C275="aFRR+",damas_afrr_up*capacity_mult_C,damas_afrr_down*capacity_mult_C)</f>
        <v/>
      </c>
      <c r="E275" s="44">
        <f>acceptance_rate</f>
        <v/>
      </c>
      <c r="F275" s="23">
        <f>IF(C275="aFRR+",power_mw*hours_per_day*damas_afrr_up*capacity_mult_C*stack_capacity*acceptance_rate,power_mw*hours_per_day*damas_afrr_down*capacity_mult_C*stack_capacity*acceptance_rate)</f>
        <v/>
      </c>
      <c r="G275" s="42">
        <f>IF(C275="aFRR+",DAMAS_Daily!I275,DAMAS_Daily!J275)</f>
        <v/>
      </c>
      <c r="H275" s="43">
        <f>IF(C275="aFRR+",DAMAS_Daily!E275,DAMAS_Daily!F275)</f>
        <v/>
      </c>
      <c r="I275" s="43">
        <f>IF(C275="aFRR+",DAMAS_Daily!G275,DAMAS_Daily!H275)</f>
        <v/>
      </c>
      <c r="J275" s="45">
        <f>IF(C275="aFRR+",DAMAS_Daily!C275,DAMAS_Daily!D275)</f>
        <v/>
      </c>
      <c r="K275" s="45">
        <f>IF(C275="aFRR+",MIN(DAMAS_Daily!C275*market_share_C*acceptance_rate*stack_activation,power_mw*hours_per_day,capacity_mwh),MIN(DAMAS_Daily!D275*market_share_C*acceptance_rate*stack_activation,power_mw*hours_per_day,capacity_mwh))</f>
        <v/>
      </c>
      <c r="L275" s="42">
        <f>IF(K275&gt;=capacity_mwh-0.01,"yes","no")</f>
        <v/>
      </c>
      <c r="M275" s="23">
        <f>IF(C275="aFRR+",(MIN(DAMAS_Daily!C275*market_share_C*acceptance_rate*stack_activation,power_mw*hours_per_day,capacity_mwh))*DAMAS_Daily!E275*activation_mult_C,(MIN(DAMAS_Daily!D275*market_share_C*acceptance_rate*stack_activation,power_mw*hours_per_day,capacity_mwh))*DAMAS_Daily!F275*activation_mult_C)</f>
        <v/>
      </c>
      <c r="N275" s="24">
        <f>F275+M275</f>
        <v/>
      </c>
    </row>
    <row r="276">
      <c r="A276" s="41">
        <f>DAMAS_Daily!A276</f>
        <v/>
      </c>
      <c r="B276" s="42">
        <f>DAMAS_Daily!B276</f>
        <v/>
      </c>
      <c r="C276" s="42">
        <f>IF((power_mw*hours_per_day*damas_afrr_up*capacity_mult_C*stack_capacity*acceptance_rate+(MIN(DAMAS_Daily!C276*market_share_C*acceptance_rate*stack_activation,power_mw*hours_per_day,capacity_mwh))*DAMAS_Daily!E276*activation_mult_C)&gt;=(power_mw*hours_per_day*damas_afrr_down*capacity_mult_C*stack_capacity*acceptance_rate+(MIN(DAMAS_Daily!D276*market_share_C*acceptance_rate*stack_activation,power_mw*hours_per_day,capacity_mwh))*DAMAS_Daily!F276*activation_mult_C),"aFRR+","aFRR-")</f>
        <v/>
      </c>
      <c r="D276" s="43">
        <f>IF(C276="aFRR+",damas_afrr_up*capacity_mult_C,damas_afrr_down*capacity_mult_C)</f>
        <v/>
      </c>
      <c r="E276" s="44">
        <f>acceptance_rate</f>
        <v/>
      </c>
      <c r="F276" s="23">
        <f>IF(C276="aFRR+",power_mw*hours_per_day*damas_afrr_up*capacity_mult_C*stack_capacity*acceptance_rate,power_mw*hours_per_day*damas_afrr_down*capacity_mult_C*stack_capacity*acceptance_rate)</f>
        <v/>
      </c>
      <c r="G276" s="42">
        <f>IF(C276="aFRR+",DAMAS_Daily!I276,DAMAS_Daily!J276)</f>
        <v/>
      </c>
      <c r="H276" s="43">
        <f>IF(C276="aFRR+",DAMAS_Daily!E276,DAMAS_Daily!F276)</f>
        <v/>
      </c>
      <c r="I276" s="43">
        <f>IF(C276="aFRR+",DAMAS_Daily!G276,DAMAS_Daily!H276)</f>
        <v/>
      </c>
      <c r="J276" s="45">
        <f>IF(C276="aFRR+",DAMAS_Daily!C276,DAMAS_Daily!D276)</f>
        <v/>
      </c>
      <c r="K276" s="45">
        <f>IF(C276="aFRR+",MIN(DAMAS_Daily!C276*market_share_C*acceptance_rate*stack_activation,power_mw*hours_per_day,capacity_mwh),MIN(DAMAS_Daily!D276*market_share_C*acceptance_rate*stack_activation,power_mw*hours_per_day,capacity_mwh))</f>
        <v/>
      </c>
      <c r="L276" s="42">
        <f>IF(K276&gt;=capacity_mwh-0.01,"yes","no")</f>
        <v/>
      </c>
      <c r="M276" s="23">
        <f>IF(C276="aFRR+",(MIN(DAMAS_Daily!C276*market_share_C*acceptance_rate*stack_activation,power_mw*hours_per_day,capacity_mwh))*DAMAS_Daily!E276*activation_mult_C,(MIN(DAMAS_Daily!D276*market_share_C*acceptance_rate*stack_activation,power_mw*hours_per_day,capacity_mwh))*DAMAS_Daily!F276*activation_mult_C)</f>
        <v/>
      </c>
      <c r="N276" s="24">
        <f>F276+M276</f>
        <v/>
      </c>
    </row>
    <row r="277">
      <c r="A277" s="41">
        <f>DAMAS_Daily!A277</f>
        <v/>
      </c>
      <c r="B277" s="42">
        <f>DAMAS_Daily!B277</f>
        <v/>
      </c>
      <c r="C277" s="42">
        <f>IF((power_mw*hours_per_day*damas_afrr_up*capacity_mult_C*stack_capacity*acceptance_rate+(MIN(DAMAS_Daily!C277*market_share_C*acceptance_rate*stack_activation,power_mw*hours_per_day,capacity_mwh))*DAMAS_Daily!E277*activation_mult_C)&gt;=(power_mw*hours_per_day*damas_afrr_down*capacity_mult_C*stack_capacity*acceptance_rate+(MIN(DAMAS_Daily!D277*market_share_C*acceptance_rate*stack_activation,power_mw*hours_per_day,capacity_mwh))*DAMAS_Daily!F277*activation_mult_C),"aFRR+","aFRR-")</f>
        <v/>
      </c>
      <c r="D277" s="43">
        <f>IF(C277="aFRR+",damas_afrr_up*capacity_mult_C,damas_afrr_down*capacity_mult_C)</f>
        <v/>
      </c>
      <c r="E277" s="44">
        <f>acceptance_rate</f>
        <v/>
      </c>
      <c r="F277" s="23">
        <f>IF(C277="aFRR+",power_mw*hours_per_day*damas_afrr_up*capacity_mult_C*stack_capacity*acceptance_rate,power_mw*hours_per_day*damas_afrr_down*capacity_mult_C*stack_capacity*acceptance_rate)</f>
        <v/>
      </c>
      <c r="G277" s="42">
        <f>IF(C277="aFRR+",DAMAS_Daily!I277,DAMAS_Daily!J277)</f>
        <v/>
      </c>
      <c r="H277" s="43">
        <f>IF(C277="aFRR+",DAMAS_Daily!E277,DAMAS_Daily!F277)</f>
        <v/>
      </c>
      <c r="I277" s="43">
        <f>IF(C277="aFRR+",DAMAS_Daily!G277,DAMAS_Daily!H277)</f>
        <v/>
      </c>
      <c r="J277" s="45">
        <f>IF(C277="aFRR+",DAMAS_Daily!C277,DAMAS_Daily!D277)</f>
        <v/>
      </c>
      <c r="K277" s="45">
        <f>IF(C277="aFRR+",MIN(DAMAS_Daily!C277*market_share_C*acceptance_rate*stack_activation,power_mw*hours_per_day,capacity_mwh),MIN(DAMAS_Daily!D277*market_share_C*acceptance_rate*stack_activation,power_mw*hours_per_day,capacity_mwh))</f>
        <v/>
      </c>
      <c r="L277" s="42">
        <f>IF(K277&gt;=capacity_mwh-0.01,"yes","no")</f>
        <v/>
      </c>
      <c r="M277" s="23">
        <f>IF(C277="aFRR+",(MIN(DAMAS_Daily!C277*market_share_C*acceptance_rate*stack_activation,power_mw*hours_per_day,capacity_mwh))*DAMAS_Daily!E277*activation_mult_C,(MIN(DAMAS_Daily!D277*market_share_C*acceptance_rate*stack_activation,power_mw*hours_per_day,capacity_mwh))*DAMAS_Daily!F277*activation_mult_C)</f>
        <v/>
      </c>
      <c r="N277" s="24">
        <f>F277+M277</f>
        <v/>
      </c>
    </row>
    <row r="278">
      <c r="A278" s="41">
        <f>DAMAS_Daily!A278</f>
        <v/>
      </c>
      <c r="B278" s="42">
        <f>DAMAS_Daily!B278</f>
        <v/>
      </c>
      <c r="C278" s="42">
        <f>IF((power_mw*hours_per_day*damas_afrr_up*capacity_mult_C*stack_capacity*acceptance_rate+(MIN(DAMAS_Daily!C278*market_share_C*acceptance_rate*stack_activation,power_mw*hours_per_day,capacity_mwh))*DAMAS_Daily!E278*activation_mult_C)&gt;=(power_mw*hours_per_day*damas_afrr_down*capacity_mult_C*stack_capacity*acceptance_rate+(MIN(DAMAS_Daily!D278*market_share_C*acceptance_rate*stack_activation,power_mw*hours_per_day,capacity_mwh))*DAMAS_Daily!F278*activation_mult_C),"aFRR+","aFRR-")</f>
        <v/>
      </c>
      <c r="D278" s="43">
        <f>IF(C278="aFRR+",damas_afrr_up*capacity_mult_C,damas_afrr_down*capacity_mult_C)</f>
        <v/>
      </c>
      <c r="E278" s="44">
        <f>acceptance_rate</f>
        <v/>
      </c>
      <c r="F278" s="23">
        <f>IF(C278="aFRR+",power_mw*hours_per_day*damas_afrr_up*capacity_mult_C*stack_capacity*acceptance_rate,power_mw*hours_per_day*damas_afrr_down*capacity_mult_C*stack_capacity*acceptance_rate)</f>
        <v/>
      </c>
      <c r="G278" s="42">
        <f>IF(C278="aFRR+",DAMAS_Daily!I278,DAMAS_Daily!J278)</f>
        <v/>
      </c>
      <c r="H278" s="43">
        <f>IF(C278="aFRR+",DAMAS_Daily!E278,DAMAS_Daily!F278)</f>
        <v/>
      </c>
      <c r="I278" s="43">
        <f>IF(C278="aFRR+",DAMAS_Daily!G278,DAMAS_Daily!H278)</f>
        <v/>
      </c>
      <c r="J278" s="45">
        <f>IF(C278="aFRR+",DAMAS_Daily!C278,DAMAS_Daily!D278)</f>
        <v/>
      </c>
      <c r="K278" s="45">
        <f>IF(C278="aFRR+",MIN(DAMAS_Daily!C278*market_share_C*acceptance_rate*stack_activation,power_mw*hours_per_day,capacity_mwh),MIN(DAMAS_Daily!D278*market_share_C*acceptance_rate*stack_activation,power_mw*hours_per_day,capacity_mwh))</f>
        <v/>
      </c>
      <c r="L278" s="42">
        <f>IF(K278&gt;=capacity_mwh-0.01,"yes","no")</f>
        <v/>
      </c>
      <c r="M278" s="23">
        <f>IF(C278="aFRR+",(MIN(DAMAS_Daily!C278*market_share_C*acceptance_rate*stack_activation,power_mw*hours_per_day,capacity_mwh))*DAMAS_Daily!E278*activation_mult_C,(MIN(DAMAS_Daily!D278*market_share_C*acceptance_rate*stack_activation,power_mw*hours_per_day,capacity_mwh))*DAMAS_Daily!F278*activation_mult_C)</f>
        <v/>
      </c>
      <c r="N278" s="24">
        <f>F278+M278</f>
        <v/>
      </c>
    </row>
    <row r="279">
      <c r="A279" s="41">
        <f>DAMAS_Daily!A279</f>
        <v/>
      </c>
      <c r="B279" s="42">
        <f>DAMAS_Daily!B279</f>
        <v/>
      </c>
      <c r="C279" s="42">
        <f>IF((power_mw*hours_per_day*damas_afrr_up*capacity_mult_C*stack_capacity*acceptance_rate+(MIN(DAMAS_Daily!C279*market_share_C*acceptance_rate*stack_activation,power_mw*hours_per_day,capacity_mwh))*DAMAS_Daily!E279*activation_mult_C)&gt;=(power_mw*hours_per_day*damas_afrr_down*capacity_mult_C*stack_capacity*acceptance_rate+(MIN(DAMAS_Daily!D279*market_share_C*acceptance_rate*stack_activation,power_mw*hours_per_day,capacity_mwh))*DAMAS_Daily!F279*activation_mult_C),"aFRR+","aFRR-")</f>
        <v/>
      </c>
      <c r="D279" s="43">
        <f>IF(C279="aFRR+",damas_afrr_up*capacity_mult_C,damas_afrr_down*capacity_mult_C)</f>
        <v/>
      </c>
      <c r="E279" s="44">
        <f>acceptance_rate</f>
        <v/>
      </c>
      <c r="F279" s="23">
        <f>IF(C279="aFRR+",power_mw*hours_per_day*damas_afrr_up*capacity_mult_C*stack_capacity*acceptance_rate,power_mw*hours_per_day*damas_afrr_down*capacity_mult_C*stack_capacity*acceptance_rate)</f>
        <v/>
      </c>
      <c r="G279" s="42">
        <f>IF(C279="aFRR+",DAMAS_Daily!I279,DAMAS_Daily!J279)</f>
        <v/>
      </c>
      <c r="H279" s="43">
        <f>IF(C279="aFRR+",DAMAS_Daily!E279,DAMAS_Daily!F279)</f>
        <v/>
      </c>
      <c r="I279" s="43">
        <f>IF(C279="aFRR+",DAMAS_Daily!G279,DAMAS_Daily!H279)</f>
        <v/>
      </c>
      <c r="J279" s="45">
        <f>IF(C279="aFRR+",DAMAS_Daily!C279,DAMAS_Daily!D279)</f>
        <v/>
      </c>
      <c r="K279" s="45">
        <f>IF(C279="aFRR+",MIN(DAMAS_Daily!C279*market_share_C*acceptance_rate*stack_activation,power_mw*hours_per_day,capacity_mwh),MIN(DAMAS_Daily!D279*market_share_C*acceptance_rate*stack_activation,power_mw*hours_per_day,capacity_mwh))</f>
        <v/>
      </c>
      <c r="L279" s="42">
        <f>IF(K279&gt;=capacity_mwh-0.01,"yes","no")</f>
        <v/>
      </c>
      <c r="M279" s="23">
        <f>IF(C279="aFRR+",(MIN(DAMAS_Daily!C279*market_share_C*acceptance_rate*stack_activation,power_mw*hours_per_day,capacity_mwh))*DAMAS_Daily!E279*activation_mult_C,(MIN(DAMAS_Daily!D279*market_share_C*acceptance_rate*stack_activation,power_mw*hours_per_day,capacity_mwh))*DAMAS_Daily!F279*activation_mult_C)</f>
        <v/>
      </c>
      <c r="N279" s="24">
        <f>F279+M279</f>
        <v/>
      </c>
    </row>
    <row r="280">
      <c r="A280" s="41">
        <f>DAMAS_Daily!A280</f>
        <v/>
      </c>
      <c r="B280" s="42">
        <f>DAMAS_Daily!B280</f>
        <v/>
      </c>
      <c r="C280" s="42">
        <f>IF((power_mw*hours_per_day*damas_afrr_up*capacity_mult_C*stack_capacity*acceptance_rate+(MIN(DAMAS_Daily!C280*market_share_C*acceptance_rate*stack_activation,power_mw*hours_per_day,capacity_mwh))*DAMAS_Daily!E280*activation_mult_C)&gt;=(power_mw*hours_per_day*damas_afrr_down*capacity_mult_C*stack_capacity*acceptance_rate+(MIN(DAMAS_Daily!D280*market_share_C*acceptance_rate*stack_activation,power_mw*hours_per_day,capacity_mwh))*DAMAS_Daily!F280*activation_mult_C),"aFRR+","aFRR-")</f>
        <v/>
      </c>
      <c r="D280" s="43">
        <f>IF(C280="aFRR+",damas_afrr_up*capacity_mult_C,damas_afrr_down*capacity_mult_C)</f>
        <v/>
      </c>
      <c r="E280" s="44">
        <f>acceptance_rate</f>
        <v/>
      </c>
      <c r="F280" s="23">
        <f>IF(C280="aFRR+",power_mw*hours_per_day*damas_afrr_up*capacity_mult_C*stack_capacity*acceptance_rate,power_mw*hours_per_day*damas_afrr_down*capacity_mult_C*stack_capacity*acceptance_rate)</f>
        <v/>
      </c>
      <c r="G280" s="42">
        <f>IF(C280="aFRR+",DAMAS_Daily!I280,DAMAS_Daily!J280)</f>
        <v/>
      </c>
      <c r="H280" s="43">
        <f>IF(C280="aFRR+",DAMAS_Daily!E280,DAMAS_Daily!F280)</f>
        <v/>
      </c>
      <c r="I280" s="43">
        <f>IF(C280="aFRR+",DAMAS_Daily!G280,DAMAS_Daily!H280)</f>
        <v/>
      </c>
      <c r="J280" s="45">
        <f>IF(C280="aFRR+",DAMAS_Daily!C280,DAMAS_Daily!D280)</f>
        <v/>
      </c>
      <c r="K280" s="45">
        <f>IF(C280="aFRR+",MIN(DAMAS_Daily!C280*market_share_C*acceptance_rate*stack_activation,power_mw*hours_per_day,capacity_mwh),MIN(DAMAS_Daily!D280*market_share_C*acceptance_rate*stack_activation,power_mw*hours_per_day,capacity_mwh))</f>
        <v/>
      </c>
      <c r="L280" s="42">
        <f>IF(K280&gt;=capacity_mwh-0.01,"yes","no")</f>
        <v/>
      </c>
      <c r="M280" s="23">
        <f>IF(C280="aFRR+",(MIN(DAMAS_Daily!C280*market_share_C*acceptance_rate*stack_activation,power_mw*hours_per_day,capacity_mwh))*DAMAS_Daily!E280*activation_mult_C,(MIN(DAMAS_Daily!D280*market_share_C*acceptance_rate*stack_activation,power_mw*hours_per_day,capacity_mwh))*DAMAS_Daily!F280*activation_mult_C)</f>
        <v/>
      </c>
      <c r="N280" s="24">
        <f>F280+M280</f>
        <v/>
      </c>
    </row>
    <row r="281">
      <c r="A281" s="41">
        <f>DAMAS_Daily!A281</f>
        <v/>
      </c>
      <c r="B281" s="42">
        <f>DAMAS_Daily!B281</f>
        <v/>
      </c>
      <c r="C281" s="42">
        <f>IF((power_mw*hours_per_day*damas_afrr_up*capacity_mult_C*stack_capacity*acceptance_rate+(MIN(DAMAS_Daily!C281*market_share_C*acceptance_rate*stack_activation,power_mw*hours_per_day,capacity_mwh))*DAMAS_Daily!E281*activation_mult_C)&gt;=(power_mw*hours_per_day*damas_afrr_down*capacity_mult_C*stack_capacity*acceptance_rate+(MIN(DAMAS_Daily!D281*market_share_C*acceptance_rate*stack_activation,power_mw*hours_per_day,capacity_mwh))*DAMAS_Daily!F281*activation_mult_C),"aFRR+","aFRR-")</f>
        <v/>
      </c>
      <c r="D281" s="43">
        <f>IF(C281="aFRR+",damas_afrr_up*capacity_mult_C,damas_afrr_down*capacity_mult_C)</f>
        <v/>
      </c>
      <c r="E281" s="44">
        <f>acceptance_rate</f>
        <v/>
      </c>
      <c r="F281" s="23">
        <f>IF(C281="aFRR+",power_mw*hours_per_day*damas_afrr_up*capacity_mult_C*stack_capacity*acceptance_rate,power_mw*hours_per_day*damas_afrr_down*capacity_mult_C*stack_capacity*acceptance_rate)</f>
        <v/>
      </c>
      <c r="G281" s="42">
        <f>IF(C281="aFRR+",DAMAS_Daily!I281,DAMAS_Daily!J281)</f>
        <v/>
      </c>
      <c r="H281" s="43">
        <f>IF(C281="aFRR+",DAMAS_Daily!E281,DAMAS_Daily!F281)</f>
        <v/>
      </c>
      <c r="I281" s="43">
        <f>IF(C281="aFRR+",DAMAS_Daily!G281,DAMAS_Daily!H281)</f>
        <v/>
      </c>
      <c r="J281" s="45">
        <f>IF(C281="aFRR+",DAMAS_Daily!C281,DAMAS_Daily!D281)</f>
        <v/>
      </c>
      <c r="K281" s="45">
        <f>IF(C281="aFRR+",MIN(DAMAS_Daily!C281*market_share_C*acceptance_rate*stack_activation,power_mw*hours_per_day,capacity_mwh),MIN(DAMAS_Daily!D281*market_share_C*acceptance_rate*stack_activation,power_mw*hours_per_day,capacity_mwh))</f>
        <v/>
      </c>
      <c r="L281" s="42">
        <f>IF(K281&gt;=capacity_mwh-0.01,"yes","no")</f>
        <v/>
      </c>
      <c r="M281" s="23">
        <f>IF(C281="aFRR+",(MIN(DAMAS_Daily!C281*market_share_C*acceptance_rate*stack_activation,power_mw*hours_per_day,capacity_mwh))*DAMAS_Daily!E281*activation_mult_C,(MIN(DAMAS_Daily!D281*market_share_C*acceptance_rate*stack_activation,power_mw*hours_per_day,capacity_mwh))*DAMAS_Daily!F281*activation_mult_C)</f>
        <v/>
      </c>
      <c r="N281" s="24">
        <f>F281+M281</f>
        <v/>
      </c>
    </row>
    <row r="282">
      <c r="A282" s="41">
        <f>DAMAS_Daily!A282</f>
        <v/>
      </c>
      <c r="B282" s="42">
        <f>DAMAS_Daily!B282</f>
        <v/>
      </c>
      <c r="C282" s="42">
        <f>IF((power_mw*hours_per_day*damas_afrr_up*capacity_mult_C*stack_capacity*acceptance_rate+(MIN(DAMAS_Daily!C282*market_share_C*acceptance_rate*stack_activation,power_mw*hours_per_day,capacity_mwh))*DAMAS_Daily!E282*activation_mult_C)&gt;=(power_mw*hours_per_day*damas_afrr_down*capacity_mult_C*stack_capacity*acceptance_rate+(MIN(DAMAS_Daily!D282*market_share_C*acceptance_rate*stack_activation,power_mw*hours_per_day,capacity_mwh))*DAMAS_Daily!F282*activation_mult_C),"aFRR+","aFRR-")</f>
        <v/>
      </c>
      <c r="D282" s="43">
        <f>IF(C282="aFRR+",damas_afrr_up*capacity_mult_C,damas_afrr_down*capacity_mult_C)</f>
        <v/>
      </c>
      <c r="E282" s="44">
        <f>acceptance_rate</f>
        <v/>
      </c>
      <c r="F282" s="23">
        <f>IF(C282="aFRR+",power_mw*hours_per_day*damas_afrr_up*capacity_mult_C*stack_capacity*acceptance_rate,power_mw*hours_per_day*damas_afrr_down*capacity_mult_C*stack_capacity*acceptance_rate)</f>
        <v/>
      </c>
      <c r="G282" s="42">
        <f>IF(C282="aFRR+",DAMAS_Daily!I282,DAMAS_Daily!J282)</f>
        <v/>
      </c>
      <c r="H282" s="43">
        <f>IF(C282="aFRR+",DAMAS_Daily!E282,DAMAS_Daily!F282)</f>
        <v/>
      </c>
      <c r="I282" s="43">
        <f>IF(C282="aFRR+",DAMAS_Daily!G282,DAMAS_Daily!H282)</f>
        <v/>
      </c>
      <c r="J282" s="45">
        <f>IF(C282="aFRR+",DAMAS_Daily!C282,DAMAS_Daily!D282)</f>
        <v/>
      </c>
      <c r="K282" s="45">
        <f>IF(C282="aFRR+",MIN(DAMAS_Daily!C282*market_share_C*acceptance_rate*stack_activation,power_mw*hours_per_day,capacity_mwh),MIN(DAMAS_Daily!D282*market_share_C*acceptance_rate*stack_activation,power_mw*hours_per_day,capacity_mwh))</f>
        <v/>
      </c>
      <c r="L282" s="42">
        <f>IF(K282&gt;=capacity_mwh-0.01,"yes","no")</f>
        <v/>
      </c>
      <c r="M282" s="23">
        <f>IF(C282="aFRR+",(MIN(DAMAS_Daily!C282*market_share_C*acceptance_rate*stack_activation,power_mw*hours_per_day,capacity_mwh))*DAMAS_Daily!E282*activation_mult_C,(MIN(DAMAS_Daily!D282*market_share_C*acceptance_rate*stack_activation,power_mw*hours_per_day,capacity_mwh))*DAMAS_Daily!F282*activation_mult_C)</f>
        <v/>
      </c>
      <c r="N282" s="24">
        <f>F282+M282</f>
        <v/>
      </c>
    </row>
    <row r="283">
      <c r="A283" s="41">
        <f>DAMAS_Daily!A283</f>
        <v/>
      </c>
      <c r="B283" s="42">
        <f>DAMAS_Daily!B283</f>
        <v/>
      </c>
      <c r="C283" s="42">
        <f>IF((power_mw*hours_per_day*damas_afrr_up*capacity_mult_C*stack_capacity*acceptance_rate+(MIN(DAMAS_Daily!C283*market_share_C*acceptance_rate*stack_activation,power_mw*hours_per_day,capacity_mwh))*DAMAS_Daily!E283*activation_mult_C)&gt;=(power_mw*hours_per_day*damas_afrr_down*capacity_mult_C*stack_capacity*acceptance_rate+(MIN(DAMAS_Daily!D283*market_share_C*acceptance_rate*stack_activation,power_mw*hours_per_day,capacity_mwh))*DAMAS_Daily!F283*activation_mult_C),"aFRR+","aFRR-")</f>
        <v/>
      </c>
      <c r="D283" s="43">
        <f>IF(C283="aFRR+",damas_afrr_up*capacity_mult_C,damas_afrr_down*capacity_mult_C)</f>
        <v/>
      </c>
      <c r="E283" s="44">
        <f>acceptance_rate</f>
        <v/>
      </c>
      <c r="F283" s="23">
        <f>IF(C283="aFRR+",power_mw*hours_per_day*damas_afrr_up*capacity_mult_C*stack_capacity*acceptance_rate,power_mw*hours_per_day*damas_afrr_down*capacity_mult_C*stack_capacity*acceptance_rate)</f>
        <v/>
      </c>
      <c r="G283" s="42">
        <f>IF(C283="aFRR+",DAMAS_Daily!I283,DAMAS_Daily!J283)</f>
        <v/>
      </c>
      <c r="H283" s="43">
        <f>IF(C283="aFRR+",DAMAS_Daily!E283,DAMAS_Daily!F283)</f>
        <v/>
      </c>
      <c r="I283" s="43">
        <f>IF(C283="aFRR+",DAMAS_Daily!G283,DAMAS_Daily!H283)</f>
        <v/>
      </c>
      <c r="J283" s="45">
        <f>IF(C283="aFRR+",DAMAS_Daily!C283,DAMAS_Daily!D283)</f>
        <v/>
      </c>
      <c r="K283" s="45">
        <f>IF(C283="aFRR+",MIN(DAMAS_Daily!C283*market_share_C*acceptance_rate*stack_activation,power_mw*hours_per_day,capacity_mwh),MIN(DAMAS_Daily!D283*market_share_C*acceptance_rate*stack_activation,power_mw*hours_per_day,capacity_mwh))</f>
        <v/>
      </c>
      <c r="L283" s="42">
        <f>IF(K283&gt;=capacity_mwh-0.01,"yes","no")</f>
        <v/>
      </c>
      <c r="M283" s="23">
        <f>IF(C283="aFRR+",(MIN(DAMAS_Daily!C283*market_share_C*acceptance_rate*stack_activation,power_mw*hours_per_day,capacity_mwh))*DAMAS_Daily!E283*activation_mult_C,(MIN(DAMAS_Daily!D283*market_share_C*acceptance_rate*stack_activation,power_mw*hours_per_day,capacity_mwh))*DAMAS_Daily!F283*activation_mult_C)</f>
        <v/>
      </c>
      <c r="N283" s="24">
        <f>F283+M283</f>
        <v/>
      </c>
    </row>
    <row r="284">
      <c r="A284" s="41">
        <f>DAMAS_Daily!A284</f>
        <v/>
      </c>
      <c r="B284" s="42">
        <f>DAMAS_Daily!B284</f>
        <v/>
      </c>
      <c r="C284" s="42">
        <f>IF((power_mw*hours_per_day*damas_afrr_up*capacity_mult_C*stack_capacity*acceptance_rate+(MIN(DAMAS_Daily!C284*market_share_C*acceptance_rate*stack_activation,power_mw*hours_per_day,capacity_mwh))*DAMAS_Daily!E284*activation_mult_C)&gt;=(power_mw*hours_per_day*damas_afrr_down*capacity_mult_C*stack_capacity*acceptance_rate+(MIN(DAMAS_Daily!D284*market_share_C*acceptance_rate*stack_activation,power_mw*hours_per_day,capacity_mwh))*DAMAS_Daily!F284*activation_mult_C),"aFRR+","aFRR-")</f>
        <v/>
      </c>
      <c r="D284" s="43">
        <f>IF(C284="aFRR+",damas_afrr_up*capacity_mult_C,damas_afrr_down*capacity_mult_C)</f>
        <v/>
      </c>
      <c r="E284" s="44">
        <f>acceptance_rate</f>
        <v/>
      </c>
      <c r="F284" s="23">
        <f>IF(C284="aFRR+",power_mw*hours_per_day*damas_afrr_up*capacity_mult_C*stack_capacity*acceptance_rate,power_mw*hours_per_day*damas_afrr_down*capacity_mult_C*stack_capacity*acceptance_rate)</f>
        <v/>
      </c>
      <c r="G284" s="42">
        <f>IF(C284="aFRR+",DAMAS_Daily!I284,DAMAS_Daily!J284)</f>
        <v/>
      </c>
      <c r="H284" s="43">
        <f>IF(C284="aFRR+",DAMAS_Daily!E284,DAMAS_Daily!F284)</f>
        <v/>
      </c>
      <c r="I284" s="43">
        <f>IF(C284="aFRR+",DAMAS_Daily!G284,DAMAS_Daily!H284)</f>
        <v/>
      </c>
      <c r="J284" s="45">
        <f>IF(C284="aFRR+",DAMAS_Daily!C284,DAMAS_Daily!D284)</f>
        <v/>
      </c>
      <c r="K284" s="45">
        <f>IF(C284="aFRR+",MIN(DAMAS_Daily!C284*market_share_C*acceptance_rate*stack_activation,power_mw*hours_per_day,capacity_mwh),MIN(DAMAS_Daily!D284*market_share_C*acceptance_rate*stack_activation,power_mw*hours_per_day,capacity_mwh))</f>
        <v/>
      </c>
      <c r="L284" s="42">
        <f>IF(K284&gt;=capacity_mwh-0.01,"yes","no")</f>
        <v/>
      </c>
      <c r="M284" s="23">
        <f>IF(C284="aFRR+",(MIN(DAMAS_Daily!C284*market_share_C*acceptance_rate*stack_activation,power_mw*hours_per_day,capacity_mwh))*DAMAS_Daily!E284*activation_mult_C,(MIN(DAMAS_Daily!D284*market_share_C*acceptance_rate*stack_activation,power_mw*hours_per_day,capacity_mwh))*DAMAS_Daily!F284*activation_mult_C)</f>
        <v/>
      </c>
      <c r="N284" s="24">
        <f>F284+M284</f>
        <v/>
      </c>
    </row>
    <row r="285">
      <c r="A285" s="41">
        <f>DAMAS_Daily!A285</f>
        <v/>
      </c>
      <c r="B285" s="42">
        <f>DAMAS_Daily!B285</f>
        <v/>
      </c>
      <c r="C285" s="42">
        <f>IF((power_mw*hours_per_day*damas_afrr_up*capacity_mult_C*stack_capacity*acceptance_rate+(MIN(DAMAS_Daily!C285*market_share_C*acceptance_rate*stack_activation,power_mw*hours_per_day,capacity_mwh))*DAMAS_Daily!E285*activation_mult_C)&gt;=(power_mw*hours_per_day*damas_afrr_down*capacity_mult_C*stack_capacity*acceptance_rate+(MIN(DAMAS_Daily!D285*market_share_C*acceptance_rate*stack_activation,power_mw*hours_per_day,capacity_mwh))*DAMAS_Daily!F285*activation_mult_C),"aFRR+","aFRR-")</f>
        <v/>
      </c>
      <c r="D285" s="43">
        <f>IF(C285="aFRR+",damas_afrr_up*capacity_mult_C,damas_afrr_down*capacity_mult_C)</f>
        <v/>
      </c>
      <c r="E285" s="44">
        <f>acceptance_rate</f>
        <v/>
      </c>
      <c r="F285" s="23">
        <f>IF(C285="aFRR+",power_mw*hours_per_day*damas_afrr_up*capacity_mult_C*stack_capacity*acceptance_rate,power_mw*hours_per_day*damas_afrr_down*capacity_mult_C*stack_capacity*acceptance_rate)</f>
        <v/>
      </c>
      <c r="G285" s="42">
        <f>IF(C285="aFRR+",DAMAS_Daily!I285,DAMAS_Daily!J285)</f>
        <v/>
      </c>
      <c r="H285" s="43">
        <f>IF(C285="aFRR+",DAMAS_Daily!E285,DAMAS_Daily!F285)</f>
        <v/>
      </c>
      <c r="I285" s="43">
        <f>IF(C285="aFRR+",DAMAS_Daily!G285,DAMAS_Daily!H285)</f>
        <v/>
      </c>
      <c r="J285" s="45">
        <f>IF(C285="aFRR+",DAMAS_Daily!C285,DAMAS_Daily!D285)</f>
        <v/>
      </c>
      <c r="K285" s="45">
        <f>IF(C285="aFRR+",MIN(DAMAS_Daily!C285*market_share_C*acceptance_rate*stack_activation,power_mw*hours_per_day,capacity_mwh),MIN(DAMAS_Daily!D285*market_share_C*acceptance_rate*stack_activation,power_mw*hours_per_day,capacity_mwh))</f>
        <v/>
      </c>
      <c r="L285" s="42">
        <f>IF(K285&gt;=capacity_mwh-0.01,"yes","no")</f>
        <v/>
      </c>
      <c r="M285" s="23">
        <f>IF(C285="aFRR+",(MIN(DAMAS_Daily!C285*market_share_C*acceptance_rate*stack_activation,power_mw*hours_per_day,capacity_mwh))*DAMAS_Daily!E285*activation_mult_C,(MIN(DAMAS_Daily!D285*market_share_C*acceptance_rate*stack_activation,power_mw*hours_per_day,capacity_mwh))*DAMAS_Daily!F285*activation_mult_C)</f>
        <v/>
      </c>
      <c r="N285" s="24">
        <f>F285+M285</f>
        <v/>
      </c>
    </row>
    <row r="286">
      <c r="A286" s="41">
        <f>DAMAS_Daily!A286</f>
        <v/>
      </c>
      <c r="B286" s="42">
        <f>DAMAS_Daily!B286</f>
        <v/>
      </c>
      <c r="C286" s="42">
        <f>IF((power_mw*hours_per_day*damas_afrr_up*capacity_mult_C*stack_capacity*acceptance_rate+(MIN(DAMAS_Daily!C286*market_share_C*acceptance_rate*stack_activation,power_mw*hours_per_day,capacity_mwh))*DAMAS_Daily!E286*activation_mult_C)&gt;=(power_mw*hours_per_day*damas_afrr_down*capacity_mult_C*stack_capacity*acceptance_rate+(MIN(DAMAS_Daily!D286*market_share_C*acceptance_rate*stack_activation,power_mw*hours_per_day,capacity_mwh))*DAMAS_Daily!F286*activation_mult_C),"aFRR+","aFRR-")</f>
        <v/>
      </c>
      <c r="D286" s="43">
        <f>IF(C286="aFRR+",damas_afrr_up*capacity_mult_C,damas_afrr_down*capacity_mult_C)</f>
        <v/>
      </c>
      <c r="E286" s="44">
        <f>acceptance_rate</f>
        <v/>
      </c>
      <c r="F286" s="23">
        <f>IF(C286="aFRR+",power_mw*hours_per_day*damas_afrr_up*capacity_mult_C*stack_capacity*acceptance_rate,power_mw*hours_per_day*damas_afrr_down*capacity_mult_C*stack_capacity*acceptance_rate)</f>
        <v/>
      </c>
      <c r="G286" s="42">
        <f>IF(C286="aFRR+",DAMAS_Daily!I286,DAMAS_Daily!J286)</f>
        <v/>
      </c>
      <c r="H286" s="43">
        <f>IF(C286="aFRR+",DAMAS_Daily!E286,DAMAS_Daily!F286)</f>
        <v/>
      </c>
      <c r="I286" s="43">
        <f>IF(C286="aFRR+",DAMAS_Daily!G286,DAMAS_Daily!H286)</f>
        <v/>
      </c>
      <c r="J286" s="45">
        <f>IF(C286="aFRR+",DAMAS_Daily!C286,DAMAS_Daily!D286)</f>
        <v/>
      </c>
      <c r="K286" s="45">
        <f>IF(C286="aFRR+",MIN(DAMAS_Daily!C286*market_share_C*acceptance_rate*stack_activation,power_mw*hours_per_day,capacity_mwh),MIN(DAMAS_Daily!D286*market_share_C*acceptance_rate*stack_activation,power_mw*hours_per_day,capacity_mwh))</f>
        <v/>
      </c>
      <c r="L286" s="42">
        <f>IF(K286&gt;=capacity_mwh-0.01,"yes","no")</f>
        <v/>
      </c>
      <c r="M286" s="23">
        <f>IF(C286="aFRR+",(MIN(DAMAS_Daily!C286*market_share_C*acceptance_rate*stack_activation,power_mw*hours_per_day,capacity_mwh))*DAMAS_Daily!E286*activation_mult_C,(MIN(DAMAS_Daily!D286*market_share_C*acceptance_rate*stack_activation,power_mw*hours_per_day,capacity_mwh))*DAMAS_Daily!F286*activation_mult_C)</f>
        <v/>
      </c>
      <c r="N286" s="24">
        <f>F286+M286</f>
        <v/>
      </c>
    </row>
    <row r="287">
      <c r="A287" s="41">
        <f>DAMAS_Daily!A287</f>
        <v/>
      </c>
      <c r="B287" s="42">
        <f>DAMAS_Daily!B287</f>
        <v/>
      </c>
      <c r="C287" s="42">
        <f>IF((power_mw*hours_per_day*damas_afrr_up*capacity_mult_C*stack_capacity*acceptance_rate+(MIN(DAMAS_Daily!C287*market_share_C*acceptance_rate*stack_activation,power_mw*hours_per_day,capacity_mwh))*DAMAS_Daily!E287*activation_mult_C)&gt;=(power_mw*hours_per_day*damas_afrr_down*capacity_mult_C*stack_capacity*acceptance_rate+(MIN(DAMAS_Daily!D287*market_share_C*acceptance_rate*stack_activation,power_mw*hours_per_day,capacity_mwh))*DAMAS_Daily!F287*activation_mult_C),"aFRR+","aFRR-")</f>
        <v/>
      </c>
      <c r="D287" s="43">
        <f>IF(C287="aFRR+",damas_afrr_up*capacity_mult_C,damas_afrr_down*capacity_mult_C)</f>
        <v/>
      </c>
      <c r="E287" s="44">
        <f>acceptance_rate</f>
        <v/>
      </c>
      <c r="F287" s="23">
        <f>IF(C287="aFRR+",power_mw*hours_per_day*damas_afrr_up*capacity_mult_C*stack_capacity*acceptance_rate,power_mw*hours_per_day*damas_afrr_down*capacity_mult_C*stack_capacity*acceptance_rate)</f>
        <v/>
      </c>
      <c r="G287" s="42">
        <f>IF(C287="aFRR+",DAMAS_Daily!I287,DAMAS_Daily!J287)</f>
        <v/>
      </c>
      <c r="H287" s="43">
        <f>IF(C287="aFRR+",DAMAS_Daily!E287,DAMAS_Daily!F287)</f>
        <v/>
      </c>
      <c r="I287" s="43">
        <f>IF(C287="aFRR+",DAMAS_Daily!G287,DAMAS_Daily!H287)</f>
        <v/>
      </c>
      <c r="J287" s="45">
        <f>IF(C287="aFRR+",DAMAS_Daily!C287,DAMAS_Daily!D287)</f>
        <v/>
      </c>
      <c r="K287" s="45">
        <f>IF(C287="aFRR+",MIN(DAMAS_Daily!C287*market_share_C*acceptance_rate*stack_activation,power_mw*hours_per_day,capacity_mwh),MIN(DAMAS_Daily!D287*market_share_C*acceptance_rate*stack_activation,power_mw*hours_per_day,capacity_mwh))</f>
        <v/>
      </c>
      <c r="L287" s="42">
        <f>IF(K287&gt;=capacity_mwh-0.01,"yes","no")</f>
        <v/>
      </c>
      <c r="M287" s="23">
        <f>IF(C287="aFRR+",(MIN(DAMAS_Daily!C287*market_share_C*acceptance_rate*stack_activation,power_mw*hours_per_day,capacity_mwh))*DAMAS_Daily!E287*activation_mult_C,(MIN(DAMAS_Daily!D287*market_share_C*acceptance_rate*stack_activation,power_mw*hours_per_day,capacity_mwh))*DAMAS_Daily!F287*activation_mult_C)</f>
        <v/>
      </c>
      <c r="N287" s="24">
        <f>F287+M287</f>
        <v/>
      </c>
    </row>
    <row r="288">
      <c r="A288" s="41">
        <f>DAMAS_Daily!A288</f>
        <v/>
      </c>
      <c r="B288" s="42">
        <f>DAMAS_Daily!B288</f>
        <v/>
      </c>
      <c r="C288" s="42">
        <f>IF((power_mw*hours_per_day*damas_afrr_up*capacity_mult_C*stack_capacity*acceptance_rate+(MIN(DAMAS_Daily!C288*market_share_C*acceptance_rate*stack_activation,power_mw*hours_per_day,capacity_mwh))*DAMAS_Daily!E288*activation_mult_C)&gt;=(power_mw*hours_per_day*damas_afrr_down*capacity_mult_C*stack_capacity*acceptance_rate+(MIN(DAMAS_Daily!D288*market_share_C*acceptance_rate*stack_activation,power_mw*hours_per_day,capacity_mwh))*DAMAS_Daily!F288*activation_mult_C),"aFRR+","aFRR-")</f>
        <v/>
      </c>
      <c r="D288" s="43">
        <f>IF(C288="aFRR+",damas_afrr_up*capacity_mult_C,damas_afrr_down*capacity_mult_C)</f>
        <v/>
      </c>
      <c r="E288" s="44">
        <f>acceptance_rate</f>
        <v/>
      </c>
      <c r="F288" s="23">
        <f>IF(C288="aFRR+",power_mw*hours_per_day*damas_afrr_up*capacity_mult_C*stack_capacity*acceptance_rate,power_mw*hours_per_day*damas_afrr_down*capacity_mult_C*stack_capacity*acceptance_rate)</f>
        <v/>
      </c>
      <c r="G288" s="42">
        <f>IF(C288="aFRR+",DAMAS_Daily!I288,DAMAS_Daily!J288)</f>
        <v/>
      </c>
      <c r="H288" s="43">
        <f>IF(C288="aFRR+",DAMAS_Daily!E288,DAMAS_Daily!F288)</f>
        <v/>
      </c>
      <c r="I288" s="43">
        <f>IF(C288="aFRR+",DAMAS_Daily!G288,DAMAS_Daily!H288)</f>
        <v/>
      </c>
      <c r="J288" s="45">
        <f>IF(C288="aFRR+",DAMAS_Daily!C288,DAMAS_Daily!D288)</f>
        <v/>
      </c>
      <c r="K288" s="45">
        <f>IF(C288="aFRR+",MIN(DAMAS_Daily!C288*market_share_C*acceptance_rate*stack_activation,power_mw*hours_per_day,capacity_mwh),MIN(DAMAS_Daily!D288*market_share_C*acceptance_rate*stack_activation,power_mw*hours_per_day,capacity_mwh))</f>
        <v/>
      </c>
      <c r="L288" s="42">
        <f>IF(K288&gt;=capacity_mwh-0.01,"yes","no")</f>
        <v/>
      </c>
      <c r="M288" s="23">
        <f>IF(C288="aFRR+",(MIN(DAMAS_Daily!C288*market_share_C*acceptance_rate*stack_activation,power_mw*hours_per_day,capacity_mwh))*DAMAS_Daily!E288*activation_mult_C,(MIN(DAMAS_Daily!D288*market_share_C*acceptance_rate*stack_activation,power_mw*hours_per_day,capacity_mwh))*DAMAS_Daily!F288*activation_mult_C)</f>
        <v/>
      </c>
      <c r="N288" s="24">
        <f>F288+M288</f>
        <v/>
      </c>
    </row>
    <row r="289">
      <c r="A289" s="41">
        <f>DAMAS_Daily!A289</f>
        <v/>
      </c>
      <c r="B289" s="42">
        <f>DAMAS_Daily!B289</f>
        <v/>
      </c>
      <c r="C289" s="42">
        <f>IF((power_mw*hours_per_day*damas_afrr_up*capacity_mult_C*stack_capacity*acceptance_rate+(MIN(DAMAS_Daily!C289*market_share_C*acceptance_rate*stack_activation,power_mw*hours_per_day,capacity_mwh))*DAMAS_Daily!E289*activation_mult_C)&gt;=(power_mw*hours_per_day*damas_afrr_down*capacity_mult_C*stack_capacity*acceptance_rate+(MIN(DAMAS_Daily!D289*market_share_C*acceptance_rate*stack_activation,power_mw*hours_per_day,capacity_mwh))*DAMAS_Daily!F289*activation_mult_C),"aFRR+","aFRR-")</f>
        <v/>
      </c>
      <c r="D289" s="43">
        <f>IF(C289="aFRR+",damas_afrr_up*capacity_mult_C,damas_afrr_down*capacity_mult_C)</f>
        <v/>
      </c>
      <c r="E289" s="44">
        <f>acceptance_rate</f>
        <v/>
      </c>
      <c r="F289" s="23">
        <f>IF(C289="aFRR+",power_mw*hours_per_day*damas_afrr_up*capacity_mult_C*stack_capacity*acceptance_rate,power_mw*hours_per_day*damas_afrr_down*capacity_mult_C*stack_capacity*acceptance_rate)</f>
        <v/>
      </c>
      <c r="G289" s="42">
        <f>IF(C289="aFRR+",DAMAS_Daily!I289,DAMAS_Daily!J289)</f>
        <v/>
      </c>
      <c r="H289" s="43">
        <f>IF(C289="aFRR+",DAMAS_Daily!E289,DAMAS_Daily!F289)</f>
        <v/>
      </c>
      <c r="I289" s="43">
        <f>IF(C289="aFRR+",DAMAS_Daily!G289,DAMAS_Daily!H289)</f>
        <v/>
      </c>
      <c r="J289" s="45">
        <f>IF(C289="aFRR+",DAMAS_Daily!C289,DAMAS_Daily!D289)</f>
        <v/>
      </c>
      <c r="K289" s="45">
        <f>IF(C289="aFRR+",MIN(DAMAS_Daily!C289*market_share_C*acceptance_rate*stack_activation,power_mw*hours_per_day,capacity_mwh),MIN(DAMAS_Daily!D289*market_share_C*acceptance_rate*stack_activation,power_mw*hours_per_day,capacity_mwh))</f>
        <v/>
      </c>
      <c r="L289" s="42">
        <f>IF(K289&gt;=capacity_mwh-0.01,"yes","no")</f>
        <v/>
      </c>
      <c r="M289" s="23">
        <f>IF(C289="aFRR+",(MIN(DAMAS_Daily!C289*market_share_C*acceptance_rate*stack_activation,power_mw*hours_per_day,capacity_mwh))*DAMAS_Daily!E289*activation_mult_C,(MIN(DAMAS_Daily!D289*market_share_C*acceptance_rate*stack_activation,power_mw*hours_per_day,capacity_mwh))*DAMAS_Daily!F289*activation_mult_C)</f>
        <v/>
      </c>
      <c r="N289" s="24">
        <f>F289+M289</f>
        <v/>
      </c>
    </row>
    <row r="290">
      <c r="A290" s="41">
        <f>DAMAS_Daily!A290</f>
        <v/>
      </c>
      <c r="B290" s="42">
        <f>DAMAS_Daily!B290</f>
        <v/>
      </c>
      <c r="C290" s="42">
        <f>IF((power_mw*hours_per_day*damas_afrr_up*capacity_mult_C*stack_capacity*acceptance_rate+(MIN(DAMAS_Daily!C290*market_share_C*acceptance_rate*stack_activation,power_mw*hours_per_day,capacity_mwh))*DAMAS_Daily!E290*activation_mult_C)&gt;=(power_mw*hours_per_day*damas_afrr_down*capacity_mult_C*stack_capacity*acceptance_rate+(MIN(DAMAS_Daily!D290*market_share_C*acceptance_rate*stack_activation,power_mw*hours_per_day,capacity_mwh))*DAMAS_Daily!F290*activation_mult_C),"aFRR+","aFRR-")</f>
        <v/>
      </c>
      <c r="D290" s="43">
        <f>IF(C290="aFRR+",damas_afrr_up*capacity_mult_C,damas_afrr_down*capacity_mult_C)</f>
        <v/>
      </c>
      <c r="E290" s="44">
        <f>acceptance_rate</f>
        <v/>
      </c>
      <c r="F290" s="23">
        <f>IF(C290="aFRR+",power_mw*hours_per_day*damas_afrr_up*capacity_mult_C*stack_capacity*acceptance_rate,power_mw*hours_per_day*damas_afrr_down*capacity_mult_C*stack_capacity*acceptance_rate)</f>
        <v/>
      </c>
      <c r="G290" s="42">
        <f>IF(C290="aFRR+",DAMAS_Daily!I290,DAMAS_Daily!J290)</f>
        <v/>
      </c>
      <c r="H290" s="43">
        <f>IF(C290="aFRR+",DAMAS_Daily!E290,DAMAS_Daily!F290)</f>
        <v/>
      </c>
      <c r="I290" s="43">
        <f>IF(C290="aFRR+",DAMAS_Daily!G290,DAMAS_Daily!H290)</f>
        <v/>
      </c>
      <c r="J290" s="45">
        <f>IF(C290="aFRR+",DAMAS_Daily!C290,DAMAS_Daily!D290)</f>
        <v/>
      </c>
      <c r="K290" s="45">
        <f>IF(C290="aFRR+",MIN(DAMAS_Daily!C290*market_share_C*acceptance_rate*stack_activation,power_mw*hours_per_day,capacity_mwh),MIN(DAMAS_Daily!D290*market_share_C*acceptance_rate*stack_activation,power_mw*hours_per_day,capacity_mwh))</f>
        <v/>
      </c>
      <c r="L290" s="42">
        <f>IF(K290&gt;=capacity_mwh-0.01,"yes","no")</f>
        <v/>
      </c>
      <c r="M290" s="23">
        <f>IF(C290="aFRR+",(MIN(DAMAS_Daily!C290*market_share_C*acceptance_rate*stack_activation,power_mw*hours_per_day,capacity_mwh))*DAMAS_Daily!E290*activation_mult_C,(MIN(DAMAS_Daily!D290*market_share_C*acceptance_rate*stack_activation,power_mw*hours_per_day,capacity_mwh))*DAMAS_Daily!F290*activation_mult_C)</f>
        <v/>
      </c>
      <c r="N290" s="24">
        <f>F290+M290</f>
        <v/>
      </c>
    </row>
    <row r="291">
      <c r="A291" s="41">
        <f>DAMAS_Daily!A291</f>
        <v/>
      </c>
      <c r="B291" s="42">
        <f>DAMAS_Daily!B291</f>
        <v/>
      </c>
      <c r="C291" s="42">
        <f>IF((power_mw*hours_per_day*damas_afrr_up*capacity_mult_C*stack_capacity*acceptance_rate+(MIN(DAMAS_Daily!C291*market_share_C*acceptance_rate*stack_activation,power_mw*hours_per_day,capacity_mwh))*DAMAS_Daily!E291*activation_mult_C)&gt;=(power_mw*hours_per_day*damas_afrr_down*capacity_mult_C*stack_capacity*acceptance_rate+(MIN(DAMAS_Daily!D291*market_share_C*acceptance_rate*stack_activation,power_mw*hours_per_day,capacity_mwh))*DAMAS_Daily!F291*activation_mult_C),"aFRR+","aFRR-")</f>
        <v/>
      </c>
      <c r="D291" s="43">
        <f>IF(C291="aFRR+",damas_afrr_up*capacity_mult_C,damas_afrr_down*capacity_mult_C)</f>
        <v/>
      </c>
      <c r="E291" s="44">
        <f>acceptance_rate</f>
        <v/>
      </c>
      <c r="F291" s="23">
        <f>IF(C291="aFRR+",power_mw*hours_per_day*damas_afrr_up*capacity_mult_C*stack_capacity*acceptance_rate,power_mw*hours_per_day*damas_afrr_down*capacity_mult_C*stack_capacity*acceptance_rate)</f>
        <v/>
      </c>
      <c r="G291" s="42">
        <f>IF(C291="aFRR+",DAMAS_Daily!I291,DAMAS_Daily!J291)</f>
        <v/>
      </c>
      <c r="H291" s="43">
        <f>IF(C291="aFRR+",DAMAS_Daily!E291,DAMAS_Daily!F291)</f>
        <v/>
      </c>
      <c r="I291" s="43">
        <f>IF(C291="aFRR+",DAMAS_Daily!G291,DAMAS_Daily!H291)</f>
        <v/>
      </c>
      <c r="J291" s="45">
        <f>IF(C291="aFRR+",DAMAS_Daily!C291,DAMAS_Daily!D291)</f>
        <v/>
      </c>
      <c r="K291" s="45">
        <f>IF(C291="aFRR+",MIN(DAMAS_Daily!C291*market_share_C*acceptance_rate*stack_activation,power_mw*hours_per_day,capacity_mwh),MIN(DAMAS_Daily!D291*market_share_C*acceptance_rate*stack_activation,power_mw*hours_per_day,capacity_mwh))</f>
        <v/>
      </c>
      <c r="L291" s="42">
        <f>IF(K291&gt;=capacity_mwh-0.01,"yes","no")</f>
        <v/>
      </c>
      <c r="M291" s="23">
        <f>IF(C291="aFRR+",(MIN(DAMAS_Daily!C291*market_share_C*acceptance_rate*stack_activation,power_mw*hours_per_day,capacity_mwh))*DAMAS_Daily!E291*activation_mult_C,(MIN(DAMAS_Daily!D291*market_share_C*acceptance_rate*stack_activation,power_mw*hours_per_day,capacity_mwh))*DAMAS_Daily!F291*activation_mult_C)</f>
        <v/>
      </c>
      <c r="N291" s="24">
        <f>F291+M291</f>
        <v/>
      </c>
    </row>
    <row r="292">
      <c r="A292" s="41">
        <f>DAMAS_Daily!A292</f>
        <v/>
      </c>
      <c r="B292" s="42">
        <f>DAMAS_Daily!B292</f>
        <v/>
      </c>
      <c r="C292" s="42">
        <f>IF((power_mw*hours_per_day*damas_afrr_up*capacity_mult_C*stack_capacity*acceptance_rate+(MIN(DAMAS_Daily!C292*market_share_C*acceptance_rate*stack_activation,power_mw*hours_per_day,capacity_mwh))*DAMAS_Daily!E292*activation_mult_C)&gt;=(power_mw*hours_per_day*damas_afrr_down*capacity_mult_C*stack_capacity*acceptance_rate+(MIN(DAMAS_Daily!D292*market_share_C*acceptance_rate*stack_activation,power_mw*hours_per_day,capacity_mwh))*DAMAS_Daily!F292*activation_mult_C),"aFRR+","aFRR-")</f>
        <v/>
      </c>
      <c r="D292" s="43">
        <f>IF(C292="aFRR+",damas_afrr_up*capacity_mult_C,damas_afrr_down*capacity_mult_C)</f>
        <v/>
      </c>
      <c r="E292" s="44">
        <f>acceptance_rate</f>
        <v/>
      </c>
      <c r="F292" s="23">
        <f>IF(C292="aFRR+",power_mw*hours_per_day*damas_afrr_up*capacity_mult_C*stack_capacity*acceptance_rate,power_mw*hours_per_day*damas_afrr_down*capacity_mult_C*stack_capacity*acceptance_rate)</f>
        <v/>
      </c>
      <c r="G292" s="42">
        <f>IF(C292="aFRR+",DAMAS_Daily!I292,DAMAS_Daily!J292)</f>
        <v/>
      </c>
      <c r="H292" s="43">
        <f>IF(C292="aFRR+",DAMAS_Daily!E292,DAMAS_Daily!F292)</f>
        <v/>
      </c>
      <c r="I292" s="43">
        <f>IF(C292="aFRR+",DAMAS_Daily!G292,DAMAS_Daily!H292)</f>
        <v/>
      </c>
      <c r="J292" s="45">
        <f>IF(C292="aFRR+",DAMAS_Daily!C292,DAMAS_Daily!D292)</f>
        <v/>
      </c>
      <c r="K292" s="45">
        <f>IF(C292="aFRR+",MIN(DAMAS_Daily!C292*market_share_C*acceptance_rate*stack_activation,power_mw*hours_per_day,capacity_mwh),MIN(DAMAS_Daily!D292*market_share_C*acceptance_rate*stack_activation,power_mw*hours_per_day,capacity_mwh))</f>
        <v/>
      </c>
      <c r="L292" s="42">
        <f>IF(K292&gt;=capacity_mwh-0.01,"yes","no")</f>
        <v/>
      </c>
      <c r="M292" s="23">
        <f>IF(C292="aFRR+",(MIN(DAMAS_Daily!C292*market_share_C*acceptance_rate*stack_activation,power_mw*hours_per_day,capacity_mwh))*DAMAS_Daily!E292*activation_mult_C,(MIN(DAMAS_Daily!D292*market_share_C*acceptance_rate*stack_activation,power_mw*hours_per_day,capacity_mwh))*DAMAS_Daily!F292*activation_mult_C)</f>
        <v/>
      </c>
      <c r="N292" s="24">
        <f>F292+M292</f>
        <v/>
      </c>
    </row>
    <row r="293">
      <c r="A293" s="41">
        <f>DAMAS_Daily!A293</f>
        <v/>
      </c>
      <c r="B293" s="42">
        <f>DAMAS_Daily!B293</f>
        <v/>
      </c>
      <c r="C293" s="42">
        <f>IF((power_mw*hours_per_day*damas_afrr_up*capacity_mult_C*stack_capacity*acceptance_rate+(MIN(DAMAS_Daily!C293*market_share_C*acceptance_rate*stack_activation,power_mw*hours_per_day,capacity_mwh))*DAMAS_Daily!E293*activation_mult_C)&gt;=(power_mw*hours_per_day*damas_afrr_down*capacity_mult_C*stack_capacity*acceptance_rate+(MIN(DAMAS_Daily!D293*market_share_C*acceptance_rate*stack_activation,power_mw*hours_per_day,capacity_mwh))*DAMAS_Daily!F293*activation_mult_C),"aFRR+","aFRR-")</f>
        <v/>
      </c>
      <c r="D293" s="43">
        <f>IF(C293="aFRR+",damas_afrr_up*capacity_mult_C,damas_afrr_down*capacity_mult_C)</f>
        <v/>
      </c>
      <c r="E293" s="44">
        <f>acceptance_rate</f>
        <v/>
      </c>
      <c r="F293" s="23">
        <f>IF(C293="aFRR+",power_mw*hours_per_day*damas_afrr_up*capacity_mult_C*stack_capacity*acceptance_rate,power_mw*hours_per_day*damas_afrr_down*capacity_mult_C*stack_capacity*acceptance_rate)</f>
        <v/>
      </c>
      <c r="G293" s="42">
        <f>IF(C293="aFRR+",DAMAS_Daily!I293,DAMAS_Daily!J293)</f>
        <v/>
      </c>
      <c r="H293" s="43">
        <f>IF(C293="aFRR+",DAMAS_Daily!E293,DAMAS_Daily!F293)</f>
        <v/>
      </c>
      <c r="I293" s="43">
        <f>IF(C293="aFRR+",DAMAS_Daily!G293,DAMAS_Daily!H293)</f>
        <v/>
      </c>
      <c r="J293" s="45">
        <f>IF(C293="aFRR+",DAMAS_Daily!C293,DAMAS_Daily!D293)</f>
        <v/>
      </c>
      <c r="K293" s="45">
        <f>IF(C293="aFRR+",MIN(DAMAS_Daily!C293*market_share_C*acceptance_rate*stack_activation,power_mw*hours_per_day,capacity_mwh),MIN(DAMAS_Daily!D293*market_share_C*acceptance_rate*stack_activation,power_mw*hours_per_day,capacity_mwh))</f>
        <v/>
      </c>
      <c r="L293" s="42">
        <f>IF(K293&gt;=capacity_mwh-0.01,"yes","no")</f>
        <v/>
      </c>
      <c r="M293" s="23">
        <f>IF(C293="aFRR+",(MIN(DAMAS_Daily!C293*market_share_C*acceptance_rate*stack_activation,power_mw*hours_per_day,capacity_mwh))*DAMAS_Daily!E293*activation_mult_C,(MIN(DAMAS_Daily!D293*market_share_C*acceptance_rate*stack_activation,power_mw*hours_per_day,capacity_mwh))*DAMAS_Daily!F293*activation_mult_C)</f>
        <v/>
      </c>
      <c r="N293" s="24">
        <f>F293+M293</f>
        <v/>
      </c>
    </row>
    <row r="294">
      <c r="A294" s="41">
        <f>DAMAS_Daily!A294</f>
        <v/>
      </c>
      <c r="B294" s="42">
        <f>DAMAS_Daily!B294</f>
        <v/>
      </c>
      <c r="C294" s="42">
        <f>IF((power_mw*hours_per_day*damas_afrr_up*capacity_mult_C*stack_capacity*acceptance_rate+(MIN(DAMAS_Daily!C294*market_share_C*acceptance_rate*stack_activation,power_mw*hours_per_day,capacity_mwh))*DAMAS_Daily!E294*activation_mult_C)&gt;=(power_mw*hours_per_day*damas_afrr_down*capacity_mult_C*stack_capacity*acceptance_rate+(MIN(DAMAS_Daily!D294*market_share_C*acceptance_rate*stack_activation,power_mw*hours_per_day,capacity_mwh))*DAMAS_Daily!F294*activation_mult_C),"aFRR+","aFRR-")</f>
        <v/>
      </c>
      <c r="D294" s="43">
        <f>IF(C294="aFRR+",damas_afrr_up*capacity_mult_C,damas_afrr_down*capacity_mult_C)</f>
        <v/>
      </c>
      <c r="E294" s="44">
        <f>acceptance_rate</f>
        <v/>
      </c>
      <c r="F294" s="23">
        <f>IF(C294="aFRR+",power_mw*hours_per_day*damas_afrr_up*capacity_mult_C*stack_capacity*acceptance_rate,power_mw*hours_per_day*damas_afrr_down*capacity_mult_C*stack_capacity*acceptance_rate)</f>
        <v/>
      </c>
      <c r="G294" s="42">
        <f>IF(C294="aFRR+",DAMAS_Daily!I294,DAMAS_Daily!J294)</f>
        <v/>
      </c>
      <c r="H294" s="43">
        <f>IF(C294="aFRR+",DAMAS_Daily!E294,DAMAS_Daily!F294)</f>
        <v/>
      </c>
      <c r="I294" s="43">
        <f>IF(C294="aFRR+",DAMAS_Daily!G294,DAMAS_Daily!H294)</f>
        <v/>
      </c>
      <c r="J294" s="45">
        <f>IF(C294="aFRR+",DAMAS_Daily!C294,DAMAS_Daily!D294)</f>
        <v/>
      </c>
      <c r="K294" s="45">
        <f>IF(C294="aFRR+",MIN(DAMAS_Daily!C294*market_share_C*acceptance_rate*stack_activation,power_mw*hours_per_day,capacity_mwh),MIN(DAMAS_Daily!D294*market_share_C*acceptance_rate*stack_activation,power_mw*hours_per_day,capacity_mwh))</f>
        <v/>
      </c>
      <c r="L294" s="42">
        <f>IF(K294&gt;=capacity_mwh-0.01,"yes","no")</f>
        <v/>
      </c>
      <c r="M294" s="23">
        <f>IF(C294="aFRR+",(MIN(DAMAS_Daily!C294*market_share_C*acceptance_rate*stack_activation,power_mw*hours_per_day,capacity_mwh))*DAMAS_Daily!E294*activation_mult_C,(MIN(DAMAS_Daily!D294*market_share_C*acceptance_rate*stack_activation,power_mw*hours_per_day,capacity_mwh))*DAMAS_Daily!F294*activation_mult_C)</f>
        <v/>
      </c>
      <c r="N294" s="24">
        <f>F294+M294</f>
        <v/>
      </c>
    </row>
    <row r="295">
      <c r="A295" s="41">
        <f>DAMAS_Daily!A295</f>
        <v/>
      </c>
      <c r="B295" s="42">
        <f>DAMAS_Daily!B295</f>
        <v/>
      </c>
      <c r="C295" s="42">
        <f>IF((power_mw*hours_per_day*damas_afrr_up*capacity_mult_C*stack_capacity*acceptance_rate+(MIN(DAMAS_Daily!C295*market_share_C*acceptance_rate*stack_activation,power_mw*hours_per_day,capacity_mwh))*DAMAS_Daily!E295*activation_mult_C)&gt;=(power_mw*hours_per_day*damas_afrr_down*capacity_mult_C*stack_capacity*acceptance_rate+(MIN(DAMAS_Daily!D295*market_share_C*acceptance_rate*stack_activation,power_mw*hours_per_day,capacity_mwh))*DAMAS_Daily!F295*activation_mult_C),"aFRR+","aFRR-")</f>
        <v/>
      </c>
      <c r="D295" s="43">
        <f>IF(C295="aFRR+",damas_afrr_up*capacity_mult_C,damas_afrr_down*capacity_mult_C)</f>
        <v/>
      </c>
      <c r="E295" s="44">
        <f>acceptance_rate</f>
        <v/>
      </c>
      <c r="F295" s="23">
        <f>IF(C295="aFRR+",power_mw*hours_per_day*damas_afrr_up*capacity_mult_C*stack_capacity*acceptance_rate,power_mw*hours_per_day*damas_afrr_down*capacity_mult_C*stack_capacity*acceptance_rate)</f>
        <v/>
      </c>
      <c r="G295" s="42">
        <f>IF(C295="aFRR+",DAMAS_Daily!I295,DAMAS_Daily!J295)</f>
        <v/>
      </c>
      <c r="H295" s="43">
        <f>IF(C295="aFRR+",DAMAS_Daily!E295,DAMAS_Daily!F295)</f>
        <v/>
      </c>
      <c r="I295" s="43">
        <f>IF(C295="aFRR+",DAMAS_Daily!G295,DAMAS_Daily!H295)</f>
        <v/>
      </c>
      <c r="J295" s="45">
        <f>IF(C295="aFRR+",DAMAS_Daily!C295,DAMAS_Daily!D295)</f>
        <v/>
      </c>
      <c r="K295" s="45">
        <f>IF(C295="aFRR+",MIN(DAMAS_Daily!C295*market_share_C*acceptance_rate*stack_activation,power_mw*hours_per_day,capacity_mwh),MIN(DAMAS_Daily!D295*market_share_C*acceptance_rate*stack_activation,power_mw*hours_per_day,capacity_mwh))</f>
        <v/>
      </c>
      <c r="L295" s="42">
        <f>IF(K295&gt;=capacity_mwh-0.01,"yes","no")</f>
        <v/>
      </c>
      <c r="M295" s="23">
        <f>IF(C295="aFRR+",(MIN(DAMAS_Daily!C295*market_share_C*acceptance_rate*stack_activation,power_mw*hours_per_day,capacity_mwh))*DAMAS_Daily!E295*activation_mult_C,(MIN(DAMAS_Daily!D295*market_share_C*acceptance_rate*stack_activation,power_mw*hours_per_day,capacity_mwh))*DAMAS_Daily!F295*activation_mult_C)</f>
        <v/>
      </c>
      <c r="N295" s="24">
        <f>F295+M295</f>
        <v/>
      </c>
    </row>
    <row r="296">
      <c r="A296" s="41">
        <f>DAMAS_Daily!A296</f>
        <v/>
      </c>
      <c r="B296" s="42">
        <f>DAMAS_Daily!B296</f>
        <v/>
      </c>
      <c r="C296" s="42">
        <f>IF((power_mw*hours_per_day*damas_afrr_up*capacity_mult_C*stack_capacity*acceptance_rate+(MIN(DAMAS_Daily!C296*market_share_C*acceptance_rate*stack_activation,power_mw*hours_per_day,capacity_mwh))*DAMAS_Daily!E296*activation_mult_C)&gt;=(power_mw*hours_per_day*damas_afrr_down*capacity_mult_C*stack_capacity*acceptance_rate+(MIN(DAMAS_Daily!D296*market_share_C*acceptance_rate*stack_activation,power_mw*hours_per_day,capacity_mwh))*DAMAS_Daily!F296*activation_mult_C),"aFRR+","aFRR-")</f>
        <v/>
      </c>
      <c r="D296" s="43">
        <f>IF(C296="aFRR+",damas_afrr_up*capacity_mult_C,damas_afrr_down*capacity_mult_C)</f>
        <v/>
      </c>
      <c r="E296" s="44">
        <f>acceptance_rate</f>
        <v/>
      </c>
      <c r="F296" s="23">
        <f>IF(C296="aFRR+",power_mw*hours_per_day*damas_afrr_up*capacity_mult_C*stack_capacity*acceptance_rate,power_mw*hours_per_day*damas_afrr_down*capacity_mult_C*stack_capacity*acceptance_rate)</f>
        <v/>
      </c>
      <c r="G296" s="42">
        <f>IF(C296="aFRR+",DAMAS_Daily!I296,DAMAS_Daily!J296)</f>
        <v/>
      </c>
      <c r="H296" s="43">
        <f>IF(C296="aFRR+",DAMAS_Daily!E296,DAMAS_Daily!F296)</f>
        <v/>
      </c>
      <c r="I296" s="43">
        <f>IF(C296="aFRR+",DAMAS_Daily!G296,DAMAS_Daily!H296)</f>
        <v/>
      </c>
      <c r="J296" s="45">
        <f>IF(C296="aFRR+",DAMAS_Daily!C296,DAMAS_Daily!D296)</f>
        <v/>
      </c>
      <c r="K296" s="45">
        <f>IF(C296="aFRR+",MIN(DAMAS_Daily!C296*market_share_C*acceptance_rate*stack_activation,power_mw*hours_per_day,capacity_mwh),MIN(DAMAS_Daily!D296*market_share_C*acceptance_rate*stack_activation,power_mw*hours_per_day,capacity_mwh))</f>
        <v/>
      </c>
      <c r="L296" s="42">
        <f>IF(K296&gt;=capacity_mwh-0.01,"yes","no")</f>
        <v/>
      </c>
      <c r="M296" s="23">
        <f>IF(C296="aFRR+",(MIN(DAMAS_Daily!C296*market_share_C*acceptance_rate*stack_activation,power_mw*hours_per_day,capacity_mwh))*DAMAS_Daily!E296*activation_mult_C,(MIN(DAMAS_Daily!D296*market_share_C*acceptance_rate*stack_activation,power_mw*hours_per_day,capacity_mwh))*DAMAS_Daily!F296*activation_mult_C)</f>
        <v/>
      </c>
      <c r="N296" s="24">
        <f>F296+M296</f>
        <v/>
      </c>
    </row>
    <row r="297">
      <c r="A297" s="41">
        <f>DAMAS_Daily!A297</f>
        <v/>
      </c>
      <c r="B297" s="42">
        <f>DAMAS_Daily!B297</f>
        <v/>
      </c>
      <c r="C297" s="42">
        <f>IF((power_mw*hours_per_day*damas_afrr_up*capacity_mult_C*stack_capacity*acceptance_rate+(MIN(DAMAS_Daily!C297*market_share_C*acceptance_rate*stack_activation,power_mw*hours_per_day,capacity_mwh))*DAMAS_Daily!E297*activation_mult_C)&gt;=(power_mw*hours_per_day*damas_afrr_down*capacity_mult_C*stack_capacity*acceptance_rate+(MIN(DAMAS_Daily!D297*market_share_C*acceptance_rate*stack_activation,power_mw*hours_per_day,capacity_mwh))*DAMAS_Daily!F297*activation_mult_C),"aFRR+","aFRR-")</f>
        <v/>
      </c>
      <c r="D297" s="43">
        <f>IF(C297="aFRR+",damas_afrr_up*capacity_mult_C,damas_afrr_down*capacity_mult_C)</f>
        <v/>
      </c>
      <c r="E297" s="44">
        <f>acceptance_rate</f>
        <v/>
      </c>
      <c r="F297" s="23">
        <f>IF(C297="aFRR+",power_mw*hours_per_day*damas_afrr_up*capacity_mult_C*stack_capacity*acceptance_rate,power_mw*hours_per_day*damas_afrr_down*capacity_mult_C*stack_capacity*acceptance_rate)</f>
        <v/>
      </c>
      <c r="G297" s="42">
        <f>IF(C297="aFRR+",DAMAS_Daily!I297,DAMAS_Daily!J297)</f>
        <v/>
      </c>
      <c r="H297" s="43">
        <f>IF(C297="aFRR+",DAMAS_Daily!E297,DAMAS_Daily!F297)</f>
        <v/>
      </c>
      <c r="I297" s="43">
        <f>IF(C297="aFRR+",DAMAS_Daily!G297,DAMAS_Daily!H297)</f>
        <v/>
      </c>
      <c r="J297" s="45">
        <f>IF(C297="aFRR+",DAMAS_Daily!C297,DAMAS_Daily!D297)</f>
        <v/>
      </c>
      <c r="K297" s="45">
        <f>IF(C297="aFRR+",MIN(DAMAS_Daily!C297*market_share_C*acceptance_rate*stack_activation,power_mw*hours_per_day,capacity_mwh),MIN(DAMAS_Daily!D297*market_share_C*acceptance_rate*stack_activation,power_mw*hours_per_day,capacity_mwh))</f>
        <v/>
      </c>
      <c r="L297" s="42">
        <f>IF(K297&gt;=capacity_mwh-0.01,"yes","no")</f>
        <v/>
      </c>
      <c r="M297" s="23">
        <f>IF(C297="aFRR+",(MIN(DAMAS_Daily!C297*market_share_C*acceptance_rate*stack_activation,power_mw*hours_per_day,capacity_mwh))*DAMAS_Daily!E297*activation_mult_C,(MIN(DAMAS_Daily!D297*market_share_C*acceptance_rate*stack_activation,power_mw*hours_per_day,capacity_mwh))*DAMAS_Daily!F297*activation_mult_C)</f>
        <v/>
      </c>
      <c r="N297" s="24">
        <f>F297+M297</f>
        <v/>
      </c>
    </row>
    <row r="298">
      <c r="A298" s="41">
        <f>DAMAS_Daily!A298</f>
        <v/>
      </c>
      <c r="B298" s="42">
        <f>DAMAS_Daily!B298</f>
        <v/>
      </c>
      <c r="C298" s="42">
        <f>IF((power_mw*hours_per_day*damas_afrr_up*capacity_mult_C*stack_capacity*acceptance_rate+(MIN(DAMAS_Daily!C298*market_share_C*acceptance_rate*stack_activation,power_mw*hours_per_day,capacity_mwh))*DAMAS_Daily!E298*activation_mult_C)&gt;=(power_mw*hours_per_day*damas_afrr_down*capacity_mult_C*stack_capacity*acceptance_rate+(MIN(DAMAS_Daily!D298*market_share_C*acceptance_rate*stack_activation,power_mw*hours_per_day,capacity_mwh))*DAMAS_Daily!F298*activation_mult_C),"aFRR+","aFRR-")</f>
        <v/>
      </c>
      <c r="D298" s="43">
        <f>IF(C298="aFRR+",damas_afrr_up*capacity_mult_C,damas_afrr_down*capacity_mult_C)</f>
        <v/>
      </c>
      <c r="E298" s="44">
        <f>acceptance_rate</f>
        <v/>
      </c>
      <c r="F298" s="23">
        <f>IF(C298="aFRR+",power_mw*hours_per_day*damas_afrr_up*capacity_mult_C*stack_capacity*acceptance_rate,power_mw*hours_per_day*damas_afrr_down*capacity_mult_C*stack_capacity*acceptance_rate)</f>
        <v/>
      </c>
      <c r="G298" s="42">
        <f>IF(C298="aFRR+",DAMAS_Daily!I298,DAMAS_Daily!J298)</f>
        <v/>
      </c>
      <c r="H298" s="43">
        <f>IF(C298="aFRR+",DAMAS_Daily!E298,DAMAS_Daily!F298)</f>
        <v/>
      </c>
      <c r="I298" s="43">
        <f>IF(C298="aFRR+",DAMAS_Daily!G298,DAMAS_Daily!H298)</f>
        <v/>
      </c>
      <c r="J298" s="45">
        <f>IF(C298="aFRR+",DAMAS_Daily!C298,DAMAS_Daily!D298)</f>
        <v/>
      </c>
      <c r="K298" s="45">
        <f>IF(C298="aFRR+",MIN(DAMAS_Daily!C298*market_share_C*acceptance_rate*stack_activation,power_mw*hours_per_day,capacity_mwh),MIN(DAMAS_Daily!D298*market_share_C*acceptance_rate*stack_activation,power_mw*hours_per_day,capacity_mwh))</f>
        <v/>
      </c>
      <c r="L298" s="42">
        <f>IF(K298&gt;=capacity_mwh-0.01,"yes","no")</f>
        <v/>
      </c>
      <c r="M298" s="23">
        <f>IF(C298="aFRR+",(MIN(DAMAS_Daily!C298*market_share_C*acceptance_rate*stack_activation,power_mw*hours_per_day,capacity_mwh))*DAMAS_Daily!E298*activation_mult_C,(MIN(DAMAS_Daily!D298*market_share_C*acceptance_rate*stack_activation,power_mw*hours_per_day,capacity_mwh))*DAMAS_Daily!F298*activation_mult_C)</f>
        <v/>
      </c>
      <c r="N298" s="24">
        <f>F298+M298</f>
        <v/>
      </c>
    </row>
    <row r="299">
      <c r="A299" s="41">
        <f>DAMAS_Daily!A299</f>
        <v/>
      </c>
      <c r="B299" s="42">
        <f>DAMAS_Daily!B299</f>
        <v/>
      </c>
      <c r="C299" s="42">
        <f>IF((power_mw*hours_per_day*damas_afrr_up*capacity_mult_C*stack_capacity*acceptance_rate+(MIN(DAMAS_Daily!C299*market_share_C*acceptance_rate*stack_activation,power_mw*hours_per_day,capacity_mwh))*DAMAS_Daily!E299*activation_mult_C)&gt;=(power_mw*hours_per_day*damas_afrr_down*capacity_mult_C*stack_capacity*acceptance_rate+(MIN(DAMAS_Daily!D299*market_share_C*acceptance_rate*stack_activation,power_mw*hours_per_day,capacity_mwh))*DAMAS_Daily!F299*activation_mult_C),"aFRR+","aFRR-")</f>
        <v/>
      </c>
      <c r="D299" s="43">
        <f>IF(C299="aFRR+",damas_afrr_up*capacity_mult_C,damas_afrr_down*capacity_mult_C)</f>
        <v/>
      </c>
      <c r="E299" s="44">
        <f>acceptance_rate</f>
        <v/>
      </c>
      <c r="F299" s="23">
        <f>IF(C299="aFRR+",power_mw*hours_per_day*damas_afrr_up*capacity_mult_C*stack_capacity*acceptance_rate,power_mw*hours_per_day*damas_afrr_down*capacity_mult_C*stack_capacity*acceptance_rate)</f>
        <v/>
      </c>
      <c r="G299" s="42">
        <f>IF(C299="aFRR+",DAMAS_Daily!I299,DAMAS_Daily!J299)</f>
        <v/>
      </c>
      <c r="H299" s="43">
        <f>IF(C299="aFRR+",DAMAS_Daily!E299,DAMAS_Daily!F299)</f>
        <v/>
      </c>
      <c r="I299" s="43">
        <f>IF(C299="aFRR+",DAMAS_Daily!G299,DAMAS_Daily!H299)</f>
        <v/>
      </c>
      <c r="J299" s="45">
        <f>IF(C299="aFRR+",DAMAS_Daily!C299,DAMAS_Daily!D299)</f>
        <v/>
      </c>
      <c r="K299" s="45">
        <f>IF(C299="aFRR+",MIN(DAMAS_Daily!C299*market_share_C*acceptance_rate*stack_activation,power_mw*hours_per_day,capacity_mwh),MIN(DAMAS_Daily!D299*market_share_C*acceptance_rate*stack_activation,power_mw*hours_per_day,capacity_mwh))</f>
        <v/>
      </c>
      <c r="L299" s="42">
        <f>IF(K299&gt;=capacity_mwh-0.01,"yes","no")</f>
        <v/>
      </c>
      <c r="M299" s="23">
        <f>IF(C299="aFRR+",(MIN(DAMAS_Daily!C299*market_share_C*acceptance_rate*stack_activation,power_mw*hours_per_day,capacity_mwh))*DAMAS_Daily!E299*activation_mult_C,(MIN(DAMAS_Daily!D299*market_share_C*acceptance_rate*stack_activation,power_mw*hours_per_day,capacity_mwh))*DAMAS_Daily!F299*activation_mult_C)</f>
        <v/>
      </c>
      <c r="N299" s="24">
        <f>F299+M299</f>
        <v/>
      </c>
    </row>
    <row r="300">
      <c r="A300" s="41">
        <f>DAMAS_Daily!A300</f>
        <v/>
      </c>
      <c r="B300" s="42">
        <f>DAMAS_Daily!B300</f>
        <v/>
      </c>
      <c r="C300" s="42">
        <f>IF((power_mw*hours_per_day*damas_afrr_up*capacity_mult_C*stack_capacity*acceptance_rate+(MIN(DAMAS_Daily!C300*market_share_C*acceptance_rate*stack_activation,power_mw*hours_per_day,capacity_mwh))*DAMAS_Daily!E300*activation_mult_C)&gt;=(power_mw*hours_per_day*damas_afrr_down*capacity_mult_C*stack_capacity*acceptance_rate+(MIN(DAMAS_Daily!D300*market_share_C*acceptance_rate*stack_activation,power_mw*hours_per_day,capacity_mwh))*DAMAS_Daily!F300*activation_mult_C),"aFRR+","aFRR-")</f>
        <v/>
      </c>
      <c r="D300" s="43">
        <f>IF(C300="aFRR+",damas_afrr_up*capacity_mult_C,damas_afrr_down*capacity_mult_C)</f>
        <v/>
      </c>
      <c r="E300" s="44">
        <f>acceptance_rate</f>
        <v/>
      </c>
      <c r="F300" s="23">
        <f>IF(C300="aFRR+",power_mw*hours_per_day*damas_afrr_up*capacity_mult_C*stack_capacity*acceptance_rate,power_mw*hours_per_day*damas_afrr_down*capacity_mult_C*stack_capacity*acceptance_rate)</f>
        <v/>
      </c>
      <c r="G300" s="42">
        <f>IF(C300="aFRR+",DAMAS_Daily!I300,DAMAS_Daily!J300)</f>
        <v/>
      </c>
      <c r="H300" s="43">
        <f>IF(C300="aFRR+",DAMAS_Daily!E300,DAMAS_Daily!F300)</f>
        <v/>
      </c>
      <c r="I300" s="43">
        <f>IF(C300="aFRR+",DAMAS_Daily!G300,DAMAS_Daily!H300)</f>
        <v/>
      </c>
      <c r="J300" s="45">
        <f>IF(C300="aFRR+",DAMAS_Daily!C300,DAMAS_Daily!D300)</f>
        <v/>
      </c>
      <c r="K300" s="45">
        <f>IF(C300="aFRR+",MIN(DAMAS_Daily!C300*market_share_C*acceptance_rate*stack_activation,power_mw*hours_per_day,capacity_mwh),MIN(DAMAS_Daily!D300*market_share_C*acceptance_rate*stack_activation,power_mw*hours_per_day,capacity_mwh))</f>
        <v/>
      </c>
      <c r="L300" s="42">
        <f>IF(K300&gt;=capacity_mwh-0.01,"yes","no")</f>
        <v/>
      </c>
      <c r="M300" s="23">
        <f>IF(C300="aFRR+",(MIN(DAMAS_Daily!C300*market_share_C*acceptance_rate*stack_activation,power_mw*hours_per_day,capacity_mwh))*DAMAS_Daily!E300*activation_mult_C,(MIN(DAMAS_Daily!D300*market_share_C*acceptance_rate*stack_activation,power_mw*hours_per_day,capacity_mwh))*DAMAS_Daily!F300*activation_mult_C)</f>
        <v/>
      </c>
      <c r="N300" s="24">
        <f>F300+M300</f>
        <v/>
      </c>
    </row>
    <row r="301">
      <c r="A301" s="41">
        <f>DAMAS_Daily!A301</f>
        <v/>
      </c>
      <c r="B301" s="42">
        <f>DAMAS_Daily!B301</f>
        <v/>
      </c>
      <c r="C301" s="42">
        <f>IF((power_mw*hours_per_day*damas_afrr_up*capacity_mult_C*stack_capacity*acceptance_rate+(MIN(DAMAS_Daily!C301*market_share_C*acceptance_rate*stack_activation,power_mw*hours_per_day,capacity_mwh))*DAMAS_Daily!E301*activation_mult_C)&gt;=(power_mw*hours_per_day*damas_afrr_down*capacity_mult_C*stack_capacity*acceptance_rate+(MIN(DAMAS_Daily!D301*market_share_C*acceptance_rate*stack_activation,power_mw*hours_per_day,capacity_mwh))*DAMAS_Daily!F301*activation_mult_C),"aFRR+","aFRR-")</f>
        <v/>
      </c>
      <c r="D301" s="43">
        <f>IF(C301="aFRR+",damas_afrr_up*capacity_mult_C,damas_afrr_down*capacity_mult_C)</f>
        <v/>
      </c>
      <c r="E301" s="44">
        <f>acceptance_rate</f>
        <v/>
      </c>
      <c r="F301" s="23">
        <f>IF(C301="aFRR+",power_mw*hours_per_day*damas_afrr_up*capacity_mult_C*stack_capacity*acceptance_rate,power_mw*hours_per_day*damas_afrr_down*capacity_mult_C*stack_capacity*acceptance_rate)</f>
        <v/>
      </c>
      <c r="G301" s="42">
        <f>IF(C301="aFRR+",DAMAS_Daily!I301,DAMAS_Daily!J301)</f>
        <v/>
      </c>
      <c r="H301" s="43">
        <f>IF(C301="aFRR+",DAMAS_Daily!E301,DAMAS_Daily!F301)</f>
        <v/>
      </c>
      <c r="I301" s="43">
        <f>IF(C301="aFRR+",DAMAS_Daily!G301,DAMAS_Daily!H301)</f>
        <v/>
      </c>
      <c r="J301" s="45">
        <f>IF(C301="aFRR+",DAMAS_Daily!C301,DAMAS_Daily!D301)</f>
        <v/>
      </c>
      <c r="K301" s="45">
        <f>IF(C301="aFRR+",MIN(DAMAS_Daily!C301*market_share_C*acceptance_rate*stack_activation,power_mw*hours_per_day,capacity_mwh),MIN(DAMAS_Daily!D301*market_share_C*acceptance_rate*stack_activation,power_mw*hours_per_day,capacity_mwh))</f>
        <v/>
      </c>
      <c r="L301" s="42">
        <f>IF(K301&gt;=capacity_mwh-0.01,"yes","no")</f>
        <v/>
      </c>
      <c r="M301" s="23">
        <f>IF(C301="aFRR+",(MIN(DAMAS_Daily!C301*market_share_C*acceptance_rate*stack_activation,power_mw*hours_per_day,capacity_mwh))*DAMAS_Daily!E301*activation_mult_C,(MIN(DAMAS_Daily!D301*market_share_C*acceptance_rate*stack_activation,power_mw*hours_per_day,capacity_mwh))*DAMAS_Daily!F301*activation_mult_C)</f>
        <v/>
      </c>
      <c r="N301" s="24">
        <f>F301+M301</f>
        <v/>
      </c>
    </row>
    <row r="302">
      <c r="A302" s="41">
        <f>DAMAS_Daily!A302</f>
        <v/>
      </c>
      <c r="B302" s="42">
        <f>DAMAS_Daily!B302</f>
        <v/>
      </c>
      <c r="C302" s="42">
        <f>IF((power_mw*hours_per_day*damas_afrr_up*capacity_mult_C*stack_capacity*acceptance_rate+(MIN(DAMAS_Daily!C302*market_share_C*acceptance_rate*stack_activation,power_mw*hours_per_day,capacity_mwh))*DAMAS_Daily!E302*activation_mult_C)&gt;=(power_mw*hours_per_day*damas_afrr_down*capacity_mult_C*stack_capacity*acceptance_rate+(MIN(DAMAS_Daily!D302*market_share_C*acceptance_rate*stack_activation,power_mw*hours_per_day,capacity_mwh))*DAMAS_Daily!F302*activation_mult_C),"aFRR+","aFRR-")</f>
        <v/>
      </c>
      <c r="D302" s="43">
        <f>IF(C302="aFRR+",damas_afrr_up*capacity_mult_C,damas_afrr_down*capacity_mult_C)</f>
        <v/>
      </c>
      <c r="E302" s="44">
        <f>acceptance_rate</f>
        <v/>
      </c>
      <c r="F302" s="23">
        <f>IF(C302="aFRR+",power_mw*hours_per_day*damas_afrr_up*capacity_mult_C*stack_capacity*acceptance_rate,power_mw*hours_per_day*damas_afrr_down*capacity_mult_C*stack_capacity*acceptance_rate)</f>
        <v/>
      </c>
      <c r="G302" s="42">
        <f>IF(C302="aFRR+",DAMAS_Daily!I302,DAMAS_Daily!J302)</f>
        <v/>
      </c>
      <c r="H302" s="43">
        <f>IF(C302="aFRR+",DAMAS_Daily!E302,DAMAS_Daily!F302)</f>
        <v/>
      </c>
      <c r="I302" s="43">
        <f>IF(C302="aFRR+",DAMAS_Daily!G302,DAMAS_Daily!H302)</f>
        <v/>
      </c>
      <c r="J302" s="45">
        <f>IF(C302="aFRR+",DAMAS_Daily!C302,DAMAS_Daily!D302)</f>
        <v/>
      </c>
      <c r="K302" s="45">
        <f>IF(C302="aFRR+",MIN(DAMAS_Daily!C302*market_share_C*acceptance_rate*stack_activation,power_mw*hours_per_day,capacity_mwh),MIN(DAMAS_Daily!D302*market_share_C*acceptance_rate*stack_activation,power_mw*hours_per_day,capacity_mwh))</f>
        <v/>
      </c>
      <c r="L302" s="42">
        <f>IF(K302&gt;=capacity_mwh-0.01,"yes","no")</f>
        <v/>
      </c>
      <c r="M302" s="23">
        <f>IF(C302="aFRR+",(MIN(DAMAS_Daily!C302*market_share_C*acceptance_rate*stack_activation,power_mw*hours_per_day,capacity_mwh))*DAMAS_Daily!E302*activation_mult_C,(MIN(DAMAS_Daily!D302*market_share_C*acceptance_rate*stack_activation,power_mw*hours_per_day,capacity_mwh))*DAMAS_Daily!F302*activation_mult_C)</f>
        <v/>
      </c>
      <c r="N302" s="24">
        <f>F302+M302</f>
        <v/>
      </c>
    </row>
    <row r="303">
      <c r="A303" s="41">
        <f>DAMAS_Daily!A303</f>
        <v/>
      </c>
      <c r="B303" s="42">
        <f>DAMAS_Daily!B303</f>
        <v/>
      </c>
      <c r="C303" s="42">
        <f>IF((power_mw*hours_per_day*damas_afrr_up*capacity_mult_C*stack_capacity*acceptance_rate+(MIN(DAMAS_Daily!C303*market_share_C*acceptance_rate*stack_activation,power_mw*hours_per_day,capacity_mwh))*DAMAS_Daily!E303*activation_mult_C)&gt;=(power_mw*hours_per_day*damas_afrr_down*capacity_mult_C*stack_capacity*acceptance_rate+(MIN(DAMAS_Daily!D303*market_share_C*acceptance_rate*stack_activation,power_mw*hours_per_day,capacity_mwh))*DAMAS_Daily!F303*activation_mult_C),"aFRR+","aFRR-")</f>
        <v/>
      </c>
      <c r="D303" s="43">
        <f>IF(C303="aFRR+",damas_afrr_up*capacity_mult_C,damas_afrr_down*capacity_mult_C)</f>
        <v/>
      </c>
      <c r="E303" s="44">
        <f>acceptance_rate</f>
        <v/>
      </c>
      <c r="F303" s="23">
        <f>IF(C303="aFRR+",power_mw*hours_per_day*damas_afrr_up*capacity_mult_C*stack_capacity*acceptance_rate,power_mw*hours_per_day*damas_afrr_down*capacity_mult_C*stack_capacity*acceptance_rate)</f>
        <v/>
      </c>
      <c r="G303" s="42">
        <f>IF(C303="aFRR+",DAMAS_Daily!I303,DAMAS_Daily!J303)</f>
        <v/>
      </c>
      <c r="H303" s="43">
        <f>IF(C303="aFRR+",DAMAS_Daily!E303,DAMAS_Daily!F303)</f>
        <v/>
      </c>
      <c r="I303" s="43">
        <f>IF(C303="aFRR+",DAMAS_Daily!G303,DAMAS_Daily!H303)</f>
        <v/>
      </c>
      <c r="J303" s="45">
        <f>IF(C303="aFRR+",DAMAS_Daily!C303,DAMAS_Daily!D303)</f>
        <v/>
      </c>
      <c r="K303" s="45">
        <f>IF(C303="aFRR+",MIN(DAMAS_Daily!C303*market_share_C*acceptance_rate*stack_activation,power_mw*hours_per_day,capacity_mwh),MIN(DAMAS_Daily!D303*market_share_C*acceptance_rate*stack_activation,power_mw*hours_per_day,capacity_mwh))</f>
        <v/>
      </c>
      <c r="L303" s="42">
        <f>IF(K303&gt;=capacity_mwh-0.01,"yes","no")</f>
        <v/>
      </c>
      <c r="M303" s="23">
        <f>IF(C303="aFRR+",(MIN(DAMAS_Daily!C303*market_share_C*acceptance_rate*stack_activation,power_mw*hours_per_day,capacity_mwh))*DAMAS_Daily!E303*activation_mult_C,(MIN(DAMAS_Daily!D303*market_share_C*acceptance_rate*stack_activation,power_mw*hours_per_day,capacity_mwh))*DAMAS_Daily!F303*activation_mult_C)</f>
        <v/>
      </c>
      <c r="N303" s="24">
        <f>F303+M303</f>
        <v/>
      </c>
    </row>
    <row r="304">
      <c r="A304" s="41">
        <f>DAMAS_Daily!A304</f>
        <v/>
      </c>
      <c r="B304" s="42">
        <f>DAMAS_Daily!B304</f>
        <v/>
      </c>
      <c r="C304" s="42">
        <f>IF((power_mw*hours_per_day*damas_afrr_up*capacity_mult_C*stack_capacity*acceptance_rate+(MIN(DAMAS_Daily!C304*market_share_C*acceptance_rate*stack_activation,power_mw*hours_per_day,capacity_mwh))*DAMAS_Daily!E304*activation_mult_C)&gt;=(power_mw*hours_per_day*damas_afrr_down*capacity_mult_C*stack_capacity*acceptance_rate+(MIN(DAMAS_Daily!D304*market_share_C*acceptance_rate*stack_activation,power_mw*hours_per_day,capacity_mwh))*DAMAS_Daily!F304*activation_mult_C),"aFRR+","aFRR-")</f>
        <v/>
      </c>
      <c r="D304" s="43">
        <f>IF(C304="aFRR+",damas_afrr_up*capacity_mult_C,damas_afrr_down*capacity_mult_C)</f>
        <v/>
      </c>
      <c r="E304" s="44">
        <f>acceptance_rate</f>
        <v/>
      </c>
      <c r="F304" s="23">
        <f>IF(C304="aFRR+",power_mw*hours_per_day*damas_afrr_up*capacity_mult_C*stack_capacity*acceptance_rate,power_mw*hours_per_day*damas_afrr_down*capacity_mult_C*stack_capacity*acceptance_rate)</f>
        <v/>
      </c>
      <c r="G304" s="42">
        <f>IF(C304="aFRR+",DAMAS_Daily!I304,DAMAS_Daily!J304)</f>
        <v/>
      </c>
      <c r="H304" s="43">
        <f>IF(C304="aFRR+",DAMAS_Daily!E304,DAMAS_Daily!F304)</f>
        <v/>
      </c>
      <c r="I304" s="43">
        <f>IF(C304="aFRR+",DAMAS_Daily!G304,DAMAS_Daily!H304)</f>
        <v/>
      </c>
      <c r="J304" s="45">
        <f>IF(C304="aFRR+",DAMAS_Daily!C304,DAMAS_Daily!D304)</f>
        <v/>
      </c>
      <c r="K304" s="45">
        <f>IF(C304="aFRR+",MIN(DAMAS_Daily!C304*market_share_C*acceptance_rate*stack_activation,power_mw*hours_per_day,capacity_mwh),MIN(DAMAS_Daily!D304*market_share_C*acceptance_rate*stack_activation,power_mw*hours_per_day,capacity_mwh))</f>
        <v/>
      </c>
      <c r="L304" s="42">
        <f>IF(K304&gt;=capacity_mwh-0.01,"yes","no")</f>
        <v/>
      </c>
      <c r="M304" s="23">
        <f>IF(C304="aFRR+",(MIN(DAMAS_Daily!C304*market_share_C*acceptance_rate*stack_activation,power_mw*hours_per_day,capacity_mwh))*DAMAS_Daily!E304*activation_mult_C,(MIN(DAMAS_Daily!D304*market_share_C*acceptance_rate*stack_activation,power_mw*hours_per_day,capacity_mwh))*DAMAS_Daily!F304*activation_mult_C)</f>
        <v/>
      </c>
      <c r="N304" s="24">
        <f>F304+M304</f>
        <v/>
      </c>
    </row>
    <row r="305">
      <c r="A305" s="41">
        <f>DAMAS_Daily!A305</f>
        <v/>
      </c>
      <c r="B305" s="42">
        <f>DAMAS_Daily!B305</f>
        <v/>
      </c>
      <c r="C305" s="42">
        <f>IF((power_mw*hours_per_day*damas_afrr_up*capacity_mult_C*stack_capacity*acceptance_rate+(MIN(DAMAS_Daily!C305*market_share_C*acceptance_rate*stack_activation,power_mw*hours_per_day,capacity_mwh))*DAMAS_Daily!E305*activation_mult_C)&gt;=(power_mw*hours_per_day*damas_afrr_down*capacity_mult_C*stack_capacity*acceptance_rate+(MIN(DAMAS_Daily!D305*market_share_C*acceptance_rate*stack_activation,power_mw*hours_per_day,capacity_mwh))*DAMAS_Daily!F305*activation_mult_C),"aFRR+","aFRR-")</f>
        <v/>
      </c>
      <c r="D305" s="43">
        <f>IF(C305="aFRR+",damas_afrr_up*capacity_mult_C,damas_afrr_down*capacity_mult_C)</f>
        <v/>
      </c>
      <c r="E305" s="44">
        <f>acceptance_rate</f>
        <v/>
      </c>
      <c r="F305" s="23">
        <f>IF(C305="aFRR+",power_mw*hours_per_day*damas_afrr_up*capacity_mult_C*stack_capacity*acceptance_rate,power_mw*hours_per_day*damas_afrr_down*capacity_mult_C*stack_capacity*acceptance_rate)</f>
        <v/>
      </c>
      <c r="G305" s="42">
        <f>IF(C305="aFRR+",DAMAS_Daily!I305,DAMAS_Daily!J305)</f>
        <v/>
      </c>
      <c r="H305" s="43">
        <f>IF(C305="aFRR+",DAMAS_Daily!E305,DAMAS_Daily!F305)</f>
        <v/>
      </c>
      <c r="I305" s="43">
        <f>IF(C305="aFRR+",DAMAS_Daily!G305,DAMAS_Daily!H305)</f>
        <v/>
      </c>
      <c r="J305" s="45">
        <f>IF(C305="aFRR+",DAMAS_Daily!C305,DAMAS_Daily!D305)</f>
        <v/>
      </c>
      <c r="K305" s="45">
        <f>IF(C305="aFRR+",MIN(DAMAS_Daily!C305*market_share_C*acceptance_rate*stack_activation,power_mw*hours_per_day,capacity_mwh),MIN(DAMAS_Daily!D305*market_share_C*acceptance_rate*stack_activation,power_mw*hours_per_day,capacity_mwh))</f>
        <v/>
      </c>
      <c r="L305" s="42">
        <f>IF(K305&gt;=capacity_mwh-0.01,"yes","no")</f>
        <v/>
      </c>
      <c r="M305" s="23">
        <f>IF(C305="aFRR+",(MIN(DAMAS_Daily!C305*market_share_C*acceptance_rate*stack_activation,power_mw*hours_per_day,capacity_mwh))*DAMAS_Daily!E305*activation_mult_C,(MIN(DAMAS_Daily!D305*market_share_C*acceptance_rate*stack_activation,power_mw*hours_per_day,capacity_mwh))*DAMAS_Daily!F305*activation_mult_C)</f>
        <v/>
      </c>
      <c r="N305" s="24">
        <f>F305+M305</f>
        <v/>
      </c>
    </row>
    <row r="306">
      <c r="A306" s="41">
        <f>DAMAS_Daily!A306</f>
        <v/>
      </c>
      <c r="B306" s="42">
        <f>DAMAS_Daily!B306</f>
        <v/>
      </c>
      <c r="C306" s="42">
        <f>IF((power_mw*hours_per_day*damas_afrr_up*capacity_mult_C*stack_capacity*acceptance_rate+(MIN(DAMAS_Daily!C306*market_share_C*acceptance_rate*stack_activation,power_mw*hours_per_day,capacity_mwh))*DAMAS_Daily!E306*activation_mult_C)&gt;=(power_mw*hours_per_day*damas_afrr_down*capacity_mult_C*stack_capacity*acceptance_rate+(MIN(DAMAS_Daily!D306*market_share_C*acceptance_rate*stack_activation,power_mw*hours_per_day,capacity_mwh))*DAMAS_Daily!F306*activation_mult_C),"aFRR+","aFRR-")</f>
        <v/>
      </c>
      <c r="D306" s="43">
        <f>IF(C306="aFRR+",damas_afrr_up*capacity_mult_C,damas_afrr_down*capacity_mult_C)</f>
        <v/>
      </c>
      <c r="E306" s="44">
        <f>acceptance_rate</f>
        <v/>
      </c>
      <c r="F306" s="23">
        <f>IF(C306="aFRR+",power_mw*hours_per_day*damas_afrr_up*capacity_mult_C*stack_capacity*acceptance_rate,power_mw*hours_per_day*damas_afrr_down*capacity_mult_C*stack_capacity*acceptance_rate)</f>
        <v/>
      </c>
      <c r="G306" s="42">
        <f>IF(C306="aFRR+",DAMAS_Daily!I306,DAMAS_Daily!J306)</f>
        <v/>
      </c>
      <c r="H306" s="43">
        <f>IF(C306="aFRR+",DAMAS_Daily!E306,DAMAS_Daily!F306)</f>
        <v/>
      </c>
      <c r="I306" s="43">
        <f>IF(C306="aFRR+",DAMAS_Daily!G306,DAMAS_Daily!H306)</f>
        <v/>
      </c>
      <c r="J306" s="45">
        <f>IF(C306="aFRR+",DAMAS_Daily!C306,DAMAS_Daily!D306)</f>
        <v/>
      </c>
      <c r="K306" s="45">
        <f>IF(C306="aFRR+",MIN(DAMAS_Daily!C306*market_share_C*acceptance_rate*stack_activation,power_mw*hours_per_day,capacity_mwh),MIN(DAMAS_Daily!D306*market_share_C*acceptance_rate*stack_activation,power_mw*hours_per_day,capacity_mwh))</f>
        <v/>
      </c>
      <c r="L306" s="42">
        <f>IF(K306&gt;=capacity_mwh-0.01,"yes","no")</f>
        <v/>
      </c>
      <c r="M306" s="23">
        <f>IF(C306="aFRR+",(MIN(DAMAS_Daily!C306*market_share_C*acceptance_rate*stack_activation,power_mw*hours_per_day,capacity_mwh))*DAMAS_Daily!E306*activation_mult_C,(MIN(DAMAS_Daily!D306*market_share_C*acceptance_rate*stack_activation,power_mw*hours_per_day,capacity_mwh))*DAMAS_Daily!F306*activation_mult_C)</f>
        <v/>
      </c>
      <c r="N306" s="24">
        <f>F306+M306</f>
        <v/>
      </c>
    </row>
    <row r="307">
      <c r="A307" s="41">
        <f>DAMAS_Daily!A307</f>
        <v/>
      </c>
      <c r="B307" s="42">
        <f>DAMAS_Daily!B307</f>
        <v/>
      </c>
      <c r="C307" s="42">
        <f>IF((power_mw*hours_per_day*damas_afrr_up*capacity_mult_C*stack_capacity*acceptance_rate+(MIN(DAMAS_Daily!C307*market_share_C*acceptance_rate*stack_activation,power_mw*hours_per_day,capacity_mwh))*DAMAS_Daily!E307*activation_mult_C)&gt;=(power_mw*hours_per_day*damas_afrr_down*capacity_mult_C*stack_capacity*acceptance_rate+(MIN(DAMAS_Daily!D307*market_share_C*acceptance_rate*stack_activation,power_mw*hours_per_day,capacity_mwh))*DAMAS_Daily!F307*activation_mult_C),"aFRR+","aFRR-")</f>
        <v/>
      </c>
      <c r="D307" s="43">
        <f>IF(C307="aFRR+",damas_afrr_up*capacity_mult_C,damas_afrr_down*capacity_mult_C)</f>
        <v/>
      </c>
      <c r="E307" s="44">
        <f>acceptance_rate</f>
        <v/>
      </c>
      <c r="F307" s="23">
        <f>IF(C307="aFRR+",power_mw*hours_per_day*damas_afrr_up*capacity_mult_C*stack_capacity*acceptance_rate,power_mw*hours_per_day*damas_afrr_down*capacity_mult_C*stack_capacity*acceptance_rate)</f>
        <v/>
      </c>
      <c r="G307" s="42">
        <f>IF(C307="aFRR+",DAMAS_Daily!I307,DAMAS_Daily!J307)</f>
        <v/>
      </c>
      <c r="H307" s="43">
        <f>IF(C307="aFRR+",DAMAS_Daily!E307,DAMAS_Daily!F307)</f>
        <v/>
      </c>
      <c r="I307" s="43">
        <f>IF(C307="aFRR+",DAMAS_Daily!G307,DAMAS_Daily!H307)</f>
        <v/>
      </c>
      <c r="J307" s="45">
        <f>IF(C307="aFRR+",DAMAS_Daily!C307,DAMAS_Daily!D307)</f>
        <v/>
      </c>
      <c r="K307" s="45">
        <f>IF(C307="aFRR+",MIN(DAMAS_Daily!C307*market_share_C*acceptance_rate*stack_activation,power_mw*hours_per_day,capacity_mwh),MIN(DAMAS_Daily!D307*market_share_C*acceptance_rate*stack_activation,power_mw*hours_per_day,capacity_mwh))</f>
        <v/>
      </c>
      <c r="L307" s="42">
        <f>IF(K307&gt;=capacity_mwh-0.01,"yes","no")</f>
        <v/>
      </c>
      <c r="M307" s="23">
        <f>IF(C307="aFRR+",(MIN(DAMAS_Daily!C307*market_share_C*acceptance_rate*stack_activation,power_mw*hours_per_day,capacity_mwh))*DAMAS_Daily!E307*activation_mult_C,(MIN(DAMAS_Daily!D307*market_share_C*acceptance_rate*stack_activation,power_mw*hours_per_day,capacity_mwh))*DAMAS_Daily!F307*activation_mult_C)</f>
        <v/>
      </c>
      <c r="N307" s="24">
        <f>F307+M307</f>
        <v/>
      </c>
    </row>
    <row r="308">
      <c r="A308" s="41">
        <f>DAMAS_Daily!A308</f>
        <v/>
      </c>
      <c r="B308" s="42">
        <f>DAMAS_Daily!B308</f>
        <v/>
      </c>
      <c r="C308" s="42">
        <f>IF((power_mw*hours_per_day*damas_afrr_up*capacity_mult_C*stack_capacity*acceptance_rate+(MIN(DAMAS_Daily!C308*market_share_C*acceptance_rate*stack_activation,power_mw*hours_per_day,capacity_mwh))*DAMAS_Daily!E308*activation_mult_C)&gt;=(power_mw*hours_per_day*damas_afrr_down*capacity_mult_C*stack_capacity*acceptance_rate+(MIN(DAMAS_Daily!D308*market_share_C*acceptance_rate*stack_activation,power_mw*hours_per_day,capacity_mwh))*DAMAS_Daily!F308*activation_mult_C),"aFRR+","aFRR-")</f>
        <v/>
      </c>
      <c r="D308" s="43">
        <f>IF(C308="aFRR+",damas_afrr_up*capacity_mult_C,damas_afrr_down*capacity_mult_C)</f>
        <v/>
      </c>
      <c r="E308" s="44">
        <f>acceptance_rate</f>
        <v/>
      </c>
      <c r="F308" s="23">
        <f>IF(C308="aFRR+",power_mw*hours_per_day*damas_afrr_up*capacity_mult_C*stack_capacity*acceptance_rate,power_mw*hours_per_day*damas_afrr_down*capacity_mult_C*stack_capacity*acceptance_rate)</f>
        <v/>
      </c>
      <c r="G308" s="42">
        <f>IF(C308="aFRR+",DAMAS_Daily!I308,DAMAS_Daily!J308)</f>
        <v/>
      </c>
      <c r="H308" s="43">
        <f>IF(C308="aFRR+",DAMAS_Daily!E308,DAMAS_Daily!F308)</f>
        <v/>
      </c>
      <c r="I308" s="43">
        <f>IF(C308="aFRR+",DAMAS_Daily!G308,DAMAS_Daily!H308)</f>
        <v/>
      </c>
      <c r="J308" s="45">
        <f>IF(C308="aFRR+",DAMAS_Daily!C308,DAMAS_Daily!D308)</f>
        <v/>
      </c>
      <c r="K308" s="45">
        <f>IF(C308="aFRR+",MIN(DAMAS_Daily!C308*market_share_C*acceptance_rate*stack_activation,power_mw*hours_per_day,capacity_mwh),MIN(DAMAS_Daily!D308*market_share_C*acceptance_rate*stack_activation,power_mw*hours_per_day,capacity_mwh))</f>
        <v/>
      </c>
      <c r="L308" s="42">
        <f>IF(K308&gt;=capacity_mwh-0.01,"yes","no")</f>
        <v/>
      </c>
      <c r="M308" s="23">
        <f>IF(C308="aFRR+",(MIN(DAMAS_Daily!C308*market_share_C*acceptance_rate*stack_activation,power_mw*hours_per_day,capacity_mwh))*DAMAS_Daily!E308*activation_mult_C,(MIN(DAMAS_Daily!D308*market_share_C*acceptance_rate*stack_activation,power_mw*hours_per_day,capacity_mwh))*DAMAS_Daily!F308*activation_mult_C)</f>
        <v/>
      </c>
      <c r="N308" s="24">
        <f>F308+M308</f>
        <v/>
      </c>
    </row>
    <row r="309">
      <c r="A309" s="41">
        <f>DAMAS_Daily!A309</f>
        <v/>
      </c>
      <c r="B309" s="42">
        <f>DAMAS_Daily!B309</f>
        <v/>
      </c>
      <c r="C309" s="42">
        <f>IF((power_mw*hours_per_day*damas_afrr_up*capacity_mult_C*stack_capacity*acceptance_rate+(MIN(DAMAS_Daily!C309*market_share_C*acceptance_rate*stack_activation,power_mw*hours_per_day,capacity_mwh))*DAMAS_Daily!E309*activation_mult_C)&gt;=(power_mw*hours_per_day*damas_afrr_down*capacity_mult_C*stack_capacity*acceptance_rate+(MIN(DAMAS_Daily!D309*market_share_C*acceptance_rate*stack_activation,power_mw*hours_per_day,capacity_mwh))*DAMAS_Daily!F309*activation_mult_C),"aFRR+","aFRR-")</f>
        <v/>
      </c>
      <c r="D309" s="43">
        <f>IF(C309="aFRR+",damas_afrr_up*capacity_mult_C,damas_afrr_down*capacity_mult_C)</f>
        <v/>
      </c>
      <c r="E309" s="44">
        <f>acceptance_rate</f>
        <v/>
      </c>
      <c r="F309" s="23">
        <f>IF(C309="aFRR+",power_mw*hours_per_day*damas_afrr_up*capacity_mult_C*stack_capacity*acceptance_rate,power_mw*hours_per_day*damas_afrr_down*capacity_mult_C*stack_capacity*acceptance_rate)</f>
        <v/>
      </c>
      <c r="G309" s="42">
        <f>IF(C309="aFRR+",DAMAS_Daily!I309,DAMAS_Daily!J309)</f>
        <v/>
      </c>
      <c r="H309" s="43">
        <f>IF(C309="aFRR+",DAMAS_Daily!E309,DAMAS_Daily!F309)</f>
        <v/>
      </c>
      <c r="I309" s="43">
        <f>IF(C309="aFRR+",DAMAS_Daily!G309,DAMAS_Daily!H309)</f>
        <v/>
      </c>
      <c r="J309" s="45">
        <f>IF(C309="aFRR+",DAMAS_Daily!C309,DAMAS_Daily!D309)</f>
        <v/>
      </c>
      <c r="K309" s="45">
        <f>IF(C309="aFRR+",MIN(DAMAS_Daily!C309*market_share_C*acceptance_rate*stack_activation,power_mw*hours_per_day,capacity_mwh),MIN(DAMAS_Daily!D309*market_share_C*acceptance_rate*stack_activation,power_mw*hours_per_day,capacity_mwh))</f>
        <v/>
      </c>
      <c r="L309" s="42">
        <f>IF(K309&gt;=capacity_mwh-0.01,"yes","no")</f>
        <v/>
      </c>
      <c r="M309" s="23">
        <f>IF(C309="aFRR+",(MIN(DAMAS_Daily!C309*market_share_C*acceptance_rate*stack_activation,power_mw*hours_per_day,capacity_mwh))*DAMAS_Daily!E309*activation_mult_C,(MIN(DAMAS_Daily!D309*market_share_C*acceptance_rate*stack_activation,power_mw*hours_per_day,capacity_mwh))*DAMAS_Daily!F309*activation_mult_C)</f>
        <v/>
      </c>
      <c r="N309" s="24">
        <f>F309+M309</f>
        <v/>
      </c>
    </row>
    <row r="310">
      <c r="A310" s="41">
        <f>DAMAS_Daily!A310</f>
        <v/>
      </c>
      <c r="B310" s="42">
        <f>DAMAS_Daily!B310</f>
        <v/>
      </c>
      <c r="C310" s="42">
        <f>IF((power_mw*hours_per_day*damas_afrr_up*capacity_mult_C*stack_capacity*acceptance_rate+(MIN(DAMAS_Daily!C310*market_share_C*acceptance_rate*stack_activation,power_mw*hours_per_day,capacity_mwh))*DAMAS_Daily!E310*activation_mult_C)&gt;=(power_mw*hours_per_day*damas_afrr_down*capacity_mult_C*stack_capacity*acceptance_rate+(MIN(DAMAS_Daily!D310*market_share_C*acceptance_rate*stack_activation,power_mw*hours_per_day,capacity_mwh))*DAMAS_Daily!F310*activation_mult_C),"aFRR+","aFRR-")</f>
        <v/>
      </c>
      <c r="D310" s="43">
        <f>IF(C310="aFRR+",damas_afrr_up*capacity_mult_C,damas_afrr_down*capacity_mult_C)</f>
        <v/>
      </c>
      <c r="E310" s="44">
        <f>acceptance_rate</f>
        <v/>
      </c>
      <c r="F310" s="23">
        <f>IF(C310="aFRR+",power_mw*hours_per_day*damas_afrr_up*capacity_mult_C*stack_capacity*acceptance_rate,power_mw*hours_per_day*damas_afrr_down*capacity_mult_C*stack_capacity*acceptance_rate)</f>
        <v/>
      </c>
      <c r="G310" s="42">
        <f>IF(C310="aFRR+",DAMAS_Daily!I310,DAMAS_Daily!J310)</f>
        <v/>
      </c>
      <c r="H310" s="43">
        <f>IF(C310="aFRR+",DAMAS_Daily!E310,DAMAS_Daily!F310)</f>
        <v/>
      </c>
      <c r="I310" s="43">
        <f>IF(C310="aFRR+",DAMAS_Daily!G310,DAMAS_Daily!H310)</f>
        <v/>
      </c>
      <c r="J310" s="45">
        <f>IF(C310="aFRR+",DAMAS_Daily!C310,DAMAS_Daily!D310)</f>
        <v/>
      </c>
      <c r="K310" s="45">
        <f>IF(C310="aFRR+",MIN(DAMAS_Daily!C310*market_share_C*acceptance_rate*stack_activation,power_mw*hours_per_day,capacity_mwh),MIN(DAMAS_Daily!D310*market_share_C*acceptance_rate*stack_activation,power_mw*hours_per_day,capacity_mwh))</f>
        <v/>
      </c>
      <c r="L310" s="42">
        <f>IF(K310&gt;=capacity_mwh-0.01,"yes","no")</f>
        <v/>
      </c>
      <c r="M310" s="23">
        <f>IF(C310="aFRR+",(MIN(DAMAS_Daily!C310*market_share_C*acceptance_rate*stack_activation,power_mw*hours_per_day,capacity_mwh))*DAMAS_Daily!E310*activation_mult_C,(MIN(DAMAS_Daily!D310*market_share_C*acceptance_rate*stack_activation,power_mw*hours_per_day,capacity_mwh))*DAMAS_Daily!F310*activation_mult_C)</f>
        <v/>
      </c>
      <c r="N310" s="24">
        <f>F310+M310</f>
        <v/>
      </c>
    </row>
    <row r="311">
      <c r="A311" s="41">
        <f>DAMAS_Daily!A311</f>
        <v/>
      </c>
      <c r="B311" s="42">
        <f>DAMAS_Daily!B311</f>
        <v/>
      </c>
      <c r="C311" s="42">
        <f>IF((power_mw*hours_per_day*damas_afrr_up*capacity_mult_C*stack_capacity*acceptance_rate+(MIN(DAMAS_Daily!C311*market_share_C*acceptance_rate*stack_activation,power_mw*hours_per_day,capacity_mwh))*DAMAS_Daily!E311*activation_mult_C)&gt;=(power_mw*hours_per_day*damas_afrr_down*capacity_mult_C*stack_capacity*acceptance_rate+(MIN(DAMAS_Daily!D311*market_share_C*acceptance_rate*stack_activation,power_mw*hours_per_day,capacity_mwh))*DAMAS_Daily!F311*activation_mult_C),"aFRR+","aFRR-")</f>
        <v/>
      </c>
      <c r="D311" s="43">
        <f>IF(C311="aFRR+",damas_afrr_up*capacity_mult_C,damas_afrr_down*capacity_mult_C)</f>
        <v/>
      </c>
      <c r="E311" s="44">
        <f>acceptance_rate</f>
        <v/>
      </c>
      <c r="F311" s="23">
        <f>IF(C311="aFRR+",power_mw*hours_per_day*damas_afrr_up*capacity_mult_C*stack_capacity*acceptance_rate,power_mw*hours_per_day*damas_afrr_down*capacity_mult_C*stack_capacity*acceptance_rate)</f>
        <v/>
      </c>
      <c r="G311" s="42">
        <f>IF(C311="aFRR+",DAMAS_Daily!I311,DAMAS_Daily!J311)</f>
        <v/>
      </c>
      <c r="H311" s="43">
        <f>IF(C311="aFRR+",DAMAS_Daily!E311,DAMAS_Daily!F311)</f>
        <v/>
      </c>
      <c r="I311" s="43">
        <f>IF(C311="aFRR+",DAMAS_Daily!G311,DAMAS_Daily!H311)</f>
        <v/>
      </c>
      <c r="J311" s="45">
        <f>IF(C311="aFRR+",DAMAS_Daily!C311,DAMAS_Daily!D311)</f>
        <v/>
      </c>
      <c r="K311" s="45">
        <f>IF(C311="aFRR+",MIN(DAMAS_Daily!C311*market_share_C*acceptance_rate*stack_activation,power_mw*hours_per_day,capacity_mwh),MIN(DAMAS_Daily!D311*market_share_C*acceptance_rate*stack_activation,power_mw*hours_per_day,capacity_mwh))</f>
        <v/>
      </c>
      <c r="L311" s="42">
        <f>IF(K311&gt;=capacity_mwh-0.01,"yes","no")</f>
        <v/>
      </c>
      <c r="M311" s="23">
        <f>IF(C311="aFRR+",(MIN(DAMAS_Daily!C311*market_share_C*acceptance_rate*stack_activation,power_mw*hours_per_day,capacity_mwh))*DAMAS_Daily!E311*activation_mult_C,(MIN(DAMAS_Daily!D311*market_share_C*acceptance_rate*stack_activation,power_mw*hours_per_day,capacity_mwh))*DAMAS_Daily!F311*activation_mult_C)</f>
        <v/>
      </c>
      <c r="N311" s="24">
        <f>F311+M311</f>
        <v/>
      </c>
    </row>
    <row r="312">
      <c r="A312" s="41">
        <f>DAMAS_Daily!A312</f>
        <v/>
      </c>
      <c r="B312" s="42">
        <f>DAMAS_Daily!B312</f>
        <v/>
      </c>
      <c r="C312" s="42">
        <f>IF((power_mw*hours_per_day*damas_afrr_up*capacity_mult_C*stack_capacity*acceptance_rate+(MIN(DAMAS_Daily!C312*market_share_C*acceptance_rate*stack_activation,power_mw*hours_per_day,capacity_mwh))*DAMAS_Daily!E312*activation_mult_C)&gt;=(power_mw*hours_per_day*damas_afrr_down*capacity_mult_C*stack_capacity*acceptance_rate+(MIN(DAMAS_Daily!D312*market_share_C*acceptance_rate*stack_activation,power_mw*hours_per_day,capacity_mwh))*DAMAS_Daily!F312*activation_mult_C),"aFRR+","aFRR-")</f>
        <v/>
      </c>
      <c r="D312" s="43">
        <f>IF(C312="aFRR+",damas_afrr_up*capacity_mult_C,damas_afrr_down*capacity_mult_C)</f>
        <v/>
      </c>
      <c r="E312" s="44">
        <f>acceptance_rate</f>
        <v/>
      </c>
      <c r="F312" s="23">
        <f>IF(C312="aFRR+",power_mw*hours_per_day*damas_afrr_up*capacity_mult_C*stack_capacity*acceptance_rate,power_mw*hours_per_day*damas_afrr_down*capacity_mult_C*stack_capacity*acceptance_rate)</f>
        <v/>
      </c>
      <c r="G312" s="42">
        <f>IF(C312="aFRR+",DAMAS_Daily!I312,DAMAS_Daily!J312)</f>
        <v/>
      </c>
      <c r="H312" s="43">
        <f>IF(C312="aFRR+",DAMAS_Daily!E312,DAMAS_Daily!F312)</f>
        <v/>
      </c>
      <c r="I312" s="43">
        <f>IF(C312="aFRR+",DAMAS_Daily!G312,DAMAS_Daily!H312)</f>
        <v/>
      </c>
      <c r="J312" s="45">
        <f>IF(C312="aFRR+",DAMAS_Daily!C312,DAMAS_Daily!D312)</f>
        <v/>
      </c>
      <c r="K312" s="45">
        <f>IF(C312="aFRR+",MIN(DAMAS_Daily!C312*market_share_C*acceptance_rate*stack_activation,power_mw*hours_per_day,capacity_mwh),MIN(DAMAS_Daily!D312*market_share_C*acceptance_rate*stack_activation,power_mw*hours_per_day,capacity_mwh))</f>
        <v/>
      </c>
      <c r="L312" s="42">
        <f>IF(K312&gt;=capacity_mwh-0.01,"yes","no")</f>
        <v/>
      </c>
      <c r="M312" s="23">
        <f>IF(C312="aFRR+",(MIN(DAMAS_Daily!C312*market_share_C*acceptance_rate*stack_activation,power_mw*hours_per_day,capacity_mwh))*DAMAS_Daily!E312*activation_mult_C,(MIN(DAMAS_Daily!D312*market_share_C*acceptance_rate*stack_activation,power_mw*hours_per_day,capacity_mwh))*DAMAS_Daily!F312*activation_mult_C)</f>
        <v/>
      </c>
      <c r="N312" s="24">
        <f>F312+M312</f>
        <v/>
      </c>
    </row>
    <row r="313">
      <c r="A313" s="41">
        <f>DAMAS_Daily!A313</f>
        <v/>
      </c>
      <c r="B313" s="42">
        <f>DAMAS_Daily!B313</f>
        <v/>
      </c>
      <c r="C313" s="42">
        <f>IF((power_mw*hours_per_day*damas_afrr_up*capacity_mult_C*stack_capacity*acceptance_rate+(MIN(DAMAS_Daily!C313*market_share_C*acceptance_rate*stack_activation,power_mw*hours_per_day,capacity_mwh))*DAMAS_Daily!E313*activation_mult_C)&gt;=(power_mw*hours_per_day*damas_afrr_down*capacity_mult_C*stack_capacity*acceptance_rate+(MIN(DAMAS_Daily!D313*market_share_C*acceptance_rate*stack_activation,power_mw*hours_per_day,capacity_mwh))*DAMAS_Daily!F313*activation_mult_C),"aFRR+","aFRR-")</f>
        <v/>
      </c>
      <c r="D313" s="43">
        <f>IF(C313="aFRR+",damas_afrr_up*capacity_mult_C,damas_afrr_down*capacity_mult_C)</f>
        <v/>
      </c>
      <c r="E313" s="44">
        <f>acceptance_rate</f>
        <v/>
      </c>
      <c r="F313" s="23">
        <f>IF(C313="aFRR+",power_mw*hours_per_day*damas_afrr_up*capacity_mult_C*stack_capacity*acceptance_rate,power_mw*hours_per_day*damas_afrr_down*capacity_mult_C*stack_capacity*acceptance_rate)</f>
        <v/>
      </c>
      <c r="G313" s="42">
        <f>IF(C313="aFRR+",DAMAS_Daily!I313,DAMAS_Daily!J313)</f>
        <v/>
      </c>
      <c r="H313" s="43">
        <f>IF(C313="aFRR+",DAMAS_Daily!E313,DAMAS_Daily!F313)</f>
        <v/>
      </c>
      <c r="I313" s="43">
        <f>IF(C313="aFRR+",DAMAS_Daily!G313,DAMAS_Daily!H313)</f>
        <v/>
      </c>
      <c r="J313" s="45">
        <f>IF(C313="aFRR+",DAMAS_Daily!C313,DAMAS_Daily!D313)</f>
        <v/>
      </c>
      <c r="K313" s="45">
        <f>IF(C313="aFRR+",MIN(DAMAS_Daily!C313*market_share_C*acceptance_rate*stack_activation,power_mw*hours_per_day,capacity_mwh),MIN(DAMAS_Daily!D313*market_share_C*acceptance_rate*stack_activation,power_mw*hours_per_day,capacity_mwh))</f>
        <v/>
      </c>
      <c r="L313" s="42">
        <f>IF(K313&gt;=capacity_mwh-0.01,"yes","no")</f>
        <v/>
      </c>
      <c r="M313" s="23">
        <f>IF(C313="aFRR+",(MIN(DAMAS_Daily!C313*market_share_C*acceptance_rate*stack_activation,power_mw*hours_per_day,capacity_mwh))*DAMAS_Daily!E313*activation_mult_C,(MIN(DAMAS_Daily!D313*market_share_C*acceptance_rate*stack_activation,power_mw*hours_per_day,capacity_mwh))*DAMAS_Daily!F313*activation_mult_C)</f>
        <v/>
      </c>
      <c r="N313" s="24">
        <f>F313+M313</f>
        <v/>
      </c>
    </row>
    <row r="314">
      <c r="A314" s="41">
        <f>DAMAS_Daily!A314</f>
        <v/>
      </c>
      <c r="B314" s="42">
        <f>DAMAS_Daily!B314</f>
        <v/>
      </c>
      <c r="C314" s="42">
        <f>IF((power_mw*hours_per_day*damas_afrr_up*capacity_mult_C*stack_capacity*acceptance_rate+(MIN(DAMAS_Daily!C314*market_share_C*acceptance_rate*stack_activation,power_mw*hours_per_day,capacity_mwh))*DAMAS_Daily!E314*activation_mult_C)&gt;=(power_mw*hours_per_day*damas_afrr_down*capacity_mult_C*stack_capacity*acceptance_rate+(MIN(DAMAS_Daily!D314*market_share_C*acceptance_rate*stack_activation,power_mw*hours_per_day,capacity_mwh))*DAMAS_Daily!F314*activation_mult_C),"aFRR+","aFRR-")</f>
        <v/>
      </c>
      <c r="D314" s="43">
        <f>IF(C314="aFRR+",damas_afrr_up*capacity_mult_C,damas_afrr_down*capacity_mult_C)</f>
        <v/>
      </c>
      <c r="E314" s="44">
        <f>acceptance_rate</f>
        <v/>
      </c>
      <c r="F314" s="23">
        <f>IF(C314="aFRR+",power_mw*hours_per_day*damas_afrr_up*capacity_mult_C*stack_capacity*acceptance_rate,power_mw*hours_per_day*damas_afrr_down*capacity_mult_C*stack_capacity*acceptance_rate)</f>
        <v/>
      </c>
      <c r="G314" s="42">
        <f>IF(C314="aFRR+",DAMAS_Daily!I314,DAMAS_Daily!J314)</f>
        <v/>
      </c>
      <c r="H314" s="43">
        <f>IF(C314="aFRR+",DAMAS_Daily!E314,DAMAS_Daily!F314)</f>
        <v/>
      </c>
      <c r="I314" s="43">
        <f>IF(C314="aFRR+",DAMAS_Daily!G314,DAMAS_Daily!H314)</f>
        <v/>
      </c>
      <c r="J314" s="45">
        <f>IF(C314="aFRR+",DAMAS_Daily!C314,DAMAS_Daily!D314)</f>
        <v/>
      </c>
      <c r="K314" s="45">
        <f>IF(C314="aFRR+",MIN(DAMAS_Daily!C314*market_share_C*acceptance_rate*stack_activation,power_mw*hours_per_day,capacity_mwh),MIN(DAMAS_Daily!D314*market_share_C*acceptance_rate*stack_activation,power_mw*hours_per_day,capacity_mwh))</f>
        <v/>
      </c>
      <c r="L314" s="42">
        <f>IF(K314&gt;=capacity_mwh-0.01,"yes","no")</f>
        <v/>
      </c>
      <c r="M314" s="23">
        <f>IF(C314="aFRR+",(MIN(DAMAS_Daily!C314*market_share_C*acceptance_rate*stack_activation,power_mw*hours_per_day,capacity_mwh))*DAMAS_Daily!E314*activation_mult_C,(MIN(DAMAS_Daily!D314*market_share_C*acceptance_rate*stack_activation,power_mw*hours_per_day,capacity_mwh))*DAMAS_Daily!F314*activation_mult_C)</f>
        <v/>
      </c>
      <c r="N314" s="24">
        <f>F314+M314</f>
        <v/>
      </c>
    </row>
    <row r="315">
      <c r="A315" s="41">
        <f>DAMAS_Daily!A315</f>
        <v/>
      </c>
      <c r="B315" s="42">
        <f>DAMAS_Daily!B315</f>
        <v/>
      </c>
      <c r="C315" s="42">
        <f>IF((power_mw*hours_per_day*damas_afrr_up*capacity_mult_C*stack_capacity*acceptance_rate+(MIN(DAMAS_Daily!C315*market_share_C*acceptance_rate*stack_activation,power_mw*hours_per_day,capacity_mwh))*DAMAS_Daily!E315*activation_mult_C)&gt;=(power_mw*hours_per_day*damas_afrr_down*capacity_mult_C*stack_capacity*acceptance_rate+(MIN(DAMAS_Daily!D315*market_share_C*acceptance_rate*stack_activation,power_mw*hours_per_day,capacity_mwh))*DAMAS_Daily!F315*activation_mult_C),"aFRR+","aFRR-")</f>
        <v/>
      </c>
      <c r="D315" s="43">
        <f>IF(C315="aFRR+",damas_afrr_up*capacity_mult_C,damas_afrr_down*capacity_mult_C)</f>
        <v/>
      </c>
      <c r="E315" s="44">
        <f>acceptance_rate</f>
        <v/>
      </c>
      <c r="F315" s="23">
        <f>IF(C315="aFRR+",power_mw*hours_per_day*damas_afrr_up*capacity_mult_C*stack_capacity*acceptance_rate,power_mw*hours_per_day*damas_afrr_down*capacity_mult_C*stack_capacity*acceptance_rate)</f>
        <v/>
      </c>
      <c r="G315" s="42">
        <f>IF(C315="aFRR+",DAMAS_Daily!I315,DAMAS_Daily!J315)</f>
        <v/>
      </c>
      <c r="H315" s="43">
        <f>IF(C315="aFRR+",DAMAS_Daily!E315,DAMAS_Daily!F315)</f>
        <v/>
      </c>
      <c r="I315" s="43">
        <f>IF(C315="aFRR+",DAMAS_Daily!G315,DAMAS_Daily!H315)</f>
        <v/>
      </c>
      <c r="J315" s="45">
        <f>IF(C315="aFRR+",DAMAS_Daily!C315,DAMAS_Daily!D315)</f>
        <v/>
      </c>
      <c r="K315" s="45">
        <f>IF(C315="aFRR+",MIN(DAMAS_Daily!C315*market_share_C*acceptance_rate*stack_activation,power_mw*hours_per_day,capacity_mwh),MIN(DAMAS_Daily!D315*market_share_C*acceptance_rate*stack_activation,power_mw*hours_per_day,capacity_mwh))</f>
        <v/>
      </c>
      <c r="L315" s="42">
        <f>IF(K315&gt;=capacity_mwh-0.01,"yes","no")</f>
        <v/>
      </c>
      <c r="M315" s="23">
        <f>IF(C315="aFRR+",(MIN(DAMAS_Daily!C315*market_share_C*acceptance_rate*stack_activation,power_mw*hours_per_day,capacity_mwh))*DAMAS_Daily!E315*activation_mult_C,(MIN(DAMAS_Daily!D315*market_share_C*acceptance_rate*stack_activation,power_mw*hours_per_day,capacity_mwh))*DAMAS_Daily!F315*activation_mult_C)</f>
        <v/>
      </c>
      <c r="N315" s="24">
        <f>F315+M315</f>
        <v/>
      </c>
    </row>
    <row r="316">
      <c r="A316" s="41">
        <f>DAMAS_Daily!A316</f>
        <v/>
      </c>
      <c r="B316" s="42">
        <f>DAMAS_Daily!B316</f>
        <v/>
      </c>
      <c r="C316" s="42">
        <f>IF((power_mw*hours_per_day*damas_afrr_up*capacity_mult_C*stack_capacity*acceptance_rate+(MIN(DAMAS_Daily!C316*market_share_C*acceptance_rate*stack_activation,power_mw*hours_per_day,capacity_mwh))*DAMAS_Daily!E316*activation_mult_C)&gt;=(power_mw*hours_per_day*damas_afrr_down*capacity_mult_C*stack_capacity*acceptance_rate+(MIN(DAMAS_Daily!D316*market_share_C*acceptance_rate*stack_activation,power_mw*hours_per_day,capacity_mwh))*DAMAS_Daily!F316*activation_mult_C),"aFRR+","aFRR-")</f>
        <v/>
      </c>
      <c r="D316" s="43">
        <f>IF(C316="aFRR+",damas_afrr_up*capacity_mult_C,damas_afrr_down*capacity_mult_C)</f>
        <v/>
      </c>
      <c r="E316" s="44">
        <f>acceptance_rate</f>
        <v/>
      </c>
      <c r="F316" s="23">
        <f>IF(C316="aFRR+",power_mw*hours_per_day*damas_afrr_up*capacity_mult_C*stack_capacity*acceptance_rate,power_mw*hours_per_day*damas_afrr_down*capacity_mult_C*stack_capacity*acceptance_rate)</f>
        <v/>
      </c>
      <c r="G316" s="42">
        <f>IF(C316="aFRR+",DAMAS_Daily!I316,DAMAS_Daily!J316)</f>
        <v/>
      </c>
      <c r="H316" s="43">
        <f>IF(C316="aFRR+",DAMAS_Daily!E316,DAMAS_Daily!F316)</f>
        <v/>
      </c>
      <c r="I316" s="43">
        <f>IF(C316="aFRR+",DAMAS_Daily!G316,DAMAS_Daily!H316)</f>
        <v/>
      </c>
      <c r="J316" s="45">
        <f>IF(C316="aFRR+",DAMAS_Daily!C316,DAMAS_Daily!D316)</f>
        <v/>
      </c>
      <c r="K316" s="45">
        <f>IF(C316="aFRR+",MIN(DAMAS_Daily!C316*market_share_C*acceptance_rate*stack_activation,power_mw*hours_per_day,capacity_mwh),MIN(DAMAS_Daily!D316*market_share_C*acceptance_rate*stack_activation,power_mw*hours_per_day,capacity_mwh))</f>
        <v/>
      </c>
      <c r="L316" s="42">
        <f>IF(K316&gt;=capacity_mwh-0.01,"yes","no")</f>
        <v/>
      </c>
      <c r="M316" s="23">
        <f>IF(C316="aFRR+",(MIN(DAMAS_Daily!C316*market_share_C*acceptance_rate*stack_activation,power_mw*hours_per_day,capacity_mwh))*DAMAS_Daily!E316*activation_mult_C,(MIN(DAMAS_Daily!D316*market_share_C*acceptance_rate*stack_activation,power_mw*hours_per_day,capacity_mwh))*DAMAS_Daily!F316*activation_mult_C)</f>
        <v/>
      </c>
      <c r="N316" s="24">
        <f>F316+M316</f>
        <v/>
      </c>
    </row>
    <row r="317">
      <c r="A317" s="41">
        <f>DAMAS_Daily!A317</f>
        <v/>
      </c>
      <c r="B317" s="42">
        <f>DAMAS_Daily!B317</f>
        <v/>
      </c>
      <c r="C317" s="42">
        <f>IF((power_mw*hours_per_day*damas_afrr_up*capacity_mult_C*stack_capacity*acceptance_rate+(MIN(DAMAS_Daily!C317*market_share_C*acceptance_rate*stack_activation,power_mw*hours_per_day,capacity_mwh))*DAMAS_Daily!E317*activation_mult_C)&gt;=(power_mw*hours_per_day*damas_afrr_down*capacity_mult_C*stack_capacity*acceptance_rate+(MIN(DAMAS_Daily!D317*market_share_C*acceptance_rate*stack_activation,power_mw*hours_per_day,capacity_mwh))*DAMAS_Daily!F317*activation_mult_C),"aFRR+","aFRR-")</f>
        <v/>
      </c>
      <c r="D317" s="43">
        <f>IF(C317="aFRR+",damas_afrr_up*capacity_mult_C,damas_afrr_down*capacity_mult_C)</f>
        <v/>
      </c>
      <c r="E317" s="44">
        <f>acceptance_rate</f>
        <v/>
      </c>
      <c r="F317" s="23">
        <f>IF(C317="aFRR+",power_mw*hours_per_day*damas_afrr_up*capacity_mult_C*stack_capacity*acceptance_rate,power_mw*hours_per_day*damas_afrr_down*capacity_mult_C*stack_capacity*acceptance_rate)</f>
        <v/>
      </c>
      <c r="G317" s="42">
        <f>IF(C317="aFRR+",DAMAS_Daily!I317,DAMAS_Daily!J317)</f>
        <v/>
      </c>
      <c r="H317" s="43">
        <f>IF(C317="aFRR+",DAMAS_Daily!E317,DAMAS_Daily!F317)</f>
        <v/>
      </c>
      <c r="I317" s="43">
        <f>IF(C317="aFRR+",DAMAS_Daily!G317,DAMAS_Daily!H317)</f>
        <v/>
      </c>
      <c r="J317" s="45">
        <f>IF(C317="aFRR+",DAMAS_Daily!C317,DAMAS_Daily!D317)</f>
        <v/>
      </c>
      <c r="K317" s="45">
        <f>IF(C317="aFRR+",MIN(DAMAS_Daily!C317*market_share_C*acceptance_rate*stack_activation,power_mw*hours_per_day,capacity_mwh),MIN(DAMAS_Daily!D317*market_share_C*acceptance_rate*stack_activation,power_mw*hours_per_day,capacity_mwh))</f>
        <v/>
      </c>
      <c r="L317" s="42">
        <f>IF(K317&gt;=capacity_mwh-0.01,"yes","no")</f>
        <v/>
      </c>
      <c r="M317" s="23">
        <f>IF(C317="aFRR+",(MIN(DAMAS_Daily!C317*market_share_C*acceptance_rate*stack_activation,power_mw*hours_per_day,capacity_mwh))*DAMAS_Daily!E317*activation_mult_C,(MIN(DAMAS_Daily!D317*market_share_C*acceptance_rate*stack_activation,power_mw*hours_per_day,capacity_mwh))*DAMAS_Daily!F317*activation_mult_C)</f>
        <v/>
      </c>
      <c r="N317" s="24">
        <f>F317+M317</f>
        <v/>
      </c>
    </row>
    <row r="318">
      <c r="A318" s="41">
        <f>DAMAS_Daily!A318</f>
        <v/>
      </c>
      <c r="B318" s="42">
        <f>DAMAS_Daily!B318</f>
        <v/>
      </c>
      <c r="C318" s="42">
        <f>IF((power_mw*hours_per_day*damas_afrr_up*capacity_mult_C*stack_capacity*acceptance_rate+(MIN(DAMAS_Daily!C318*market_share_C*acceptance_rate*stack_activation,power_mw*hours_per_day,capacity_mwh))*DAMAS_Daily!E318*activation_mult_C)&gt;=(power_mw*hours_per_day*damas_afrr_down*capacity_mult_C*stack_capacity*acceptance_rate+(MIN(DAMAS_Daily!D318*market_share_C*acceptance_rate*stack_activation,power_mw*hours_per_day,capacity_mwh))*DAMAS_Daily!F318*activation_mult_C),"aFRR+","aFRR-")</f>
        <v/>
      </c>
      <c r="D318" s="43">
        <f>IF(C318="aFRR+",damas_afrr_up*capacity_mult_C,damas_afrr_down*capacity_mult_C)</f>
        <v/>
      </c>
      <c r="E318" s="44">
        <f>acceptance_rate</f>
        <v/>
      </c>
      <c r="F318" s="23">
        <f>IF(C318="aFRR+",power_mw*hours_per_day*damas_afrr_up*capacity_mult_C*stack_capacity*acceptance_rate,power_mw*hours_per_day*damas_afrr_down*capacity_mult_C*stack_capacity*acceptance_rate)</f>
        <v/>
      </c>
      <c r="G318" s="42">
        <f>IF(C318="aFRR+",DAMAS_Daily!I318,DAMAS_Daily!J318)</f>
        <v/>
      </c>
      <c r="H318" s="43">
        <f>IF(C318="aFRR+",DAMAS_Daily!E318,DAMAS_Daily!F318)</f>
        <v/>
      </c>
      <c r="I318" s="43">
        <f>IF(C318="aFRR+",DAMAS_Daily!G318,DAMAS_Daily!H318)</f>
        <v/>
      </c>
      <c r="J318" s="45">
        <f>IF(C318="aFRR+",DAMAS_Daily!C318,DAMAS_Daily!D318)</f>
        <v/>
      </c>
      <c r="K318" s="45">
        <f>IF(C318="aFRR+",MIN(DAMAS_Daily!C318*market_share_C*acceptance_rate*stack_activation,power_mw*hours_per_day,capacity_mwh),MIN(DAMAS_Daily!D318*market_share_C*acceptance_rate*stack_activation,power_mw*hours_per_day,capacity_mwh))</f>
        <v/>
      </c>
      <c r="L318" s="42">
        <f>IF(K318&gt;=capacity_mwh-0.01,"yes","no")</f>
        <v/>
      </c>
      <c r="M318" s="23">
        <f>IF(C318="aFRR+",(MIN(DAMAS_Daily!C318*market_share_C*acceptance_rate*stack_activation,power_mw*hours_per_day,capacity_mwh))*DAMAS_Daily!E318*activation_mult_C,(MIN(DAMAS_Daily!D318*market_share_C*acceptance_rate*stack_activation,power_mw*hours_per_day,capacity_mwh))*DAMAS_Daily!F318*activation_mult_C)</f>
        <v/>
      </c>
      <c r="N318" s="24">
        <f>F318+M318</f>
        <v/>
      </c>
    </row>
    <row r="319">
      <c r="A319" s="41">
        <f>DAMAS_Daily!A319</f>
        <v/>
      </c>
      <c r="B319" s="42">
        <f>DAMAS_Daily!B319</f>
        <v/>
      </c>
      <c r="C319" s="42">
        <f>IF((power_mw*hours_per_day*damas_afrr_up*capacity_mult_C*stack_capacity*acceptance_rate+(MIN(DAMAS_Daily!C319*market_share_C*acceptance_rate*stack_activation,power_mw*hours_per_day,capacity_mwh))*DAMAS_Daily!E319*activation_mult_C)&gt;=(power_mw*hours_per_day*damas_afrr_down*capacity_mult_C*stack_capacity*acceptance_rate+(MIN(DAMAS_Daily!D319*market_share_C*acceptance_rate*stack_activation,power_mw*hours_per_day,capacity_mwh))*DAMAS_Daily!F319*activation_mult_C),"aFRR+","aFRR-")</f>
        <v/>
      </c>
      <c r="D319" s="43">
        <f>IF(C319="aFRR+",damas_afrr_up*capacity_mult_C,damas_afrr_down*capacity_mult_C)</f>
        <v/>
      </c>
      <c r="E319" s="44">
        <f>acceptance_rate</f>
        <v/>
      </c>
      <c r="F319" s="23">
        <f>IF(C319="aFRR+",power_mw*hours_per_day*damas_afrr_up*capacity_mult_C*stack_capacity*acceptance_rate,power_mw*hours_per_day*damas_afrr_down*capacity_mult_C*stack_capacity*acceptance_rate)</f>
        <v/>
      </c>
      <c r="G319" s="42">
        <f>IF(C319="aFRR+",DAMAS_Daily!I319,DAMAS_Daily!J319)</f>
        <v/>
      </c>
      <c r="H319" s="43">
        <f>IF(C319="aFRR+",DAMAS_Daily!E319,DAMAS_Daily!F319)</f>
        <v/>
      </c>
      <c r="I319" s="43">
        <f>IF(C319="aFRR+",DAMAS_Daily!G319,DAMAS_Daily!H319)</f>
        <v/>
      </c>
      <c r="J319" s="45">
        <f>IF(C319="aFRR+",DAMAS_Daily!C319,DAMAS_Daily!D319)</f>
        <v/>
      </c>
      <c r="K319" s="45">
        <f>IF(C319="aFRR+",MIN(DAMAS_Daily!C319*market_share_C*acceptance_rate*stack_activation,power_mw*hours_per_day,capacity_mwh),MIN(DAMAS_Daily!D319*market_share_C*acceptance_rate*stack_activation,power_mw*hours_per_day,capacity_mwh))</f>
        <v/>
      </c>
      <c r="L319" s="42">
        <f>IF(K319&gt;=capacity_mwh-0.01,"yes","no")</f>
        <v/>
      </c>
      <c r="M319" s="23">
        <f>IF(C319="aFRR+",(MIN(DAMAS_Daily!C319*market_share_C*acceptance_rate*stack_activation,power_mw*hours_per_day,capacity_mwh))*DAMAS_Daily!E319*activation_mult_C,(MIN(DAMAS_Daily!D319*market_share_C*acceptance_rate*stack_activation,power_mw*hours_per_day,capacity_mwh))*DAMAS_Daily!F319*activation_mult_C)</f>
        <v/>
      </c>
      <c r="N319" s="24">
        <f>F319+M319</f>
        <v/>
      </c>
    </row>
    <row r="320">
      <c r="A320" s="41">
        <f>DAMAS_Daily!A320</f>
        <v/>
      </c>
      <c r="B320" s="42">
        <f>DAMAS_Daily!B320</f>
        <v/>
      </c>
      <c r="C320" s="42">
        <f>IF((power_mw*hours_per_day*damas_afrr_up*capacity_mult_C*stack_capacity*acceptance_rate+(MIN(DAMAS_Daily!C320*market_share_C*acceptance_rate*stack_activation,power_mw*hours_per_day,capacity_mwh))*DAMAS_Daily!E320*activation_mult_C)&gt;=(power_mw*hours_per_day*damas_afrr_down*capacity_mult_C*stack_capacity*acceptance_rate+(MIN(DAMAS_Daily!D320*market_share_C*acceptance_rate*stack_activation,power_mw*hours_per_day,capacity_mwh))*DAMAS_Daily!F320*activation_mult_C),"aFRR+","aFRR-")</f>
        <v/>
      </c>
      <c r="D320" s="43">
        <f>IF(C320="aFRR+",damas_afrr_up*capacity_mult_C,damas_afrr_down*capacity_mult_C)</f>
        <v/>
      </c>
      <c r="E320" s="44">
        <f>acceptance_rate</f>
        <v/>
      </c>
      <c r="F320" s="23">
        <f>IF(C320="aFRR+",power_mw*hours_per_day*damas_afrr_up*capacity_mult_C*stack_capacity*acceptance_rate,power_mw*hours_per_day*damas_afrr_down*capacity_mult_C*stack_capacity*acceptance_rate)</f>
        <v/>
      </c>
      <c r="G320" s="42">
        <f>IF(C320="aFRR+",DAMAS_Daily!I320,DAMAS_Daily!J320)</f>
        <v/>
      </c>
      <c r="H320" s="43">
        <f>IF(C320="aFRR+",DAMAS_Daily!E320,DAMAS_Daily!F320)</f>
        <v/>
      </c>
      <c r="I320" s="43">
        <f>IF(C320="aFRR+",DAMAS_Daily!G320,DAMAS_Daily!H320)</f>
        <v/>
      </c>
      <c r="J320" s="45">
        <f>IF(C320="aFRR+",DAMAS_Daily!C320,DAMAS_Daily!D320)</f>
        <v/>
      </c>
      <c r="K320" s="45">
        <f>IF(C320="aFRR+",MIN(DAMAS_Daily!C320*market_share_C*acceptance_rate*stack_activation,power_mw*hours_per_day,capacity_mwh),MIN(DAMAS_Daily!D320*market_share_C*acceptance_rate*stack_activation,power_mw*hours_per_day,capacity_mwh))</f>
        <v/>
      </c>
      <c r="L320" s="42">
        <f>IF(K320&gt;=capacity_mwh-0.01,"yes","no")</f>
        <v/>
      </c>
      <c r="M320" s="23">
        <f>IF(C320="aFRR+",(MIN(DAMAS_Daily!C320*market_share_C*acceptance_rate*stack_activation,power_mw*hours_per_day,capacity_mwh))*DAMAS_Daily!E320*activation_mult_C,(MIN(DAMAS_Daily!D320*market_share_C*acceptance_rate*stack_activation,power_mw*hours_per_day,capacity_mwh))*DAMAS_Daily!F320*activation_mult_C)</f>
        <v/>
      </c>
      <c r="N320" s="24">
        <f>F320+M320</f>
        <v/>
      </c>
    </row>
    <row r="321">
      <c r="A321" s="41">
        <f>DAMAS_Daily!A321</f>
        <v/>
      </c>
      <c r="B321" s="42">
        <f>DAMAS_Daily!B321</f>
        <v/>
      </c>
      <c r="C321" s="42">
        <f>IF((power_mw*hours_per_day*damas_afrr_up*capacity_mult_C*stack_capacity*acceptance_rate+(MIN(DAMAS_Daily!C321*market_share_C*acceptance_rate*stack_activation,power_mw*hours_per_day,capacity_mwh))*DAMAS_Daily!E321*activation_mult_C)&gt;=(power_mw*hours_per_day*damas_afrr_down*capacity_mult_C*stack_capacity*acceptance_rate+(MIN(DAMAS_Daily!D321*market_share_C*acceptance_rate*stack_activation,power_mw*hours_per_day,capacity_mwh))*DAMAS_Daily!F321*activation_mult_C),"aFRR+","aFRR-")</f>
        <v/>
      </c>
      <c r="D321" s="43">
        <f>IF(C321="aFRR+",damas_afrr_up*capacity_mult_C,damas_afrr_down*capacity_mult_C)</f>
        <v/>
      </c>
      <c r="E321" s="44">
        <f>acceptance_rate</f>
        <v/>
      </c>
      <c r="F321" s="23">
        <f>IF(C321="aFRR+",power_mw*hours_per_day*damas_afrr_up*capacity_mult_C*stack_capacity*acceptance_rate,power_mw*hours_per_day*damas_afrr_down*capacity_mult_C*stack_capacity*acceptance_rate)</f>
        <v/>
      </c>
      <c r="G321" s="42">
        <f>IF(C321="aFRR+",DAMAS_Daily!I321,DAMAS_Daily!J321)</f>
        <v/>
      </c>
      <c r="H321" s="43">
        <f>IF(C321="aFRR+",DAMAS_Daily!E321,DAMAS_Daily!F321)</f>
        <v/>
      </c>
      <c r="I321" s="43">
        <f>IF(C321="aFRR+",DAMAS_Daily!G321,DAMAS_Daily!H321)</f>
        <v/>
      </c>
      <c r="J321" s="45">
        <f>IF(C321="aFRR+",DAMAS_Daily!C321,DAMAS_Daily!D321)</f>
        <v/>
      </c>
      <c r="K321" s="45">
        <f>IF(C321="aFRR+",MIN(DAMAS_Daily!C321*market_share_C*acceptance_rate*stack_activation,power_mw*hours_per_day,capacity_mwh),MIN(DAMAS_Daily!D321*market_share_C*acceptance_rate*stack_activation,power_mw*hours_per_day,capacity_mwh))</f>
        <v/>
      </c>
      <c r="L321" s="42">
        <f>IF(K321&gt;=capacity_mwh-0.01,"yes","no")</f>
        <v/>
      </c>
      <c r="M321" s="23">
        <f>IF(C321="aFRR+",(MIN(DAMAS_Daily!C321*market_share_C*acceptance_rate*stack_activation,power_mw*hours_per_day,capacity_mwh))*DAMAS_Daily!E321*activation_mult_C,(MIN(DAMAS_Daily!D321*market_share_C*acceptance_rate*stack_activation,power_mw*hours_per_day,capacity_mwh))*DAMAS_Daily!F321*activation_mult_C)</f>
        <v/>
      </c>
      <c r="N321" s="24">
        <f>F321+M321</f>
        <v/>
      </c>
    </row>
    <row r="322">
      <c r="A322" s="41">
        <f>DAMAS_Daily!A322</f>
        <v/>
      </c>
      <c r="B322" s="42">
        <f>DAMAS_Daily!B322</f>
        <v/>
      </c>
      <c r="C322" s="42">
        <f>IF((power_mw*hours_per_day*damas_afrr_up*capacity_mult_C*stack_capacity*acceptance_rate+(MIN(DAMAS_Daily!C322*market_share_C*acceptance_rate*stack_activation,power_mw*hours_per_day,capacity_mwh))*DAMAS_Daily!E322*activation_mult_C)&gt;=(power_mw*hours_per_day*damas_afrr_down*capacity_mult_C*stack_capacity*acceptance_rate+(MIN(DAMAS_Daily!D322*market_share_C*acceptance_rate*stack_activation,power_mw*hours_per_day,capacity_mwh))*DAMAS_Daily!F322*activation_mult_C),"aFRR+","aFRR-")</f>
        <v/>
      </c>
      <c r="D322" s="43">
        <f>IF(C322="aFRR+",damas_afrr_up*capacity_mult_C,damas_afrr_down*capacity_mult_C)</f>
        <v/>
      </c>
      <c r="E322" s="44">
        <f>acceptance_rate</f>
        <v/>
      </c>
      <c r="F322" s="23">
        <f>IF(C322="aFRR+",power_mw*hours_per_day*damas_afrr_up*capacity_mult_C*stack_capacity*acceptance_rate,power_mw*hours_per_day*damas_afrr_down*capacity_mult_C*stack_capacity*acceptance_rate)</f>
        <v/>
      </c>
      <c r="G322" s="42">
        <f>IF(C322="aFRR+",DAMAS_Daily!I322,DAMAS_Daily!J322)</f>
        <v/>
      </c>
      <c r="H322" s="43">
        <f>IF(C322="aFRR+",DAMAS_Daily!E322,DAMAS_Daily!F322)</f>
        <v/>
      </c>
      <c r="I322" s="43">
        <f>IF(C322="aFRR+",DAMAS_Daily!G322,DAMAS_Daily!H322)</f>
        <v/>
      </c>
      <c r="J322" s="45">
        <f>IF(C322="aFRR+",DAMAS_Daily!C322,DAMAS_Daily!D322)</f>
        <v/>
      </c>
      <c r="K322" s="45">
        <f>IF(C322="aFRR+",MIN(DAMAS_Daily!C322*market_share_C*acceptance_rate*stack_activation,power_mw*hours_per_day,capacity_mwh),MIN(DAMAS_Daily!D322*market_share_C*acceptance_rate*stack_activation,power_mw*hours_per_day,capacity_mwh))</f>
        <v/>
      </c>
      <c r="L322" s="42">
        <f>IF(K322&gt;=capacity_mwh-0.01,"yes","no")</f>
        <v/>
      </c>
      <c r="M322" s="23">
        <f>IF(C322="aFRR+",(MIN(DAMAS_Daily!C322*market_share_C*acceptance_rate*stack_activation,power_mw*hours_per_day,capacity_mwh))*DAMAS_Daily!E322*activation_mult_C,(MIN(DAMAS_Daily!D322*market_share_C*acceptance_rate*stack_activation,power_mw*hours_per_day,capacity_mwh))*DAMAS_Daily!F322*activation_mult_C)</f>
        <v/>
      </c>
      <c r="N322" s="24">
        <f>F322+M322</f>
        <v/>
      </c>
    </row>
    <row r="323">
      <c r="A323" s="41">
        <f>DAMAS_Daily!A323</f>
        <v/>
      </c>
      <c r="B323" s="42">
        <f>DAMAS_Daily!B323</f>
        <v/>
      </c>
      <c r="C323" s="42">
        <f>IF((power_mw*hours_per_day*damas_afrr_up*capacity_mult_C*stack_capacity*acceptance_rate+(MIN(DAMAS_Daily!C323*market_share_C*acceptance_rate*stack_activation,power_mw*hours_per_day,capacity_mwh))*DAMAS_Daily!E323*activation_mult_C)&gt;=(power_mw*hours_per_day*damas_afrr_down*capacity_mult_C*stack_capacity*acceptance_rate+(MIN(DAMAS_Daily!D323*market_share_C*acceptance_rate*stack_activation,power_mw*hours_per_day,capacity_mwh))*DAMAS_Daily!F323*activation_mult_C),"aFRR+","aFRR-")</f>
        <v/>
      </c>
      <c r="D323" s="43">
        <f>IF(C323="aFRR+",damas_afrr_up*capacity_mult_C,damas_afrr_down*capacity_mult_C)</f>
        <v/>
      </c>
      <c r="E323" s="44">
        <f>acceptance_rate</f>
        <v/>
      </c>
      <c r="F323" s="23">
        <f>IF(C323="aFRR+",power_mw*hours_per_day*damas_afrr_up*capacity_mult_C*stack_capacity*acceptance_rate,power_mw*hours_per_day*damas_afrr_down*capacity_mult_C*stack_capacity*acceptance_rate)</f>
        <v/>
      </c>
      <c r="G323" s="42">
        <f>IF(C323="aFRR+",DAMAS_Daily!I323,DAMAS_Daily!J323)</f>
        <v/>
      </c>
      <c r="H323" s="43">
        <f>IF(C323="aFRR+",DAMAS_Daily!E323,DAMAS_Daily!F323)</f>
        <v/>
      </c>
      <c r="I323" s="43">
        <f>IF(C323="aFRR+",DAMAS_Daily!G323,DAMAS_Daily!H323)</f>
        <v/>
      </c>
      <c r="J323" s="45">
        <f>IF(C323="aFRR+",DAMAS_Daily!C323,DAMAS_Daily!D323)</f>
        <v/>
      </c>
      <c r="K323" s="45">
        <f>IF(C323="aFRR+",MIN(DAMAS_Daily!C323*market_share_C*acceptance_rate*stack_activation,power_mw*hours_per_day,capacity_mwh),MIN(DAMAS_Daily!D323*market_share_C*acceptance_rate*stack_activation,power_mw*hours_per_day,capacity_mwh))</f>
        <v/>
      </c>
      <c r="L323" s="42">
        <f>IF(K323&gt;=capacity_mwh-0.01,"yes","no")</f>
        <v/>
      </c>
      <c r="M323" s="23">
        <f>IF(C323="aFRR+",(MIN(DAMAS_Daily!C323*market_share_C*acceptance_rate*stack_activation,power_mw*hours_per_day,capacity_mwh))*DAMAS_Daily!E323*activation_mult_C,(MIN(DAMAS_Daily!D323*market_share_C*acceptance_rate*stack_activation,power_mw*hours_per_day,capacity_mwh))*DAMAS_Daily!F323*activation_mult_C)</f>
        <v/>
      </c>
      <c r="N323" s="24">
        <f>F323+M323</f>
        <v/>
      </c>
    </row>
    <row r="324">
      <c r="A324" s="41">
        <f>DAMAS_Daily!A324</f>
        <v/>
      </c>
      <c r="B324" s="42">
        <f>DAMAS_Daily!B324</f>
        <v/>
      </c>
      <c r="C324" s="42">
        <f>IF((power_mw*hours_per_day*damas_afrr_up*capacity_mult_C*stack_capacity*acceptance_rate+(MIN(DAMAS_Daily!C324*market_share_C*acceptance_rate*stack_activation,power_mw*hours_per_day,capacity_mwh))*DAMAS_Daily!E324*activation_mult_C)&gt;=(power_mw*hours_per_day*damas_afrr_down*capacity_mult_C*stack_capacity*acceptance_rate+(MIN(DAMAS_Daily!D324*market_share_C*acceptance_rate*stack_activation,power_mw*hours_per_day,capacity_mwh))*DAMAS_Daily!F324*activation_mult_C),"aFRR+","aFRR-")</f>
        <v/>
      </c>
      <c r="D324" s="43">
        <f>IF(C324="aFRR+",damas_afrr_up*capacity_mult_C,damas_afrr_down*capacity_mult_C)</f>
        <v/>
      </c>
      <c r="E324" s="44">
        <f>acceptance_rate</f>
        <v/>
      </c>
      <c r="F324" s="23">
        <f>IF(C324="aFRR+",power_mw*hours_per_day*damas_afrr_up*capacity_mult_C*stack_capacity*acceptance_rate,power_mw*hours_per_day*damas_afrr_down*capacity_mult_C*stack_capacity*acceptance_rate)</f>
        <v/>
      </c>
      <c r="G324" s="42">
        <f>IF(C324="aFRR+",DAMAS_Daily!I324,DAMAS_Daily!J324)</f>
        <v/>
      </c>
      <c r="H324" s="43">
        <f>IF(C324="aFRR+",DAMAS_Daily!E324,DAMAS_Daily!F324)</f>
        <v/>
      </c>
      <c r="I324" s="43">
        <f>IF(C324="aFRR+",DAMAS_Daily!G324,DAMAS_Daily!H324)</f>
        <v/>
      </c>
      <c r="J324" s="45">
        <f>IF(C324="aFRR+",DAMAS_Daily!C324,DAMAS_Daily!D324)</f>
        <v/>
      </c>
      <c r="K324" s="45">
        <f>IF(C324="aFRR+",MIN(DAMAS_Daily!C324*market_share_C*acceptance_rate*stack_activation,power_mw*hours_per_day,capacity_mwh),MIN(DAMAS_Daily!D324*market_share_C*acceptance_rate*stack_activation,power_mw*hours_per_day,capacity_mwh))</f>
        <v/>
      </c>
      <c r="L324" s="42">
        <f>IF(K324&gt;=capacity_mwh-0.01,"yes","no")</f>
        <v/>
      </c>
      <c r="M324" s="23">
        <f>IF(C324="aFRR+",(MIN(DAMAS_Daily!C324*market_share_C*acceptance_rate*stack_activation,power_mw*hours_per_day,capacity_mwh))*DAMAS_Daily!E324*activation_mult_C,(MIN(DAMAS_Daily!D324*market_share_C*acceptance_rate*stack_activation,power_mw*hours_per_day,capacity_mwh))*DAMAS_Daily!F324*activation_mult_C)</f>
        <v/>
      </c>
      <c r="N324" s="24">
        <f>F324+M324</f>
        <v/>
      </c>
    </row>
    <row r="325">
      <c r="A325" s="41">
        <f>DAMAS_Daily!A325</f>
        <v/>
      </c>
      <c r="B325" s="42">
        <f>DAMAS_Daily!B325</f>
        <v/>
      </c>
      <c r="C325" s="42">
        <f>IF((power_mw*hours_per_day*damas_afrr_up*capacity_mult_C*stack_capacity*acceptance_rate+(MIN(DAMAS_Daily!C325*market_share_C*acceptance_rate*stack_activation,power_mw*hours_per_day,capacity_mwh))*DAMAS_Daily!E325*activation_mult_C)&gt;=(power_mw*hours_per_day*damas_afrr_down*capacity_mult_C*stack_capacity*acceptance_rate+(MIN(DAMAS_Daily!D325*market_share_C*acceptance_rate*stack_activation,power_mw*hours_per_day,capacity_mwh))*DAMAS_Daily!F325*activation_mult_C),"aFRR+","aFRR-")</f>
        <v/>
      </c>
      <c r="D325" s="43">
        <f>IF(C325="aFRR+",damas_afrr_up*capacity_mult_C,damas_afrr_down*capacity_mult_C)</f>
        <v/>
      </c>
      <c r="E325" s="44">
        <f>acceptance_rate</f>
        <v/>
      </c>
      <c r="F325" s="23">
        <f>IF(C325="aFRR+",power_mw*hours_per_day*damas_afrr_up*capacity_mult_C*stack_capacity*acceptance_rate,power_mw*hours_per_day*damas_afrr_down*capacity_mult_C*stack_capacity*acceptance_rate)</f>
        <v/>
      </c>
      <c r="G325" s="42">
        <f>IF(C325="aFRR+",DAMAS_Daily!I325,DAMAS_Daily!J325)</f>
        <v/>
      </c>
      <c r="H325" s="43">
        <f>IF(C325="aFRR+",DAMAS_Daily!E325,DAMAS_Daily!F325)</f>
        <v/>
      </c>
      <c r="I325" s="43">
        <f>IF(C325="aFRR+",DAMAS_Daily!G325,DAMAS_Daily!H325)</f>
        <v/>
      </c>
      <c r="J325" s="45">
        <f>IF(C325="aFRR+",DAMAS_Daily!C325,DAMAS_Daily!D325)</f>
        <v/>
      </c>
      <c r="K325" s="45">
        <f>IF(C325="aFRR+",MIN(DAMAS_Daily!C325*market_share_C*acceptance_rate*stack_activation,power_mw*hours_per_day,capacity_mwh),MIN(DAMAS_Daily!D325*market_share_C*acceptance_rate*stack_activation,power_mw*hours_per_day,capacity_mwh))</f>
        <v/>
      </c>
      <c r="L325" s="42">
        <f>IF(K325&gt;=capacity_mwh-0.01,"yes","no")</f>
        <v/>
      </c>
      <c r="M325" s="23">
        <f>IF(C325="aFRR+",(MIN(DAMAS_Daily!C325*market_share_C*acceptance_rate*stack_activation,power_mw*hours_per_day,capacity_mwh))*DAMAS_Daily!E325*activation_mult_C,(MIN(DAMAS_Daily!D325*market_share_C*acceptance_rate*stack_activation,power_mw*hours_per_day,capacity_mwh))*DAMAS_Daily!F325*activation_mult_C)</f>
        <v/>
      </c>
      <c r="N325" s="24">
        <f>F325+M325</f>
        <v/>
      </c>
    </row>
    <row r="326">
      <c r="A326" s="41">
        <f>DAMAS_Daily!A326</f>
        <v/>
      </c>
      <c r="B326" s="42">
        <f>DAMAS_Daily!B326</f>
        <v/>
      </c>
      <c r="C326" s="42">
        <f>IF((power_mw*hours_per_day*damas_afrr_up*capacity_mult_C*stack_capacity*acceptance_rate+(MIN(DAMAS_Daily!C326*market_share_C*acceptance_rate*stack_activation,power_mw*hours_per_day,capacity_mwh))*DAMAS_Daily!E326*activation_mult_C)&gt;=(power_mw*hours_per_day*damas_afrr_down*capacity_mult_C*stack_capacity*acceptance_rate+(MIN(DAMAS_Daily!D326*market_share_C*acceptance_rate*stack_activation,power_mw*hours_per_day,capacity_mwh))*DAMAS_Daily!F326*activation_mult_C),"aFRR+","aFRR-")</f>
        <v/>
      </c>
      <c r="D326" s="43">
        <f>IF(C326="aFRR+",damas_afrr_up*capacity_mult_C,damas_afrr_down*capacity_mult_C)</f>
        <v/>
      </c>
      <c r="E326" s="44">
        <f>acceptance_rate</f>
        <v/>
      </c>
      <c r="F326" s="23">
        <f>IF(C326="aFRR+",power_mw*hours_per_day*damas_afrr_up*capacity_mult_C*stack_capacity*acceptance_rate,power_mw*hours_per_day*damas_afrr_down*capacity_mult_C*stack_capacity*acceptance_rate)</f>
        <v/>
      </c>
      <c r="G326" s="42">
        <f>IF(C326="aFRR+",DAMAS_Daily!I326,DAMAS_Daily!J326)</f>
        <v/>
      </c>
      <c r="H326" s="43">
        <f>IF(C326="aFRR+",DAMAS_Daily!E326,DAMAS_Daily!F326)</f>
        <v/>
      </c>
      <c r="I326" s="43">
        <f>IF(C326="aFRR+",DAMAS_Daily!G326,DAMAS_Daily!H326)</f>
        <v/>
      </c>
      <c r="J326" s="45">
        <f>IF(C326="aFRR+",DAMAS_Daily!C326,DAMAS_Daily!D326)</f>
        <v/>
      </c>
      <c r="K326" s="45">
        <f>IF(C326="aFRR+",MIN(DAMAS_Daily!C326*market_share_C*acceptance_rate*stack_activation,power_mw*hours_per_day,capacity_mwh),MIN(DAMAS_Daily!D326*market_share_C*acceptance_rate*stack_activation,power_mw*hours_per_day,capacity_mwh))</f>
        <v/>
      </c>
      <c r="L326" s="42">
        <f>IF(K326&gt;=capacity_mwh-0.01,"yes","no")</f>
        <v/>
      </c>
      <c r="M326" s="23">
        <f>IF(C326="aFRR+",(MIN(DAMAS_Daily!C326*market_share_C*acceptance_rate*stack_activation,power_mw*hours_per_day,capacity_mwh))*DAMAS_Daily!E326*activation_mult_C,(MIN(DAMAS_Daily!D326*market_share_C*acceptance_rate*stack_activation,power_mw*hours_per_day,capacity_mwh))*DAMAS_Daily!F326*activation_mult_C)</f>
        <v/>
      </c>
      <c r="N326" s="24">
        <f>F326+M326</f>
        <v/>
      </c>
    </row>
    <row r="327">
      <c r="A327" s="41">
        <f>DAMAS_Daily!A327</f>
        <v/>
      </c>
      <c r="B327" s="42">
        <f>DAMAS_Daily!B327</f>
        <v/>
      </c>
      <c r="C327" s="42">
        <f>IF((power_mw*hours_per_day*damas_afrr_up*capacity_mult_C*stack_capacity*acceptance_rate+(MIN(DAMAS_Daily!C327*market_share_C*acceptance_rate*stack_activation,power_mw*hours_per_day,capacity_mwh))*DAMAS_Daily!E327*activation_mult_C)&gt;=(power_mw*hours_per_day*damas_afrr_down*capacity_mult_C*stack_capacity*acceptance_rate+(MIN(DAMAS_Daily!D327*market_share_C*acceptance_rate*stack_activation,power_mw*hours_per_day,capacity_mwh))*DAMAS_Daily!F327*activation_mult_C),"aFRR+","aFRR-")</f>
        <v/>
      </c>
      <c r="D327" s="43">
        <f>IF(C327="aFRR+",damas_afrr_up*capacity_mult_C,damas_afrr_down*capacity_mult_C)</f>
        <v/>
      </c>
      <c r="E327" s="44">
        <f>acceptance_rate</f>
        <v/>
      </c>
      <c r="F327" s="23">
        <f>IF(C327="aFRR+",power_mw*hours_per_day*damas_afrr_up*capacity_mult_C*stack_capacity*acceptance_rate,power_mw*hours_per_day*damas_afrr_down*capacity_mult_C*stack_capacity*acceptance_rate)</f>
        <v/>
      </c>
      <c r="G327" s="42">
        <f>IF(C327="aFRR+",DAMAS_Daily!I327,DAMAS_Daily!J327)</f>
        <v/>
      </c>
      <c r="H327" s="43">
        <f>IF(C327="aFRR+",DAMAS_Daily!E327,DAMAS_Daily!F327)</f>
        <v/>
      </c>
      <c r="I327" s="43">
        <f>IF(C327="aFRR+",DAMAS_Daily!G327,DAMAS_Daily!H327)</f>
        <v/>
      </c>
      <c r="J327" s="45">
        <f>IF(C327="aFRR+",DAMAS_Daily!C327,DAMAS_Daily!D327)</f>
        <v/>
      </c>
      <c r="K327" s="45">
        <f>IF(C327="aFRR+",MIN(DAMAS_Daily!C327*market_share_C*acceptance_rate*stack_activation,power_mw*hours_per_day,capacity_mwh),MIN(DAMAS_Daily!D327*market_share_C*acceptance_rate*stack_activation,power_mw*hours_per_day,capacity_mwh))</f>
        <v/>
      </c>
      <c r="L327" s="42">
        <f>IF(K327&gt;=capacity_mwh-0.01,"yes","no")</f>
        <v/>
      </c>
      <c r="M327" s="23">
        <f>IF(C327="aFRR+",(MIN(DAMAS_Daily!C327*market_share_C*acceptance_rate*stack_activation,power_mw*hours_per_day,capacity_mwh))*DAMAS_Daily!E327*activation_mult_C,(MIN(DAMAS_Daily!D327*market_share_C*acceptance_rate*stack_activation,power_mw*hours_per_day,capacity_mwh))*DAMAS_Daily!F327*activation_mult_C)</f>
        <v/>
      </c>
      <c r="N327" s="24">
        <f>F327+M327</f>
        <v/>
      </c>
    </row>
    <row r="328">
      <c r="A328" s="41">
        <f>DAMAS_Daily!A328</f>
        <v/>
      </c>
      <c r="B328" s="42">
        <f>DAMAS_Daily!B328</f>
        <v/>
      </c>
      <c r="C328" s="42">
        <f>IF((power_mw*hours_per_day*damas_afrr_up*capacity_mult_C*stack_capacity*acceptance_rate+(MIN(DAMAS_Daily!C328*market_share_C*acceptance_rate*stack_activation,power_mw*hours_per_day,capacity_mwh))*DAMAS_Daily!E328*activation_mult_C)&gt;=(power_mw*hours_per_day*damas_afrr_down*capacity_mult_C*stack_capacity*acceptance_rate+(MIN(DAMAS_Daily!D328*market_share_C*acceptance_rate*stack_activation,power_mw*hours_per_day,capacity_mwh))*DAMAS_Daily!F328*activation_mult_C),"aFRR+","aFRR-")</f>
        <v/>
      </c>
      <c r="D328" s="43">
        <f>IF(C328="aFRR+",damas_afrr_up*capacity_mult_C,damas_afrr_down*capacity_mult_C)</f>
        <v/>
      </c>
      <c r="E328" s="44">
        <f>acceptance_rate</f>
        <v/>
      </c>
      <c r="F328" s="23">
        <f>IF(C328="aFRR+",power_mw*hours_per_day*damas_afrr_up*capacity_mult_C*stack_capacity*acceptance_rate,power_mw*hours_per_day*damas_afrr_down*capacity_mult_C*stack_capacity*acceptance_rate)</f>
        <v/>
      </c>
      <c r="G328" s="42">
        <f>IF(C328="aFRR+",DAMAS_Daily!I328,DAMAS_Daily!J328)</f>
        <v/>
      </c>
      <c r="H328" s="43">
        <f>IF(C328="aFRR+",DAMAS_Daily!E328,DAMAS_Daily!F328)</f>
        <v/>
      </c>
      <c r="I328" s="43">
        <f>IF(C328="aFRR+",DAMAS_Daily!G328,DAMAS_Daily!H328)</f>
        <v/>
      </c>
      <c r="J328" s="45">
        <f>IF(C328="aFRR+",DAMAS_Daily!C328,DAMAS_Daily!D328)</f>
        <v/>
      </c>
      <c r="K328" s="45">
        <f>IF(C328="aFRR+",MIN(DAMAS_Daily!C328*market_share_C*acceptance_rate*stack_activation,power_mw*hours_per_day,capacity_mwh),MIN(DAMAS_Daily!D328*market_share_C*acceptance_rate*stack_activation,power_mw*hours_per_day,capacity_mwh))</f>
        <v/>
      </c>
      <c r="L328" s="42">
        <f>IF(K328&gt;=capacity_mwh-0.01,"yes","no")</f>
        <v/>
      </c>
      <c r="M328" s="23">
        <f>IF(C328="aFRR+",(MIN(DAMAS_Daily!C328*market_share_C*acceptance_rate*stack_activation,power_mw*hours_per_day,capacity_mwh))*DAMAS_Daily!E328*activation_mult_C,(MIN(DAMAS_Daily!D328*market_share_C*acceptance_rate*stack_activation,power_mw*hours_per_day,capacity_mwh))*DAMAS_Daily!F328*activation_mult_C)</f>
        <v/>
      </c>
      <c r="N328" s="24">
        <f>F328+M328</f>
        <v/>
      </c>
    </row>
    <row r="329">
      <c r="A329" s="41">
        <f>DAMAS_Daily!A329</f>
        <v/>
      </c>
      <c r="B329" s="42">
        <f>DAMAS_Daily!B329</f>
        <v/>
      </c>
      <c r="C329" s="42">
        <f>IF((power_mw*hours_per_day*damas_afrr_up*capacity_mult_C*stack_capacity*acceptance_rate+(MIN(DAMAS_Daily!C329*market_share_C*acceptance_rate*stack_activation,power_mw*hours_per_day,capacity_mwh))*DAMAS_Daily!E329*activation_mult_C)&gt;=(power_mw*hours_per_day*damas_afrr_down*capacity_mult_C*stack_capacity*acceptance_rate+(MIN(DAMAS_Daily!D329*market_share_C*acceptance_rate*stack_activation,power_mw*hours_per_day,capacity_mwh))*DAMAS_Daily!F329*activation_mult_C),"aFRR+","aFRR-")</f>
        <v/>
      </c>
      <c r="D329" s="43">
        <f>IF(C329="aFRR+",damas_afrr_up*capacity_mult_C,damas_afrr_down*capacity_mult_C)</f>
        <v/>
      </c>
      <c r="E329" s="44">
        <f>acceptance_rate</f>
        <v/>
      </c>
      <c r="F329" s="23">
        <f>IF(C329="aFRR+",power_mw*hours_per_day*damas_afrr_up*capacity_mult_C*stack_capacity*acceptance_rate,power_mw*hours_per_day*damas_afrr_down*capacity_mult_C*stack_capacity*acceptance_rate)</f>
        <v/>
      </c>
      <c r="G329" s="42">
        <f>IF(C329="aFRR+",DAMAS_Daily!I329,DAMAS_Daily!J329)</f>
        <v/>
      </c>
      <c r="H329" s="43">
        <f>IF(C329="aFRR+",DAMAS_Daily!E329,DAMAS_Daily!F329)</f>
        <v/>
      </c>
      <c r="I329" s="43">
        <f>IF(C329="aFRR+",DAMAS_Daily!G329,DAMAS_Daily!H329)</f>
        <v/>
      </c>
      <c r="J329" s="45">
        <f>IF(C329="aFRR+",DAMAS_Daily!C329,DAMAS_Daily!D329)</f>
        <v/>
      </c>
      <c r="K329" s="45">
        <f>IF(C329="aFRR+",MIN(DAMAS_Daily!C329*market_share_C*acceptance_rate*stack_activation,power_mw*hours_per_day,capacity_mwh),MIN(DAMAS_Daily!D329*market_share_C*acceptance_rate*stack_activation,power_mw*hours_per_day,capacity_mwh))</f>
        <v/>
      </c>
      <c r="L329" s="42">
        <f>IF(K329&gt;=capacity_mwh-0.01,"yes","no")</f>
        <v/>
      </c>
      <c r="M329" s="23">
        <f>IF(C329="aFRR+",(MIN(DAMAS_Daily!C329*market_share_C*acceptance_rate*stack_activation,power_mw*hours_per_day,capacity_mwh))*DAMAS_Daily!E329*activation_mult_C,(MIN(DAMAS_Daily!D329*market_share_C*acceptance_rate*stack_activation,power_mw*hours_per_day,capacity_mwh))*DAMAS_Daily!F329*activation_mult_C)</f>
        <v/>
      </c>
      <c r="N329" s="24">
        <f>F329+M329</f>
        <v/>
      </c>
    </row>
    <row r="330">
      <c r="A330" s="41">
        <f>DAMAS_Daily!A330</f>
        <v/>
      </c>
      <c r="B330" s="42">
        <f>DAMAS_Daily!B330</f>
        <v/>
      </c>
      <c r="C330" s="42">
        <f>IF((power_mw*hours_per_day*damas_afrr_up*capacity_mult_C*stack_capacity*acceptance_rate+(MIN(DAMAS_Daily!C330*market_share_C*acceptance_rate*stack_activation,power_mw*hours_per_day,capacity_mwh))*DAMAS_Daily!E330*activation_mult_C)&gt;=(power_mw*hours_per_day*damas_afrr_down*capacity_mult_C*stack_capacity*acceptance_rate+(MIN(DAMAS_Daily!D330*market_share_C*acceptance_rate*stack_activation,power_mw*hours_per_day,capacity_mwh))*DAMAS_Daily!F330*activation_mult_C),"aFRR+","aFRR-")</f>
        <v/>
      </c>
      <c r="D330" s="43">
        <f>IF(C330="aFRR+",damas_afrr_up*capacity_mult_C,damas_afrr_down*capacity_mult_C)</f>
        <v/>
      </c>
      <c r="E330" s="44">
        <f>acceptance_rate</f>
        <v/>
      </c>
      <c r="F330" s="23">
        <f>IF(C330="aFRR+",power_mw*hours_per_day*damas_afrr_up*capacity_mult_C*stack_capacity*acceptance_rate,power_mw*hours_per_day*damas_afrr_down*capacity_mult_C*stack_capacity*acceptance_rate)</f>
        <v/>
      </c>
      <c r="G330" s="42">
        <f>IF(C330="aFRR+",DAMAS_Daily!I330,DAMAS_Daily!J330)</f>
        <v/>
      </c>
      <c r="H330" s="43">
        <f>IF(C330="aFRR+",DAMAS_Daily!E330,DAMAS_Daily!F330)</f>
        <v/>
      </c>
      <c r="I330" s="43">
        <f>IF(C330="aFRR+",DAMAS_Daily!G330,DAMAS_Daily!H330)</f>
        <v/>
      </c>
      <c r="J330" s="45">
        <f>IF(C330="aFRR+",DAMAS_Daily!C330,DAMAS_Daily!D330)</f>
        <v/>
      </c>
      <c r="K330" s="45">
        <f>IF(C330="aFRR+",MIN(DAMAS_Daily!C330*market_share_C*acceptance_rate*stack_activation,power_mw*hours_per_day,capacity_mwh),MIN(DAMAS_Daily!D330*market_share_C*acceptance_rate*stack_activation,power_mw*hours_per_day,capacity_mwh))</f>
        <v/>
      </c>
      <c r="L330" s="42">
        <f>IF(K330&gt;=capacity_mwh-0.01,"yes","no")</f>
        <v/>
      </c>
      <c r="M330" s="23">
        <f>IF(C330="aFRR+",(MIN(DAMAS_Daily!C330*market_share_C*acceptance_rate*stack_activation,power_mw*hours_per_day,capacity_mwh))*DAMAS_Daily!E330*activation_mult_C,(MIN(DAMAS_Daily!D330*market_share_C*acceptance_rate*stack_activation,power_mw*hours_per_day,capacity_mwh))*DAMAS_Daily!F330*activation_mult_C)</f>
        <v/>
      </c>
      <c r="N330" s="24">
        <f>F330+M330</f>
        <v/>
      </c>
    </row>
    <row r="331">
      <c r="A331" s="41">
        <f>DAMAS_Daily!A331</f>
        <v/>
      </c>
      <c r="B331" s="42">
        <f>DAMAS_Daily!B331</f>
        <v/>
      </c>
      <c r="C331" s="42">
        <f>IF((power_mw*hours_per_day*damas_afrr_up*capacity_mult_C*stack_capacity*acceptance_rate+(MIN(DAMAS_Daily!C331*market_share_C*acceptance_rate*stack_activation,power_mw*hours_per_day,capacity_mwh))*DAMAS_Daily!E331*activation_mult_C)&gt;=(power_mw*hours_per_day*damas_afrr_down*capacity_mult_C*stack_capacity*acceptance_rate+(MIN(DAMAS_Daily!D331*market_share_C*acceptance_rate*stack_activation,power_mw*hours_per_day,capacity_mwh))*DAMAS_Daily!F331*activation_mult_C),"aFRR+","aFRR-")</f>
        <v/>
      </c>
      <c r="D331" s="43">
        <f>IF(C331="aFRR+",damas_afrr_up*capacity_mult_C,damas_afrr_down*capacity_mult_C)</f>
        <v/>
      </c>
      <c r="E331" s="44">
        <f>acceptance_rate</f>
        <v/>
      </c>
      <c r="F331" s="23">
        <f>IF(C331="aFRR+",power_mw*hours_per_day*damas_afrr_up*capacity_mult_C*stack_capacity*acceptance_rate,power_mw*hours_per_day*damas_afrr_down*capacity_mult_C*stack_capacity*acceptance_rate)</f>
        <v/>
      </c>
      <c r="G331" s="42">
        <f>IF(C331="aFRR+",DAMAS_Daily!I331,DAMAS_Daily!J331)</f>
        <v/>
      </c>
      <c r="H331" s="43">
        <f>IF(C331="aFRR+",DAMAS_Daily!E331,DAMAS_Daily!F331)</f>
        <v/>
      </c>
      <c r="I331" s="43">
        <f>IF(C331="aFRR+",DAMAS_Daily!G331,DAMAS_Daily!H331)</f>
        <v/>
      </c>
      <c r="J331" s="45">
        <f>IF(C331="aFRR+",DAMAS_Daily!C331,DAMAS_Daily!D331)</f>
        <v/>
      </c>
      <c r="K331" s="45">
        <f>IF(C331="aFRR+",MIN(DAMAS_Daily!C331*market_share_C*acceptance_rate*stack_activation,power_mw*hours_per_day,capacity_mwh),MIN(DAMAS_Daily!D331*market_share_C*acceptance_rate*stack_activation,power_mw*hours_per_day,capacity_mwh))</f>
        <v/>
      </c>
      <c r="L331" s="42">
        <f>IF(K331&gt;=capacity_mwh-0.01,"yes","no")</f>
        <v/>
      </c>
      <c r="M331" s="23">
        <f>IF(C331="aFRR+",(MIN(DAMAS_Daily!C331*market_share_C*acceptance_rate*stack_activation,power_mw*hours_per_day,capacity_mwh))*DAMAS_Daily!E331*activation_mult_C,(MIN(DAMAS_Daily!D331*market_share_C*acceptance_rate*stack_activation,power_mw*hours_per_day,capacity_mwh))*DAMAS_Daily!F331*activation_mult_C)</f>
        <v/>
      </c>
      <c r="N331" s="24">
        <f>F331+M331</f>
        <v/>
      </c>
    </row>
    <row r="332">
      <c r="A332" s="41">
        <f>DAMAS_Daily!A332</f>
        <v/>
      </c>
      <c r="B332" s="42">
        <f>DAMAS_Daily!B332</f>
        <v/>
      </c>
      <c r="C332" s="42">
        <f>IF((power_mw*hours_per_day*damas_afrr_up*capacity_mult_C*stack_capacity*acceptance_rate+(MIN(DAMAS_Daily!C332*market_share_C*acceptance_rate*stack_activation,power_mw*hours_per_day,capacity_mwh))*DAMAS_Daily!E332*activation_mult_C)&gt;=(power_mw*hours_per_day*damas_afrr_down*capacity_mult_C*stack_capacity*acceptance_rate+(MIN(DAMAS_Daily!D332*market_share_C*acceptance_rate*stack_activation,power_mw*hours_per_day,capacity_mwh))*DAMAS_Daily!F332*activation_mult_C),"aFRR+","aFRR-")</f>
        <v/>
      </c>
      <c r="D332" s="43">
        <f>IF(C332="aFRR+",damas_afrr_up*capacity_mult_C,damas_afrr_down*capacity_mult_C)</f>
        <v/>
      </c>
      <c r="E332" s="44">
        <f>acceptance_rate</f>
        <v/>
      </c>
      <c r="F332" s="23">
        <f>IF(C332="aFRR+",power_mw*hours_per_day*damas_afrr_up*capacity_mult_C*stack_capacity*acceptance_rate,power_mw*hours_per_day*damas_afrr_down*capacity_mult_C*stack_capacity*acceptance_rate)</f>
        <v/>
      </c>
      <c r="G332" s="42">
        <f>IF(C332="aFRR+",DAMAS_Daily!I332,DAMAS_Daily!J332)</f>
        <v/>
      </c>
      <c r="H332" s="43">
        <f>IF(C332="aFRR+",DAMAS_Daily!E332,DAMAS_Daily!F332)</f>
        <v/>
      </c>
      <c r="I332" s="43">
        <f>IF(C332="aFRR+",DAMAS_Daily!G332,DAMAS_Daily!H332)</f>
        <v/>
      </c>
      <c r="J332" s="45">
        <f>IF(C332="aFRR+",DAMAS_Daily!C332,DAMAS_Daily!D332)</f>
        <v/>
      </c>
      <c r="K332" s="45">
        <f>IF(C332="aFRR+",MIN(DAMAS_Daily!C332*market_share_C*acceptance_rate*stack_activation,power_mw*hours_per_day,capacity_mwh),MIN(DAMAS_Daily!D332*market_share_C*acceptance_rate*stack_activation,power_mw*hours_per_day,capacity_mwh))</f>
        <v/>
      </c>
      <c r="L332" s="42">
        <f>IF(K332&gt;=capacity_mwh-0.01,"yes","no")</f>
        <v/>
      </c>
      <c r="M332" s="23">
        <f>IF(C332="aFRR+",(MIN(DAMAS_Daily!C332*market_share_C*acceptance_rate*stack_activation,power_mw*hours_per_day,capacity_mwh))*DAMAS_Daily!E332*activation_mult_C,(MIN(DAMAS_Daily!D332*market_share_C*acceptance_rate*stack_activation,power_mw*hours_per_day,capacity_mwh))*DAMAS_Daily!F332*activation_mult_C)</f>
        <v/>
      </c>
      <c r="N332" s="24">
        <f>F332+M332</f>
        <v/>
      </c>
    </row>
    <row r="333">
      <c r="A333" s="41">
        <f>DAMAS_Daily!A333</f>
        <v/>
      </c>
      <c r="B333" s="42">
        <f>DAMAS_Daily!B333</f>
        <v/>
      </c>
      <c r="C333" s="42">
        <f>IF((power_mw*hours_per_day*damas_afrr_up*capacity_mult_C*stack_capacity*acceptance_rate+(MIN(DAMAS_Daily!C333*market_share_C*acceptance_rate*stack_activation,power_mw*hours_per_day,capacity_mwh))*DAMAS_Daily!E333*activation_mult_C)&gt;=(power_mw*hours_per_day*damas_afrr_down*capacity_mult_C*stack_capacity*acceptance_rate+(MIN(DAMAS_Daily!D333*market_share_C*acceptance_rate*stack_activation,power_mw*hours_per_day,capacity_mwh))*DAMAS_Daily!F333*activation_mult_C),"aFRR+","aFRR-")</f>
        <v/>
      </c>
      <c r="D333" s="43">
        <f>IF(C333="aFRR+",damas_afrr_up*capacity_mult_C,damas_afrr_down*capacity_mult_C)</f>
        <v/>
      </c>
      <c r="E333" s="44">
        <f>acceptance_rate</f>
        <v/>
      </c>
      <c r="F333" s="23">
        <f>IF(C333="aFRR+",power_mw*hours_per_day*damas_afrr_up*capacity_mult_C*stack_capacity*acceptance_rate,power_mw*hours_per_day*damas_afrr_down*capacity_mult_C*stack_capacity*acceptance_rate)</f>
        <v/>
      </c>
      <c r="G333" s="42">
        <f>IF(C333="aFRR+",DAMAS_Daily!I333,DAMAS_Daily!J333)</f>
        <v/>
      </c>
      <c r="H333" s="43">
        <f>IF(C333="aFRR+",DAMAS_Daily!E333,DAMAS_Daily!F333)</f>
        <v/>
      </c>
      <c r="I333" s="43">
        <f>IF(C333="aFRR+",DAMAS_Daily!G333,DAMAS_Daily!H333)</f>
        <v/>
      </c>
      <c r="J333" s="45">
        <f>IF(C333="aFRR+",DAMAS_Daily!C333,DAMAS_Daily!D333)</f>
        <v/>
      </c>
      <c r="K333" s="45">
        <f>IF(C333="aFRR+",MIN(DAMAS_Daily!C333*market_share_C*acceptance_rate*stack_activation,power_mw*hours_per_day,capacity_mwh),MIN(DAMAS_Daily!D333*market_share_C*acceptance_rate*stack_activation,power_mw*hours_per_day,capacity_mwh))</f>
        <v/>
      </c>
      <c r="L333" s="42">
        <f>IF(K333&gt;=capacity_mwh-0.01,"yes","no")</f>
        <v/>
      </c>
      <c r="M333" s="23">
        <f>IF(C333="aFRR+",(MIN(DAMAS_Daily!C333*market_share_C*acceptance_rate*stack_activation,power_mw*hours_per_day,capacity_mwh))*DAMAS_Daily!E333*activation_mult_C,(MIN(DAMAS_Daily!D333*market_share_C*acceptance_rate*stack_activation,power_mw*hours_per_day,capacity_mwh))*DAMAS_Daily!F333*activation_mult_C)</f>
        <v/>
      </c>
      <c r="N333" s="24">
        <f>F333+M333</f>
        <v/>
      </c>
    </row>
    <row r="334">
      <c r="A334" s="41">
        <f>DAMAS_Daily!A334</f>
        <v/>
      </c>
      <c r="B334" s="42">
        <f>DAMAS_Daily!B334</f>
        <v/>
      </c>
      <c r="C334" s="42">
        <f>IF((power_mw*hours_per_day*damas_afrr_up*capacity_mult_C*stack_capacity*acceptance_rate+(MIN(DAMAS_Daily!C334*market_share_C*acceptance_rate*stack_activation,power_mw*hours_per_day,capacity_mwh))*DAMAS_Daily!E334*activation_mult_C)&gt;=(power_mw*hours_per_day*damas_afrr_down*capacity_mult_C*stack_capacity*acceptance_rate+(MIN(DAMAS_Daily!D334*market_share_C*acceptance_rate*stack_activation,power_mw*hours_per_day,capacity_mwh))*DAMAS_Daily!F334*activation_mult_C),"aFRR+","aFRR-")</f>
        <v/>
      </c>
      <c r="D334" s="43">
        <f>IF(C334="aFRR+",damas_afrr_up*capacity_mult_C,damas_afrr_down*capacity_mult_C)</f>
        <v/>
      </c>
      <c r="E334" s="44">
        <f>acceptance_rate</f>
        <v/>
      </c>
      <c r="F334" s="23">
        <f>IF(C334="aFRR+",power_mw*hours_per_day*damas_afrr_up*capacity_mult_C*stack_capacity*acceptance_rate,power_mw*hours_per_day*damas_afrr_down*capacity_mult_C*stack_capacity*acceptance_rate)</f>
        <v/>
      </c>
      <c r="G334" s="42">
        <f>IF(C334="aFRR+",DAMAS_Daily!I334,DAMAS_Daily!J334)</f>
        <v/>
      </c>
      <c r="H334" s="43">
        <f>IF(C334="aFRR+",DAMAS_Daily!E334,DAMAS_Daily!F334)</f>
        <v/>
      </c>
      <c r="I334" s="43">
        <f>IF(C334="aFRR+",DAMAS_Daily!G334,DAMAS_Daily!H334)</f>
        <v/>
      </c>
      <c r="J334" s="45">
        <f>IF(C334="aFRR+",DAMAS_Daily!C334,DAMAS_Daily!D334)</f>
        <v/>
      </c>
      <c r="K334" s="45">
        <f>IF(C334="aFRR+",MIN(DAMAS_Daily!C334*market_share_C*acceptance_rate*stack_activation,power_mw*hours_per_day,capacity_mwh),MIN(DAMAS_Daily!D334*market_share_C*acceptance_rate*stack_activation,power_mw*hours_per_day,capacity_mwh))</f>
        <v/>
      </c>
      <c r="L334" s="42">
        <f>IF(K334&gt;=capacity_mwh-0.01,"yes","no")</f>
        <v/>
      </c>
      <c r="M334" s="23">
        <f>IF(C334="aFRR+",(MIN(DAMAS_Daily!C334*market_share_C*acceptance_rate*stack_activation,power_mw*hours_per_day,capacity_mwh))*DAMAS_Daily!E334*activation_mult_C,(MIN(DAMAS_Daily!D334*market_share_C*acceptance_rate*stack_activation,power_mw*hours_per_day,capacity_mwh))*DAMAS_Daily!F334*activation_mult_C)</f>
        <v/>
      </c>
      <c r="N334" s="24">
        <f>F334+M334</f>
        <v/>
      </c>
    </row>
    <row r="335">
      <c r="A335" s="41">
        <f>DAMAS_Daily!A335</f>
        <v/>
      </c>
      <c r="B335" s="42">
        <f>DAMAS_Daily!B335</f>
        <v/>
      </c>
      <c r="C335" s="42">
        <f>IF((power_mw*hours_per_day*damas_afrr_up*capacity_mult_C*stack_capacity*acceptance_rate+(MIN(DAMAS_Daily!C335*market_share_C*acceptance_rate*stack_activation,power_mw*hours_per_day,capacity_mwh))*DAMAS_Daily!E335*activation_mult_C)&gt;=(power_mw*hours_per_day*damas_afrr_down*capacity_mult_C*stack_capacity*acceptance_rate+(MIN(DAMAS_Daily!D335*market_share_C*acceptance_rate*stack_activation,power_mw*hours_per_day,capacity_mwh))*DAMAS_Daily!F335*activation_mult_C),"aFRR+","aFRR-")</f>
        <v/>
      </c>
      <c r="D335" s="43">
        <f>IF(C335="aFRR+",damas_afrr_up*capacity_mult_C,damas_afrr_down*capacity_mult_C)</f>
        <v/>
      </c>
      <c r="E335" s="44">
        <f>acceptance_rate</f>
        <v/>
      </c>
      <c r="F335" s="23">
        <f>IF(C335="aFRR+",power_mw*hours_per_day*damas_afrr_up*capacity_mult_C*stack_capacity*acceptance_rate,power_mw*hours_per_day*damas_afrr_down*capacity_mult_C*stack_capacity*acceptance_rate)</f>
        <v/>
      </c>
      <c r="G335" s="42">
        <f>IF(C335="aFRR+",DAMAS_Daily!I335,DAMAS_Daily!J335)</f>
        <v/>
      </c>
      <c r="H335" s="43">
        <f>IF(C335="aFRR+",DAMAS_Daily!E335,DAMAS_Daily!F335)</f>
        <v/>
      </c>
      <c r="I335" s="43">
        <f>IF(C335="aFRR+",DAMAS_Daily!G335,DAMAS_Daily!H335)</f>
        <v/>
      </c>
      <c r="J335" s="45">
        <f>IF(C335="aFRR+",DAMAS_Daily!C335,DAMAS_Daily!D335)</f>
        <v/>
      </c>
      <c r="K335" s="45">
        <f>IF(C335="aFRR+",MIN(DAMAS_Daily!C335*market_share_C*acceptance_rate*stack_activation,power_mw*hours_per_day,capacity_mwh),MIN(DAMAS_Daily!D335*market_share_C*acceptance_rate*stack_activation,power_mw*hours_per_day,capacity_mwh))</f>
        <v/>
      </c>
      <c r="L335" s="42">
        <f>IF(K335&gt;=capacity_mwh-0.01,"yes","no")</f>
        <v/>
      </c>
      <c r="M335" s="23">
        <f>IF(C335="aFRR+",(MIN(DAMAS_Daily!C335*market_share_C*acceptance_rate*stack_activation,power_mw*hours_per_day,capacity_mwh))*DAMAS_Daily!E335*activation_mult_C,(MIN(DAMAS_Daily!D335*market_share_C*acceptance_rate*stack_activation,power_mw*hours_per_day,capacity_mwh))*DAMAS_Daily!F335*activation_mult_C)</f>
        <v/>
      </c>
      <c r="N335" s="24">
        <f>F335+M335</f>
        <v/>
      </c>
    </row>
    <row r="336">
      <c r="A336" s="41">
        <f>DAMAS_Daily!A336</f>
        <v/>
      </c>
      <c r="B336" s="42">
        <f>DAMAS_Daily!B336</f>
        <v/>
      </c>
      <c r="C336" s="42">
        <f>IF((power_mw*hours_per_day*damas_afrr_up*capacity_mult_C*stack_capacity*acceptance_rate+(MIN(DAMAS_Daily!C336*market_share_C*acceptance_rate*stack_activation,power_mw*hours_per_day,capacity_mwh))*DAMAS_Daily!E336*activation_mult_C)&gt;=(power_mw*hours_per_day*damas_afrr_down*capacity_mult_C*stack_capacity*acceptance_rate+(MIN(DAMAS_Daily!D336*market_share_C*acceptance_rate*stack_activation,power_mw*hours_per_day,capacity_mwh))*DAMAS_Daily!F336*activation_mult_C),"aFRR+","aFRR-")</f>
        <v/>
      </c>
      <c r="D336" s="43">
        <f>IF(C336="aFRR+",damas_afrr_up*capacity_mult_C,damas_afrr_down*capacity_mult_C)</f>
        <v/>
      </c>
      <c r="E336" s="44">
        <f>acceptance_rate</f>
        <v/>
      </c>
      <c r="F336" s="23">
        <f>IF(C336="aFRR+",power_mw*hours_per_day*damas_afrr_up*capacity_mult_C*stack_capacity*acceptance_rate,power_mw*hours_per_day*damas_afrr_down*capacity_mult_C*stack_capacity*acceptance_rate)</f>
        <v/>
      </c>
      <c r="G336" s="42">
        <f>IF(C336="aFRR+",DAMAS_Daily!I336,DAMAS_Daily!J336)</f>
        <v/>
      </c>
      <c r="H336" s="43">
        <f>IF(C336="aFRR+",DAMAS_Daily!E336,DAMAS_Daily!F336)</f>
        <v/>
      </c>
      <c r="I336" s="43">
        <f>IF(C336="aFRR+",DAMAS_Daily!G336,DAMAS_Daily!H336)</f>
        <v/>
      </c>
      <c r="J336" s="45">
        <f>IF(C336="aFRR+",DAMAS_Daily!C336,DAMAS_Daily!D336)</f>
        <v/>
      </c>
      <c r="K336" s="45">
        <f>IF(C336="aFRR+",MIN(DAMAS_Daily!C336*market_share_C*acceptance_rate*stack_activation,power_mw*hours_per_day,capacity_mwh),MIN(DAMAS_Daily!D336*market_share_C*acceptance_rate*stack_activation,power_mw*hours_per_day,capacity_mwh))</f>
        <v/>
      </c>
      <c r="L336" s="42">
        <f>IF(K336&gt;=capacity_mwh-0.01,"yes","no")</f>
        <v/>
      </c>
      <c r="M336" s="23">
        <f>IF(C336="aFRR+",(MIN(DAMAS_Daily!C336*market_share_C*acceptance_rate*stack_activation,power_mw*hours_per_day,capacity_mwh))*DAMAS_Daily!E336*activation_mult_C,(MIN(DAMAS_Daily!D336*market_share_C*acceptance_rate*stack_activation,power_mw*hours_per_day,capacity_mwh))*DAMAS_Daily!F336*activation_mult_C)</f>
        <v/>
      </c>
      <c r="N336" s="24">
        <f>F336+M336</f>
        <v/>
      </c>
    </row>
    <row r="337">
      <c r="A337" s="41">
        <f>DAMAS_Daily!A337</f>
        <v/>
      </c>
      <c r="B337" s="42">
        <f>DAMAS_Daily!B337</f>
        <v/>
      </c>
      <c r="C337" s="42">
        <f>IF((power_mw*hours_per_day*damas_afrr_up*capacity_mult_C*stack_capacity*acceptance_rate+(MIN(DAMAS_Daily!C337*market_share_C*acceptance_rate*stack_activation,power_mw*hours_per_day,capacity_mwh))*DAMAS_Daily!E337*activation_mult_C)&gt;=(power_mw*hours_per_day*damas_afrr_down*capacity_mult_C*stack_capacity*acceptance_rate+(MIN(DAMAS_Daily!D337*market_share_C*acceptance_rate*stack_activation,power_mw*hours_per_day,capacity_mwh))*DAMAS_Daily!F337*activation_mult_C),"aFRR+","aFRR-")</f>
        <v/>
      </c>
      <c r="D337" s="43">
        <f>IF(C337="aFRR+",damas_afrr_up*capacity_mult_C,damas_afrr_down*capacity_mult_C)</f>
        <v/>
      </c>
      <c r="E337" s="44">
        <f>acceptance_rate</f>
        <v/>
      </c>
      <c r="F337" s="23">
        <f>IF(C337="aFRR+",power_mw*hours_per_day*damas_afrr_up*capacity_mult_C*stack_capacity*acceptance_rate,power_mw*hours_per_day*damas_afrr_down*capacity_mult_C*stack_capacity*acceptance_rate)</f>
        <v/>
      </c>
      <c r="G337" s="42">
        <f>IF(C337="aFRR+",DAMAS_Daily!I337,DAMAS_Daily!J337)</f>
        <v/>
      </c>
      <c r="H337" s="43">
        <f>IF(C337="aFRR+",DAMAS_Daily!E337,DAMAS_Daily!F337)</f>
        <v/>
      </c>
      <c r="I337" s="43">
        <f>IF(C337="aFRR+",DAMAS_Daily!G337,DAMAS_Daily!H337)</f>
        <v/>
      </c>
      <c r="J337" s="45">
        <f>IF(C337="aFRR+",DAMAS_Daily!C337,DAMAS_Daily!D337)</f>
        <v/>
      </c>
      <c r="K337" s="45">
        <f>IF(C337="aFRR+",MIN(DAMAS_Daily!C337*market_share_C*acceptance_rate*stack_activation,power_mw*hours_per_day,capacity_mwh),MIN(DAMAS_Daily!D337*market_share_C*acceptance_rate*stack_activation,power_mw*hours_per_day,capacity_mwh))</f>
        <v/>
      </c>
      <c r="L337" s="42">
        <f>IF(K337&gt;=capacity_mwh-0.01,"yes","no")</f>
        <v/>
      </c>
      <c r="M337" s="23">
        <f>IF(C337="aFRR+",(MIN(DAMAS_Daily!C337*market_share_C*acceptance_rate*stack_activation,power_mw*hours_per_day,capacity_mwh))*DAMAS_Daily!E337*activation_mult_C,(MIN(DAMAS_Daily!D337*market_share_C*acceptance_rate*stack_activation,power_mw*hours_per_day,capacity_mwh))*DAMAS_Daily!F337*activation_mult_C)</f>
        <v/>
      </c>
      <c r="N337" s="24">
        <f>F337+M337</f>
        <v/>
      </c>
    </row>
    <row r="338">
      <c r="A338" s="41">
        <f>DAMAS_Daily!A338</f>
        <v/>
      </c>
      <c r="B338" s="42">
        <f>DAMAS_Daily!B338</f>
        <v/>
      </c>
      <c r="C338" s="42">
        <f>IF((power_mw*hours_per_day*damas_afrr_up*capacity_mult_C*stack_capacity*acceptance_rate+(MIN(DAMAS_Daily!C338*market_share_C*acceptance_rate*stack_activation,power_mw*hours_per_day,capacity_mwh))*DAMAS_Daily!E338*activation_mult_C)&gt;=(power_mw*hours_per_day*damas_afrr_down*capacity_mult_C*stack_capacity*acceptance_rate+(MIN(DAMAS_Daily!D338*market_share_C*acceptance_rate*stack_activation,power_mw*hours_per_day,capacity_mwh))*DAMAS_Daily!F338*activation_mult_C),"aFRR+","aFRR-")</f>
        <v/>
      </c>
      <c r="D338" s="43">
        <f>IF(C338="aFRR+",damas_afrr_up*capacity_mult_C,damas_afrr_down*capacity_mult_C)</f>
        <v/>
      </c>
      <c r="E338" s="44">
        <f>acceptance_rate</f>
        <v/>
      </c>
      <c r="F338" s="23">
        <f>IF(C338="aFRR+",power_mw*hours_per_day*damas_afrr_up*capacity_mult_C*stack_capacity*acceptance_rate,power_mw*hours_per_day*damas_afrr_down*capacity_mult_C*stack_capacity*acceptance_rate)</f>
        <v/>
      </c>
      <c r="G338" s="42">
        <f>IF(C338="aFRR+",DAMAS_Daily!I338,DAMAS_Daily!J338)</f>
        <v/>
      </c>
      <c r="H338" s="43">
        <f>IF(C338="aFRR+",DAMAS_Daily!E338,DAMAS_Daily!F338)</f>
        <v/>
      </c>
      <c r="I338" s="43">
        <f>IF(C338="aFRR+",DAMAS_Daily!G338,DAMAS_Daily!H338)</f>
        <v/>
      </c>
      <c r="J338" s="45">
        <f>IF(C338="aFRR+",DAMAS_Daily!C338,DAMAS_Daily!D338)</f>
        <v/>
      </c>
      <c r="K338" s="45">
        <f>IF(C338="aFRR+",MIN(DAMAS_Daily!C338*market_share_C*acceptance_rate*stack_activation,power_mw*hours_per_day,capacity_mwh),MIN(DAMAS_Daily!D338*market_share_C*acceptance_rate*stack_activation,power_mw*hours_per_day,capacity_mwh))</f>
        <v/>
      </c>
      <c r="L338" s="42">
        <f>IF(K338&gt;=capacity_mwh-0.01,"yes","no")</f>
        <v/>
      </c>
      <c r="M338" s="23">
        <f>IF(C338="aFRR+",(MIN(DAMAS_Daily!C338*market_share_C*acceptance_rate*stack_activation,power_mw*hours_per_day,capacity_mwh))*DAMAS_Daily!E338*activation_mult_C,(MIN(DAMAS_Daily!D338*market_share_C*acceptance_rate*stack_activation,power_mw*hours_per_day,capacity_mwh))*DAMAS_Daily!F338*activation_mult_C)</f>
        <v/>
      </c>
      <c r="N338" s="24">
        <f>F338+M338</f>
        <v/>
      </c>
    </row>
    <row r="339">
      <c r="A339" s="41">
        <f>DAMAS_Daily!A339</f>
        <v/>
      </c>
      <c r="B339" s="42">
        <f>DAMAS_Daily!B339</f>
        <v/>
      </c>
      <c r="C339" s="42">
        <f>IF((power_mw*hours_per_day*damas_afrr_up*capacity_mult_C*stack_capacity*acceptance_rate+(MIN(DAMAS_Daily!C339*market_share_C*acceptance_rate*stack_activation,power_mw*hours_per_day,capacity_mwh))*DAMAS_Daily!E339*activation_mult_C)&gt;=(power_mw*hours_per_day*damas_afrr_down*capacity_mult_C*stack_capacity*acceptance_rate+(MIN(DAMAS_Daily!D339*market_share_C*acceptance_rate*stack_activation,power_mw*hours_per_day,capacity_mwh))*DAMAS_Daily!F339*activation_mult_C),"aFRR+","aFRR-")</f>
        <v/>
      </c>
      <c r="D339" s="43">
        <f>IF(C339="aFRR+",damas_afrr_up*capacity_mult_C,damas_afrr_down*capacity_mult_C)</f>
        <v/>
      </c>
      <c r="E339" s="44">
        <f>acceptance_rate</f>
        <v/>
      </c>
      <c r="F339" s="23">
        <f>IF(C339="aFRR+",power_mw*hours_per_day*damas_afrr_up*capacity_mult_C*stack_capacity*acceptance_rate,power_mw*hours_per_day*damas_afrr_down*capacity_mult_C*stack_capacity*acceptance_rate)</f>
        <v/>
      </c>
      <c r="G339" s="42">
        <f>IF(C339="aFRR+",DAMAS_Daily!I339,DAMAS_Daily!J339)</f>
        <v/>
      </c>
      <c r="H339" s="43">
        <f>IF(C339="aFRR+",DAMAS_Daily!E339,DAMAS_Daily!F339)</f>
        <v/>
      </c>
      <c r="I339" s="43">
        <f>IF(C339="aFRR+",DAMAS_Daily!G339,DAMAS_Daily!H339)</f>
        <v/>
      </c>
      <c r="J339" s="45">
        <f>IF(C339="aFRR+",DAMAS_Daily!C339,DAMAS_Daily!D339)</f>
        <v/>
      </c>
      <c r="K339" s="45">
        <f>IF(C339="aFRR+",MIN(DAMAS_Daily!C339*market_share_C*acceptance_rate*stack_activation,power_mw*hours_per_day,capacity_mwh),MIN(DAMAS_Daily!D339*market_share_C*acceptance_rate*stack_activation,power_mw*hours_per_day,capacity_mwh))</f>
        <v/>
      </c>
      <c r="L339" s="42">
        <f>IF(K339&gt;=capacity_mwh-0.01,"yes","no")</f>
        <v/>
      </c>
      <c r="M339" s="23">
        <f>IF(C339="aFRR+",(MIN(DAMAS_Daily!C339*market_share_C*acceptance_rate*stack_activation,power_mw*hours_per_day,capacity_mwh))*DAMAS_Daily!E339*activation_mult_C,(MIN(DAMAS_Daily!D339*market_share_C*acceptance_rate*stack_activation,power_mw*hours_per_day,capacity_mwh))*DAMAS_Daily!F339*activation_mult_C)</f>
        <v/>
      </c>
      <c r="N339" s="24">
        <f>F339+M339</f>
        <v/>
      </c>
    </row>
    <row r="340">
      <c r="A340" s="41">
        <f>DAMAS_Daily!A340</f>
        <v/>
      </c>
      <c r="B340" s="42">
        <f>DAMAS_Daily!B340</f>
        <v/>
      </c>
      <c r="C340" s="42">
        <f>IF((power_mw*hours_per_day*damas_afrr_up*capacity_mult_C*stack_capacity*acceptance_rate+(MIN(DAMAS_Daily!C340*market_share_C*acceptance_rate*stack_activation,power_mw*hours_per_day,capacity_mwh))*DAMAS_Daily!E340*activation_mult_C)&gt;=(power_mw*hours_per_day*damas_afrr_down*capacity_mult_C*stack_capacity*acceptance_rate+(MIN(DAMAS_Daily!D340*market_share_C*acceptance_rate*stack_activation,power_mw*hours_per_day,capacity_mwh))*DAMAS_Daily!F340*activation_mult_C),"aFRR+","aFRR-")</f>
        <v/>
      </c>
      <c r="D340" s="43">
        <f>IF(C340="aFRR+",damas_afrr_up*capacity_mult_C,damas_afrr_down*capacity_mult_C)</f>
        <v/>
      </c>
      <c r="E340" s="44">
        <f>acceptance_rate</f>
        <v/>
      </c>
      <c r="F340" s="23">
        <f>IF(C340="aFRR+",power_mw*hours_per_day*damas_afrr_up*capacity_mult_C*stack_capacity*acceptance_rate,power_mw*hours_per_day*damas_afrr_down*capacity_mult_C*stack_capacity*acceptance_rate)</f>
        <v/>
      </c>
      <c r="G340" s="42">
        <f>IF(C340="aFRR+",DAMAS_Daily!I340,DAMAS_Daily!J340)</f>
        <v/>
      </c>
      <c r="H340" s="43">
        <f>IF(C340="aFRR+",DAMAS_Daily!E340,DAMAS_Daily!F340)</f>
        <v/>
      </c>
      <c r="I340" s="43">
        <f>IF(C340="aFRR+",DAMAS_Daily!G340,DAMAS_Daily!H340)</f>
        <v/>
      </c>
      <c r="J340" s="45">
        <f>IF(C340="aFRR+",DAMAS_Daily!C340,DAMAS_Daily!D340)</f>
        <v/>
      </c>
      <c r="K340" s="45">
        <f>IF(C340="aFRR+",MIN(DAMAS_Daily!C340*market_share_C*acceptance_rate*stack_activation,power_mw*hours_per_day,capacity_mwh),MIN(DAMAS_Daily!D340*market_share_C*acceptance_rate*stack_activation,power_mw*hours_per_day,capacity_mwh))</f>
        <v/>
      </c>
      <c r="L340" s="42">
        <f>IF(K340&gt;=capacity_mwh-0.01,"yes","no")</f>
        <v/>
      </c>
      <c r="M340" s="23">
        <f>IF(C340="aFRR+",(MIN(DAMAS_Daily!C340*market_share_C*acceptance_rate*stack_activation,power_mw*hours_per_day,capacity_mwh))*DAMAS_Daily!E340*activation_mult_C,(MIN(DAMAS_Daily!D340*market_share_C*acceptance_rate*stack_activation,power_mw*hours_per_day,capacity_mwh))*DAMAS_Daily!F340*activation_mult_C)</f>
        <v/>
      </c>
      <c r="N340" s="24">
        <f>F340+M340</f>
        <v/>
      </c>
    </row>
    <row r="341">
      <c r="A341" s="41">
        <f>DAMAS_Daily!A341</f>
        <v/>
      </c>
      <c r="B341" s="42">
        <f>DAMAS_Daily!B341</f>
        <v/>
      </c>
      <c r="C341" s="42">
        <f>IF((power_mw*hours_per_day*damas_afrr_up*capacity_mult_C*stack_capacity*acceptance_rate+(MIN(DAMAS_Daily!C341*market_share_C*acceptance_rate*stack_activation,power_mw*hours_per_day,capacity_mwh))*DAMAS_Daily!E341*activation_mult_C)&gt;=(power_mw*hours_per_day*damas_afrr_down*capacity_mult_C*stack_capacity*acceptance_rate+(MIN(DAMAS_Daily!D341*market_share_C*acceptance_rate*stack_activation,power_mw*hours_per_day,capacity_mwh))*DAMAS_Daily!F341*activation_mult_C),"aFRR+","aFRR-")</f>
        <v/>
      </c>
      <c r="D341" s="43">
        <f>IF(C341="aFRR+",damas_afrr_up*capacity_mult_C,damas_afrr_down*capacity_mult_C)</f>
        <v/>
      </c>
      <c r="E341" s="44">
        <f>acceptance_rate</f>
        <v/>
      </c>
      <c r="F341" s="23">
        <f>IF(C341="aFRR+",power_mw*hours_per_day*damas_afrr_up*capacity_mult_C*stack_capacity*acceptance_rate,power_mw*hours_per_day*damas_afrr_down*capacity_mult_C*stack_capacity*acceptance_rate)</f>
        <v/>
      </c>
      <c r="G341" s="42">
        <f>IF(C341="aFRR+",DAMAS_Daily!I341,DAMAS_Daily!J341)</f>
        <v/>
      </c>
      <c r="H341" s="43">
        <f>IF(C341="aFRR+",DAMAS_Daily!E341,DAMAS_Daily!F341)</f>
        <v/>
      </c>
      <c r="I341" s="43">
        <f>IF(C341="aFRR+",DAMAS_Daily!G341,DAMAS_Daily!H341)</f>
        <v/>
      </c>
      <c r="J341" s="45">
        <f>IF(C341="aFRR+",DAMAS_Daily!C341,DAMAS_Daily!D341)</f>
        <v/>
      </c>
      <c r="K341" s="45">
        <f>IF(C341="aFRR+",MIN(DAMAS_Daily!C341*market_share_C*acceptance_rate*stack_activation,power_mw*hours_per_day,capacity_mwh),MIN(DAMAS_Daily!D341*market_share_C*acceptance_rate*stack_activation,power_mw*hours_per_day,capacity_mwh))</f>
        <v/>
      </c>
      <c r="L341" s="42">
        <f>IF(K341&gt;=capacity_mwh-0.01,"yes","no")</f>
        <v/>
      </c>
      <c r="M341" s="23">
        <f>IF(C341="aFRR+",(MIN(DAMAS_Daily!C341*market_share_C*acceptance_rate*stack_activation,power_mw*hours_per_day,capacity_mwh))*DAMAS_Daily!E341*activation_mult_C,(MIN(DAMAS_Daily!D341*market_share_C*acceptance_rate*stack_activation,power_mw*hours_per_day,capacity_mwh))*DAMAS_Daily!F341*activation_mult_C)</f>
        <v/>
      </c>
      <c r="N341" s="24">
        <f>F341+M341</f>
        <v/>
      </c>
    </row>
    <row r="342">
      <c r="A342" s="41">
        <f>DAMAS_Daily!A342</f>
        <v/>
      </c>
      <c r="B342" s="42">
        <f>DAMAS_Daily!B342</f>
        <v/>
      </c>
      <c r="C342" s="42">
        <f>IF((power_mw*hours_per_day*damas_afrr_up*capacity_mult_C*stack_capacity*acceptance_rate+(MIN(DAMAS_Daily!C342*market_share_C*acceptance_rate*stack_activation,power_mw*hours_per_day,capacity_mwh))*DAMAS_Daily!E342*activation_mult_C)&gt;=(power_mw*hours_per_day*damas_afrr_down*capacity_mult_C*stack_capacity*acceptance_rate+(MIN(DAMAS_Daily!D342*market_share_C*acceptance_rate*stack_activation,power_mw*hours_per_day,capacity_mwh))*DAMAS_Daily!F342*activation_mult_C),"aFRR+","aFRR-")</f>
        <v/>
      </c>
      <c r="D342" s="43">
        <f>IF(C342="aFRR+",damas_afrr_up*capacity_mult_C,damas_afrr_down*capacity_mult_C)</f>
        <v/>
      </c>
      <c r="E342" s="44">
        <f>acceptance_rate</f>
        <v/>
      </c>
      <c r="F342" s="23">
        <f>IF(C342="aFRR+",power_mw*hours_per_day*damas_afrr_up*capacity_mult_C*stack_capacity*acceptance_rate,power_mw*hours_per_day*damas_afrr_down*capacity_mult_C*stack_capacity*acceptance_rate)</f>
        <v/>
      </c>
      <c r="G342" s="42">
        <f>IF(C342="aFRR+",DAMAS_Daily!I342,DAMAS_Daily!J342)</f>
        <v/>
      </c>
      <c r="H342" s="43">
        <f>IF(C342="aFRR+",DAMAS_Daily!E342,DAMAS_Daily!F342)</f>
        <v/>
      </c>
      <c r="I342" s="43">
        <f>IF(C342="aFRR+",DAMAS_Daily!G342,DAMAS_Daily!H342)</f>
        <v/>
      </c>
      <c r="J342" s="45">
        <f>IF(C342="aFRR+",DAMAS_Daily!C342,DAMAS_Daily!D342)</f>
        <v/>
      </c>
      <c r="K342" s="45">
        <f>IF(C342="aFRR+",MIN(DAMAS_Daily!C342*market_share_C*acceptance_rate*stack_activation,power_mw*hours_per_day,capacity_mwh),MIN(DAMAS_Daily!D342*market_share_C*acceptance_rate*stack_activation,power_mw*hours_per_day,capacity_mwh))</f>
        <v/>
      </c>
      <c r="L342" s="42">
        <f>IF(K342&gt;=capacity_mwh-0.01,"yes","no")</f>
        <v/>
      </c>
      <c r="M342" s="23">
        <f>IF(C342="aFRR+",(MIN(DAMAS_Daily!C342*market_share_C*acceptance_rate*stack_activation,power_mw*hours_per_day,capacity_mwh))*DAMAS_Daily!E342*activation_mult_C,(MIN(DAMAS_Daily!D342*market_share_C*acceptance_rate*stack_activation,power_mw*hours_per_day,capacity_mwh))*DAMAS_Daily!F342*activation_mult_C)</f>
        <v/>
      </c>
      <c r="N342" s="24">
        <f>F342+M342</f>
        <v/>
      </c>
    </row>
    <row r="343">
      <c r="A343" s="41">
        <f>DAMAS_Daily!A343</f>
        <v/>
      </c>
      <c r="B343" s="42">
        <f>DAMAS_Daily!B343</f>
        <v/>
      </c>
      <c r="C343" s="42">
        <f>IF((power_mw*hours_per_day*damas_afrr_up*capacity_mult_C*stack_capacity*acceptance_rate+(MIN(DAMAS_Daily!C343*market_share_C*acceptance_rate*stack_activation,power_mw*hours_per_day,capacity_mwh))*DAMAS_Daily!E343*activation_mult_C)&gt;=(power_mw*hours_per_day*damas_afrr_down*capacity_mult_C*stack_capacity*acceptance_rate+(MIN(DAMAS_Daily!D343*market_share_C*acceptance_rate*stack_activation,power_mw*hours_per_day,capacity_mwh))*DAMAS_Daily!F343*activation_mult_C),"aFRR+","aFRR-")</f>
        <v/>
      </c>
      <c r="D343" s="43">
        <f>IF(C343="aFRR+",damas_afrr_up*capacity_mult_C,damas_afrr_down*capacity_mult_C)</f>
        <v/>
      </c>
      <c r="E343" s="44">
        <f>acceptance_rate</f>
        <v/>
      </c>
      <c r="F343" s="23">
        <f>IF(C343="aFRR+",power_mw*hours_per_day*damas_afrr_up*capacity_mult_C*stack_capacity*acceptance_rate,power_mw*hours_per_day*damas_afrr_down*capacity_mult_C*stack_capacity*acceptance_rate)</f>
        <v/>
      </c>
      <c r="G343" s="42">
        <f>IF(C343="aFRR+",DAMAS_Daily!I343,DAMAS_Daily!J343)</f>
        <v/>
      </c>
      <c r="H343" s="43">
        <f>IF(C343="aFRR+",DAMAS_Daily!E343,DAMAS_Daily!F343)</f>
        <v/>
      </c>
      <c r="I343" s="43">
        <f>IF(C343="aFRR+",DAMAS_Daily!G343,DAMAS_Daily!H343)</f>
        <v/>
      </c>
      <c r="J343" s="45">
        <f>IF(C343="aFRR+",DAMAS_Daily!C343,DAMAS_Daily!D343)</f>
        <v/>
      </c>
      <c r="K343" s="45">
        <f>IF(C343="aFRR+",MIN(DAMAS_Daily!C343*market_share_C*acceptance_rate*stack_activation,power_mw*hours_per_day,capacity_mwh),MIN(DAMAS_Daily!D343*market_share_C*acceptance_rate*stack_activation,power_mw*hours_per_day,capacity_mwh))</f>
        <v/>
      </c>
      <c r="L343" s="42">
        <f>IF(K343&gt;=capacity_mwh-0.01,"yes","no")</f>
        <v/>
      </c>
      <c r="M343" s="23">
        <f>IF(C343="aFRR+",(MIN(DAMAS_Daily!C343*market_share_C*acceptance_rate*stack_activation,power_mw*hours_per_day,capacity_mwh))*DAMAS_Daily!E343*activation_mult_C,(MIN(DAMAS_Daily!D343*market_share_C*acceptance_rate*stack_activation,power_mw*hours_per_day,capacity_mwh))*DAMAS_Daily!F343*activation_mult_C)</f>
        <v/>
      </c>
      <c r="N343" s="24">
        <f>F343+M343</f>
        <v/>
      </c>
    </row>
    <row r="344">
      <c r="A344" s="41">
        <f>DAMAS_Daily!A344</f>
        <v/>
      </c>
      <c r="B344" s="42">
        <f>DAMAS_Daily!B344</f>
        <v/>
      </c>
      <c r="C344" s="42">
        <f>IF((power_mw*hours_per_day*damas_afrr_up*capacity_mult_C*stack_capacity*acceptance_rate+(MIN(DAMAS_Daily!C344*market_share_C*acceptance_rate*stack_activation,power_mw*hours_per_day,capacity_mwh))*DAMAS_Daily!E344*activation_mult_C)&gt;=(power_mw*hours_per_day*damas_afrr_down*capacity_mult_C*stack_capacity*acceptance_rate+(MIN(DAMAS_Daily!D344*market_share_C*acceptance_rate*stack_activation,power_mw*hours_per_day,capacity_mwh))*DAMAS_Daily!F344*activation_mult_C),"aFRR+","aFRR-")</f>
        <v/>
      </c>
      <c r="D344" s="43">
        <f>IF(C344="aFRR+",damas_afrr_up*capacity_mult_C,damas_afrr_down*capacity_mult_C)</f>
        <v/>
      </c>
      <c r="E344" s="44">
        <f>acceptance_rate</f>
        <v/>
      </c>
      <c r="F344" s="23">
        <f>IF(C344="aFRR+",power_mw*hours_per_day*damas_afrr_up*capacity_mult_C*stack_capacity*acceptance_rate,power_mw*hours_per_day*damas_afrr_down*capacity_mult_C*stack_capacity*acceptance_rate)</f>
        <v/>
      </c>
      <c r="G344" s="42">
        <f>IF(C344="aFRR+",DAMAS_Daily!I344,DAMAS_Daily!J344)</f>
        <v/>
      </c>
      <c r="H344" s="43">
        <f>IF(C344="aFRR+",DAMAS_Daily!E344,DAMAS_Daily!F344)</f>
        <v/>
      </c>
      <c r="I344" s="43">
        <f>IF(C344="aFRR+",DAMAS_Daily!G344,DAMAS_Daily!H344)</f>
        <v/>
      </c>
      <c r="J344" s="45">
        <f>IF(C344="aFRR+",DAMAS_Daily!C344,DAMAS_Daily!D344)</f>
        <v/>
      </c>
      <c r="K344" s="45">
        <f>IF(C344="aFRR+",MIN(DAMAS_Daily!C344*market_share_C*acceptance_rate*stack_activation,power_mw*hours_per_day,capacity_mwh),MIN(DAMAS_Daily!D344*market_share_C*acceptance_rate*stack_activation,power_mw*hours_per_day,capacity_mwh))</f>
        <v/>
      </c>
      <c r="L344" s="42">
        <f>IF(K344&gt;=capacity_mwh-0.01,"yes","no")</f>
        <v/>
      </c>
      <c r="M344" s="23">
        <f>IF(C344="aFRR+",(MIN(DAMAS_Daily!C344*market_share_C*acceptance_rate*stack_activation,power_mw*hours_per_day,capacity_mwh))*DAMAS_Daily!E344*activation_mult_C,(MIN(DAMAS_Daily!D344*market_share_C*acceptance_rate*stack_activation,power_mw*hours_per_day,capacity_mwh))*DAMAS_Daily!F344*activation_mult_C)</f>
        <v/>
      </c>
      <c r="N344" s="24">
        <f>F344+M344</f>
        <v/>
      </c>
    </row>
    <row r="345">
      <c r="A345" s="41">
        <f>DAMAS_Daily!A345</f>
        <v/>
      </c>
      <c r="B345" s="42">
        <f>DAMAS_Daily!B345</f>
        <v/>
      </c>
      <c r="C345" s="42">
        <f>IF((power_mw*hours_per_day*damas_afrr_up*capacity_mult_C*stack_capacity*acceptance_rate+(MIN(DAMAS_Daily!C345*market_share_C*acceptance_rate*stack_activation,power_mw*hours_per_day,capacity_mwh))*DAMAS_Daily!E345*activation_mult_C)&gt;=(power_mw*hours_per_day*damas_afrr_down*capacity_mult_C*stack_capacity*acceptance_rate+(MIN(DAMAS_Daily!D345*market_share_C*acceptance_rate*stack_activation,power_mw*hours_per_day,capacity_mwh))*DAMAS_Daily!F345*activation_mult_C),"aFRR+","aFRR-")</f>
        <v/>
      </c>
      <c r="D345" s="43">
        <f>IF(C345="aFRR+",damas_afrr_up*capacity_mult_C,damas_afrr_down*capacity_mult_C)</f>
        <v/>
      </c>
      <c r="E345" s="44">
        <f>acceptance_rate</f>
        <v/>
      </c>
      <c r="F345" s="23">
        <f>IF(C345="aFRR+",power_mw*hours_per_day*damas_afrr_up*capacity_mult_C*stack_capacity*acceptance_rate,power_mw*hours_per_day*damas_afrr_down*capacity_mult_C*stack_capacity*acceptance_rate)</f>
        <v/>
      </c>
      <c r="G345" s="42">
        <f>IF(C345="aFRR+",DAMAS_Daily!I345,DAMAS_Daily!J345)</f>
        <v/>
      </c>
      <c r="H345" s="43">
        <f>IF(C345="aFRR+",DAMAS_Daily!E345,DAMAS_Daily!F345)</f>
        <v/>
      </c>
      <c r="I345" s="43">
        <f>IF(C345="aFRR+",DAMAS_Daily!G345,DAMAS_Daily!H345)</f>
        <v/>
      </c>
      <c r="J345" s="45">
        <f>IF(C345="aFRR+",DAMAS_Daily!C345,DAMAS_Daily!D345)</f>
        <v/>
      </c>
      <c r="K345" s="45">
        <f>IF(C345="aFRR+",MIN(DAMAS_Daily!C345*market_share_C*acceptance_rate*stack_activation,power_mw*hours_per_day,capacity_mwh),MIN(DAMAS_Daily!D345*market_share_C*acceptance_rate*stack_activation,power_mw*hours_per_day,capacity_mwh))</f>
        <v/>
      </c>
      <c r="L345" s="42">
        <f>IF(K345&gt;=capacity_mwh-0.01,"yes","no")</f>
        <v/>
      </c>
      <c r="M345" s="23">
        <f>IF(C345="aFRR+",(MIN(DAMAS_Daily!C345*market_share_C*acceptance_rate*stack_activation,power_mw*hours_per_day,capacity_mwh))*DAMAS_Daily!E345*activation_mult_C,(MIN(DAMAS_Daily!D345*market_share_C*acceptance_rate*stack_activation,power_mw*hours_per_day,capacity_mwh))*DAMAS_Daily!F345*activation_mult_C)</f>
        <v/>
      </c>
      <c r="N345" s="24">
        <f>F345+M345</f>
        <v/>
      </c>
    </row>
    <row r="346">
      <c r="A346" s="41">
        <f>DAMAS_Daily!A346</f>
        <v/>
      </c>
      <c r="B346" s="42">
        <f>DAMAS_Daily!B346</f>
        <v/>
      </c>
      <c r="C346" s="42">
        <f>IF((power_mw*hours_per_day*damas_afrr_up*capacity_mult_C*stack_capacity*acceptance_rate+(MIN(DAMAS_Daily!C346*market_share_C*acceptance_rate*stack_activation,power_mw*hours_per_day,capacity_mwh))*DAMAS_Daily!E346*activation_mult_C)&gt;=(power_mw*hours_per_day*damas_afrr_down*capacity_mult_C*stack_capacity*acceptance_rate+(MIN(DAMAS_Daily!D346*market_share_C*acceptance_rate*stack_activation,power_mw*hours_per_day,capacity_mwh))*DAMAS_Daily!F346*activation_mult_C),"aFRR+","aFRR-")</f>
        <v/>
      </c>
      <c r="D346" s="43">
        <f>IF(C346="aFRR+",damas_afrr_up*capacity_mult_C,damas_afrr_down*capacity_mult_C)</f>
        <v/>
      </c>
      <c r="E346" s="44">
        <f>acceptance_rate</f>
        <v/>
      </c>
      <c r="F346" s="23">
        <f>IF(C346="aFRR+",power_mw*hours_per_day*damas_afrr_up*capacity_mult_C*stack_capacity*acceptance_rate,power_mw*hours_per_day*damas_afrr_down*capacity_mult_C*stack_capacity*acceptance_rate)</f>
        <v/>
      </c>
      <c r="G346" s="42">
        <f>IF(C346="aFRR+",DAMAS_Daily!I346,DAMAS_Daily!J346)</f>
        <v/>
      </c>
      <c r="H346" s="43">
        <f>IF(C346="aFRR+",DAMAS_Daily!E346,DAMAS_Daily!F346)</f>
        <v/>
      </c>
      <c r="I346" s="43">
        <f>IF(C346="aFRR+",DAMAS_Daily!G346,DAMAS_Daily!H346)</f>
        <v/>
      </c>
      <c r="J346" s="45">
        <f>IF(C346="aFRR+",DAMAS_Daily!C346,DAMAS_Daily!D346)</f>
        <v/>
      </c>
      <c r="K346" s="45">
        <f>IF(C346="aFRR+",MIN(DAMAS_Daily!C346*market_share_C*acceptance_rate*stack_activation,power_mw*hours_per_day,capacity_mwh),MIN(DAMAS_Daily!D346*market_share_C*acceptance_rate*stack_activation,power_mw*hours_per_day,capacity_mwh))</f>
        <v/>
      </c>
      <c r="L346" s="42">
        <f>IF(K346&gt;=capacity_mwh-0.01,"yes","no")</f>
        <v/>
      </c>
      <c r="M346" s="23">
        <f>IF(C346="aFRR+",(MIN(DAMAS_Daily!C346*market_share_C*acceptance_rate*stack_activation,power_mw*hours_per_day,capacity_mwh))*DAMAS_Daily!E346*activation_mult_C,(MIN(DAMAS_Daily!D346*market_share_C*acceptance_rate*stack_activation,power_mw*hours_per_day,capacity_mwh))*DAMAS_Daily!F346*activation_mult_C)</f>
        <v/>
      </c>
      <c r="N346" s="24">
        <f>F346+M346</f>
        <v/>
      </c>
    </row>
    <row r="347">
      <c r="A347" s="41">
        <f>DAMAS_Daily!A347</f>
        <v/>
      </c>
      <c r="B347" s="42">
        <f>DAMAS_Daily!B347</f>
        <v/>
      </c>
      <c r="C347" s="42">
        <f>IF((power_mw*hours_per_day*damas_afrr_up*capacity_mult_C*stack_capacity*acceptance_rate+(MIN(DAMAS_Daily!C347*market_share_C*acceptance_rate*stack_activation,power_mw*hours_per_day,capacity_mwh))*DAMAS_Daily!E347*activation_mult_C)&gt;=(power_mw*hours_per_day*damas_afrr_down*capacity_mult_C*stack_capacity*acceptance_rate+(MIN(DAMAS_Daily!D347*market_share_C*acceptance_rate*stack_activation,power_mw*hours_per_day,capacity_mwh))*DAMAS_Daily!F347*activation_mult_C),"aFRR+","aFRR-")</f>
        <v/>
      </c>
      <c r="D347" s="43">
        <f>IF(C347="aFRR+",damas_afrr_up*capacity_mult_C,damas_afrr_down*capacity_mult_C)</f>
        <v/>
      </c>
      <c r="E347" s="44">
        <f>acceptance_rate</f>
        <v/>
      </c>
      <c r="F347" s="23">
        <f>IF(C347="aFRR+",power_mw*hours_per_day*damas_afrr_up*capacity_mult_C*stack_capacity*acceptance_rate,power_mw*hours_per_day*damas_afrr_down*capacity_mult_C*stack_capacity*acceptance_rate)</f>
        <v/>
      </c>
      <c r="G347" s="42">
        <f>IF(C347="aFRR+",DAMAS_Daily!I347,DAMAS_Daily!J347)</f>
        <v/>
      </c>
      <c r="H347" s="43">
        <f>IF(C347="aFRR+",DAMAS_Daily!E347,DAMAS_Daily!F347)</f>
        <v/>
      </c>
      <c r="I347" s="43">
        <f>IF(C347="aFRR+",DAMAS_Daily!G347,DAMAS_Daily!H347)</f>
        <v/>
      </c>
      <c r="J347" s="45">
        <f>IF(C347="aFRR+",DAMAS_Daily!C347,DAMAS_Daily!D347)</f>
        <v/>
      </c>
      <c r="K347" s="45">
        <f>IF(C347="aFRR+",MIN(DAMAS_Daily!C347*market_share_C*acceptance_rate*stack_activation,power_mw*hours_per_day,capacity_mwh),MIN(DAMAS_Daily!D347*market_share_C*acceptance_rate*stack_activation,power_mw*hours_per_day,capacity_mwh))</f>
        <v/>
      </c>
      <c r="L347" s="42">
        <f>IF(K347&gt;=capacity_mwh-0.01,"yes","no")</f>
        <v/>
      </c>
      <c r="M347" s="23">
        <f>IF(C347="aFRR+",(MIN(DAMAS_Daily!C347*market_share_C*acceptance_rate*stack_activation,power_mw*hours_per_day,capacity_mwh))*DAMAS_Daily!E347*activation_mult_C,(MIN(DAMAS_Daily!D347*market_share_C*acceptance_rate*stack_activation,power_mw*hours_per_day,capacity_mwh))*DAMAS_Daily!F347*activation_mult_C)</f>
        <v/>
      </c>
      <c r="N347" s="24">
        <f>F347+M347</f>
        <v/>
      </c>
    </row>
    <row r="348">
      <c r="A348" s="41">
        <f>DAMAS_Daily!A348</f>
        <v/>
      </c>
      <c r="B348" s="42">
        <f>DAMAS_Daily!B348</f>
        <v/>
      </c>
      <c r="C348" s="42">
        <f>IF((power_mw*hours_per_day*damas_afrr_up*capacity_mult_C*stack_capacity*acceptance_rate+(MIN(DAMAS_Daily!C348*market_share_C*acceptance_rate*stack_activation,power_mw*hours_per_day,capacity_mwh))*DAMAS_Daily!E348*activation_mult_C)&gt;=(power_mw*hours_per_day*damas_afrr_down*capacity_mult_C*stack_capacity*acceptance_rate+(MIN(DAMAS_Daily!D348*market_share_C*acceptance_rate*stack_activation,power_mw*hours_per_day,capacity_mwh))*DAMAS_Daily!F348*activation_mult_C),"aFRR+","aFRR-")</f>
        <v/>
      </c>
      <c r="D348" s="43">
        <f>IF(C348="aFRR+",damas_afrr_up*capacity_mult_C,damas_afrr_down*capacity_mult_C)</f>
        <v/>
      </c>
      <c r="E348" s="44">
        <f>acceptance_rate</f>
        <v/>
      </c>
      <c r="F348" s="23">
        <f>IF(C348="aFRR+",power_mw*hours_per_day*damas_afrr_up*capacity_mult_C*stack_capacity*acceptance_rate,power_mw*hours_per_day*damas_afrr_down*capacity_mult_C*stack_capacity*acceptance_rate)</f>
        <v/>
      </c>
      <c r="G348" s="42">
        <f>IF(C348="aFRR+",DAMAS_Daily!I348,DAMAS_Daily!J348)</f>
        <v/>
      </c>
      <c r="H348" s="43">
        <f>IF(C348="aFRR+",DAMAS_Daily!E348,DAMAS_Daily!F348)</f>
        <v/>
      </c>
      <c r="I348" s="43">
        <f>IF(C348="aFRR+",DAMAS_Daily!G348,DAMAS_Daily!H348)</f>
        <v/>
      </c>
      <c r="J348" s="45">
        <f>IF(C348="aFRR+",DAMAS_Daily!C348,DAMAS_Daily!D348)</f>
        <v/>
      </c>
      <c r="K348" s="45">
        <f>IF(C348="aFRR+",MIN(DAMAS_Daily!C348*market_share_C*acceptance_rate*stack_activation,power_mw*hours_per_day,capacity_mwh),MIN(DAMAS_Daily!D348*market_share_C*acceptance_rate*stack_activation,power_mw*hours_per_day,capacity_mwh))</f>
        <v/>
      </c>
      <c r="L348" s="42">
        <f>IF(K348&gt;=capacity_mwh-0.01,"yes","no")</f>
        <v/>
      </c>
      <c r="M348" s="23">
        <f>IF(C348="aFRR+",(MIN(DAMAS_Daily!C348*market_share_C*acceptance_rate*stack_activation,power_mw*hours_per_day,capacity_mwh))*DAMAS_Daily!E348*activation_mult_C,(MIN(DAMAS_Daily!D348*market_share_C*acceptance_rate*stack_activation,power_mw*hours_per_day,capacity_mwh))*DAMAS_Daily!F348*activation_mult_C)</f>
        <v/>
      </c>
      <c r="N348" s="24">
        <f>F348+M348</f>
        <v/>
      </c>
    </row>
    <row r="349">
      <c r="A349" s="41">
        <f>DAMAS_Daily!A349</f>
        <v/>
      </c>
      <c r="B349" s="42">
        <f>DAMAS_Daily!B349</f>
        <v/>
      </c>
      <c r="C349" s="42">
        <f>IF((power_mw*hours_per_day*damas_afrr_up*capacity_mult_C*stack_capacity*acceptance_rate+(MIN(DAMAS_Daily!C349*market_share_C*acceptance_rate*stack_activation,power_mw*hours_per_day,capacity_mwh))*DAMAS_Daily!E349*activation_mult_C)&gt;=(power_mw*hours_per_day*damas_afrr_down*capacity_mult_C*stack_capacity*acceptance_rate+(MIN(DAMAS_Daily!D349*market_share_C*acceptance_rate*stack_activation,power_mw*hours_per_day,capacity_mwh))*DAMAS_Daily!F349*activation_mult_C),"aFRR+","aFRR-")</f>
        <v/>
      </c>
      <c r="D349" s="43">
        <f>IF(C349="aFRR+",damas_afrr_up*capacity_mult_C,damas_afrr_down*capacity_mult_C)</f>
        <v/>
      </c>
      <c r="E349" s="44">
        <f>acceptance_rate</f>
        <v/>
      </c>
      <c r="F349" s="23">
        <f>IF(C349="aFRR+",power_mw*hours_per_day*damas_afrr_up*capacity_mult_C*stack_capacity*acceptance_rate,power_mw*hours_per_day*damas_afrr_down*capacity_mult_C*stack_capacity*acceptance_rate)</f>
        <v/>
      </c>
      <c r="G349" s="42">
        <f>IF(C349="aFRR+",DAMAS_Daily!I349,DAMAS_Daily!J349)</f>
        <v/>
      </c>
      <c r="H349" s="43">
        <f>IF(C349="aFRR+",DAMAS_Daily!E349,DAMAS_Daily!F349)</f>
        <v/>
      </c>
      <c r="I349" s="43">
        <f>IF(C349="aFRR+",DAMAS_Daily!G349,DAMAS_Daily!H349)</f>
        <v/>
      </c>
      <c r="J349" s="45">
        <f>IF(C349="aFRR+",DAMAS_Daily!C349,DAMAS_Daily!D349)</f>
        <v/>
      </c>
      <c r="K349" s="45">
        <f>IF(C349="aFRR+",MIN(DAMAS_Daily!C349*market_share_C*acceptance_rate*stack_activation,power_mw*hours_per_day,capacity_mwh),MIN(DAMAS_Daily!D349*market_share_C*acceptance_rate*stack_activation,power_mw*hours_per_day,capacity_mwh))</f>
        <v/>
      </c>
      <c r="L349" s="42">
        <f>IF(K349&gt;=capacity_mwh-0.01,"yes","no")</f>
        <v/>
      </c>
      <c r="M349" s="23">
        <f>IF(C349="aFRR+",(MIN(DAMAS_Daily!C349*market_share_C*acceptance_rate*stack_activation,power_mw*hours_per_day,capacity_mwh))*DAMAS_Daily!E349*activation_mult_C,(MIN(DAMAS_Daily!D349*market_share_C*acceptance_rate*stack_activation,power_mw*hours_per_day,capacity_mwh))*DAMAS_Daily!F349*activation_mult_C)</f>
        <v/>
      </c>
      <c r="N349" s="24">
        <f>F349+M349</f>
        <v/>
      </c>
    </row>
    <row r="350">
      <c r="A350" s="41">
        <f>DAMAS_Daily!A350</f>
        <v/>
      </c>
      <c r="B350" s="42">
        <f>DAMAS_Daily!B350</f>
        <v/>
      </c>
      <c r="C350" s="42">
        <f>IF((power_mw*hours_per_day*damas_afrr_up*capacity_mult_C*stack_capacity*acceptance_rate+(MIN(DAMAS_Daily!C350*market_share_C*acceptance_rate*stack_activation,power_mw*hours_per_day,capacity_mwh))*DAMAS_Daily!E350*activation_mult_C)&gt;=(power_mw*hours_per_day*damas_afrr_down*capacity_mult_C*stack_capacity*acceptance_rate+(MIN(DAMAS_Daily!D350*market_share_C*acceptance_rate*stack_activation,power_mw*hours_per_day,capacity_mwh))*DAMAS_Daily!F350*activation_mult_C),"aFRR+","aFRR-")</f>
        <v/>
      </c>
      <c r="D350" s="43">
        <f>IF(C350="aFRR+",damas_afrr_up*capacity_mult_C,damas_afrr_down*capacity_mult_C)</f>
        <v/>
      </c>
      <c r="E350" s="44">
        <f>acceptance_rate</f>
        <v/>
      </c>
      <c r="F350" s="23">
        <f>IF(C350="aFRR+",power_mw*hours_per_day*damas_afrr_up*capacity_mult_C*stack_capacity*acceptance_rate,power_mw*hours_per_day*damas_afrr_down*capacity_mult_C*stack_capacity*acceptance_rate)</f>
        <v/>
      </c>
      <c r="G350" s="42">
        <f>IF(C350="aFRR+",DAMAS_Daily!I350,DAMAS_Daily!J350)</f>
        <v/>
      </c>
      <c r="H350" s="43">
        <f>IF(C350="aFRR+",DAMAS_Daily!E350,DAMAS_Daily!F350)</f>
        <v/>
      </c>
      <c r="I350" s="43">
        <f>IF(C350="aFRR+",DAMAS_Daily!G350,DAMAS_Daily!H350)</f>
        <v/>
      </c>
      <c r="J350" s="45">
        <f>IF(C350="aFRR+",DAMAS_Daily!C350,DAMAS_Daily!D350)</f>
        <v/>
      </c>
      <c r="K350" s="45">
        <f>IF(C350="aFRR+",MIN(DAMAS_Daily!C350*market_share_C*acceptance_rate*stack_activation,power_mw*hours_per_day,capacity_mwh),MIN(DAMAS_Daily!D350*market_share_C*acceptance_rate*stack_activation,power_mw*hours_per_day,capacity_mwh))</f>
        <v/>
      </c>
      <c r="L350" s="42">
        <f>IF(K350&gt;=capacity_mwh-0.01,"yes","no")</f>
        <v/>
      </c>
      <c r="M350" s="23">
        <f>IF(C350="aFRR+",(MIN(DAMAS_Daily!C350*market_share_C*acceptance_rate*stack_activation,power_mw*hours_per_day,capacity_mwh))*DAMAS_Daily!E350*activation_mult_C,(MIN(DAMAS_Daily!D350*market_share_C*acceptance_rate*stack_activation,power_mw*hours_per_day,capacity_mwh))*DAMAS_Daily!F350*activation_mult_C)</f>
        <v/>
      </c>
      <c r="N350" s="24">
        <f>F350+M350</f>
        <v/>
      </c>
    </row>
    <row r="351">
      <c r="A351" s="41">
        <f>DAMAS_Daily!A351</f>
        <v/>
      </c>
      <c r="B351" s="42">
        <f>DAMAS_Daily!B351</f>
        <v/>
      </c>
      <c r="C351" s="42">
        <f>IF((power_mw*hours_per_day*damas_afrr_up*capacity_mult_C*stack_capacity*acceptance_rate+(MIN(DAMAS_Daily!C351*market_share_C*acceptance_rate*stack_activation,power_mw*hours_per_day,capacity_mwh))*DAMAS_Daily!E351*activation_mult_C)&gt;=(power_mw*hours_per_day*damas_afrr_down*capacity_mult_C*stack_capacity*acceptance_rate+(MIN(DAMAS_Daily!D351*market_share_C*acceptance_rate*stack_activation,power_mw*hours_per_day,capacity_mwh))*DAMAS_Daily!F351*activation_mult_C),"aFRR+","aFRR-")</f>
        <v/>
      </c>
      <c r="D351" s="43">
        <f>IF(C351="aFRR+",damas_afrr_up*capacity_mult_C,damas_afrr_down*capacity_mult_C)</f>
        <v/>
      </c>
      <c r="E351" s="44">
        <f>acceptance_rate</f>
        <v/>
      </c>
      <c r="F351" s="23">
        <f>IF(C351="aFRR+",power_mw*hours_per_day*damas_afrr_up*capacity_mult_C*stack_capacity*acceptance_rate,power_mw*hours_per_day*damas_afrr_down*capacity_mult_C*stack_capacity*acceptance_rate)</f>
        <v/>
      </c>
      <c r="G351" s="42">
        <f>IF(C351="aFRR+",DAMAS_Daily!I351,DAMAS_Daily!J351)</f>
        <v/>
      </c>
      <c r="H351" s="43">
        <f>IF(C351="aFRR+",DAMAS_Daily!E351,DAMAS_Daily!F351)</f>
        <v/>
      </c>
      <c r="I351" s="43">
        <f>IF(C351="aFRR+",DAMAS_Daily!G351,DAMAS_Daily!H351)</f>
        <v/>
      </c>
      <c r="J351" s="45">
        <f>IF(C351="aFRR+",DAMAS_Daily!C351,DAMAS_Daily!D351)</f>
        <v/>
      </c>
      <c r="K351" s="45">
        <f>IF(C351="aFRR+",MIN(DAMAS_Daily!C351*market_share_C*acceptance_rate*stack_activation,power_mw*hours_per_day,capacity_mwh),MIN(DAMAS_Daily!D351*market_share_C*acceptance_rate*stack_activation,power_mw*hours_per_day,capacity_mwh))</f>
        <v/>
      </c>
      <c r="L351" s="42">
        <f>IF(K351&gt;=capacity_mwh-0.01,"yes","no")</f>
        <v/>
      </c>
      <c r="M351" s="23">
        <f>IF(C351="aFRR+",(MIN(DAMAS_Daily!C351*market_share_C*acceptance_rate*stack_activation,power_mw*hours_per_day,capacity_mwh))*DAMAS_Daily!E351*activation_mult_C,(MIN(DAMAS_Daily!D351*market_share_C*acceptance_rate*stack_activation,power_mw*hours_per_day,capacity_mwh))*DAMAS_Daily!F351*activation_mult_C)</f>
        <v/>
      </c>
      <c r="N351" s="24">
        <f>F351+M351</f>
        <v/>
      </c>
    </row>
    <row r="352">
      <c r="A352" s="41">
        <f>DAMAS_Daily!A352</f>
        <v/>
      </c>
      <c r="B352" s="42">
        <f>DAMAS_Daily!B352</f>
        <v/>
      </c>
      <c r="C352" s="42">
        <f>IF((power_mw*hours_per_day*damas_afrr_up*capacity_mult_C*stack_capacity*acceptance_rate+(MIN(DAMAS_Daily!C352*market_share_C*acceptance_rate*stack_activation,power_mw*hours_per_day,capacity_mwh))*DAMAS_Daily!E352*activation_mult_C)&gt;=(power_mw*hours_per_day*damas_afrr_down*capacity_mult_C*stack_capacity*acceptance_rate+(MIN(DAMAS_Daily!D352*market_share_C*acceptance_rate*stack_activation,power_mw*hours_per_day,capacity_mwh))*DAMAS_Daily!F352*activation_mult_C),"aFRR+","aFRR-")</f>
        <v/>
      </c>
      <c r="D352" s="43">
        <f>IF(C352="aFRR+",damas_afrr_up*capacity_mult_C,damas_afrr_down*capacity_mult_C)</f>
        <v/>
      </c>
      <c r="E352" s="44">
        <f>acceptance_rate</f>
        <v/>
      </c>
      <c r="F352" s="23">
        <f>IF(C352="aFRR+",power_mw*hours_per_day*damas_afrr_up*capacity_mult_C*stack_capacity*acceptance_rate,power_mw*hours_per_day*damas_afrr_down*capacity_mult_C*stack_capacity*acceptance_rate)</f>
        <v/>
      </c>
      <c r="G352" s="42">
        <f>IF(C352="aFRR+",DAMAS_Daily!I352,DAMAS_Daily!J352)</f>
        <v/>
      </c>
      <c r="H352" s="43">
        <f>IF(C352="aFRR+",DAMAS_Daily!E352,DAMAS_Daily!F352)</f>
        <v/>
      </c>
      <c r="I352" s="43">
        <f>IF(C352="aFRR+",DAMAS_Daily!G352,DAMAS_Daily!H352)</f>
        <v/>
      </c>
      <c r="J352" s="45">
        <f>IF(C352="aFRR+",DAMAS_Daily!C352,DAMAS_Daily!D352)</f>
        <v/>
      </c>
      <c r="K352" s="45">
        <f>IF(C352="aFRR+",MIN(DAMAS_Daily!C352*market_share_C*acceptance_rate*stack_activation,power_mw*hours_per_day,capacity_mwh),MIN(DAMAS_Daily!D352*market_share_C*acceptance_rate*stack_activation,power_mw*hours_per_day,capacity_mwh))</f>
        <v/>
      </c>
      <c r="L352" s="42">
        <f>IF(K352&gt;=capacity_mwh-0.01,"yes","no")</f>
        <v/>
      </c>
      <c r="M352" s="23">
        <f>IF(C352="aFRR+",(MIN(DAMAS_Daily!C352*market_share_C*acceptance_rate*stack_activation,power_mw*hours_per_day,capacity_mwh))*DAMAS_Daily!E352*activation_mult_C,(MIN(DAMAS_Daily!D352*market_share_C*acceptance_rate*stack_activation,power_mw*hours_per_day,capacity_mwh))*DAMAS_Daily!F352*activation_mult_C)</f>
        <v/>
      </c>
      <c r="N352" s="24">
        <f>F352+M352</f>
        <v/>
      </c>
    </row>
    <row r="353">
      <c r="A353" s="41">
        <f>DAMAS_Daily!A353</f>
        <v/>
      </c>
      <c r="B353" s="42">
        <f>DAMAS_Daily!B353</f>
        <v/>
      </c>
      <c r="C353" s="42">
        <f>IF((power_mw*hours_per_day*damas_afrr_up*capacity_mult_C*stack_capacity*acceptance_rate+(MIN(DAMAS_Daily!C353*market_share_C*acceptance_rate*stack_activation,power_mw*hours_per_day,capacity_mwh))*DAMAS_Daily!E353*activation_mult_C)&gt;=(power_mw*hours_per_day*damas_afrr_down*capacity_mult_C*stack_capacity*acceptance_rate+(MIN(DAMAS_Daily!D353*market_share_C*acceptance_rate*stack_activation,power_mw*hours_per_day,capacity_mwh))*DAMAS_Daily!F353*activation_mult_C),"aFRR+","aFRR-")</f>
        <v/>
      </c>
      <c r="D353" s="43">
        <f>IF(C353="aFRR+",damas_afrr_up*capacity_mult_C,damas_afrr_down*capacity_mult_C)</f>
        <v/>
      </c>
      <c r="E353" s="44">
        <f>acceptance_rate</f>
        <v/>
      </c>
      <c r="F353" s="23">
        <f>IF(C353="aFRR+",power_mw*hours_per_day*damas_afrr_up*capacity_mult_C*stack_capacity*acceptance_rate,power_mw*hours_per_day*damas_afrr_down*capacity_mult_C*stack_capacity*acceptance_rate)</f>
        <v/>
      </c>
      <c r="G353" s="42">
        <f>IF(C353="aFRR+",DAMAS_Daily!I353,DAMAS_Daily!J353)</f>
        <v/>
      </c>
      <c r="H353" s="43">
        <f>IF(C353="aFRR+",DAMAS_Daily!E353,DAMAS_Daily!F353)</f>
        <v/>
      </c>
      <c r="I353" s="43">
        <f>IF(C353="aFRR+",DAMAS_Daily!G353,DAMAS_Daily!H353)</f>
        <v/>
      </c>
      <c r="J353" s="45">
        <f>IF(C353="aFRR+",DAMAS_Daily!C353,DAMAS_Daily!D353)</f>
        <v/>
      </c>
      <c r="K353" s="45">
        <f>IF(C353="aFRR+",MIN(DAMAS_Daily!C353*market_share_C*acceptance_rate*stack_activation,power_mw*hours_per_day,capacity_mwh),MIN(DAMAS_Daily!D353*market_share_C*acceptance_rate*stack_activation,power_mw*hours_per_day,capacity_mwh))</f>
        <v/>
      </c>
      <c r="L353" s="42">
        <f>IF(K353&gt;=capacity_mwh-0.01,"yes","no")</f>
        <v/>
      </c>
      <c r="M353" s="23">
        <f>IF(C353="aFRR+",(MIN(DAMAS_Daily!C353*market_share_C*acceptance_rate*stack_activation,power_mw*hours_per_day,capacity_mwh))*DAMAS_Daily!E353*activation_mult_C,(MIN(DAMAS_Daily!D353*market_share_C*acceptance_rate*stack_activation,power_mw*hours_per_day,capacity_mwh))*DAMAS_Daily!F353*activation_mult_C)</f>
        <v/>
      </c>
      <c r="N353" s="24">
        <f>F353+M353</f>
        <v/>
      </c>
    </row>
    <row r="354">
      <c r="A354" s="41">
        <f>DAMAS_Daily!A354</f>
        <v/>
      </c>
      <c r="B354" s="42">
        <f>DAMAS_Daily!B354</f>
        <v/>
      </c>
      <c r="C354" s="42">
        <f>IF((power_mw*hours_per_day*damas_afrr_up*capacity_mult_C*stack_capacity*acceptance_rate+(MIN(DAMAS_Daily!C354*market_share_C*acceptance_rate*stack_activation,power_mw*hours_per_day,capacity_mwh))*DAMAS_Daily!E354*activation_mult_C)&gt;=(power_mw*hours_per_day*damas_afrr_down*capacity_mult_C*stack_capacity*acceptance_rate+(MIN(DAMAS_Daily!D354*market_share_C*acceptance_rate*stack_activation,power_mw*hours_per_day,capacity_mwh))*DAMAS_Daily!F354*activation_mult_C),"aFRR+","aFRR-")</f>
        <v/>
      </c>
      <c r="D354" s="43">
        <f>IF(C354="aFRR+",damas_afrr_up*capacity_mult_C,damas_afrr_down*capacity_mult_C)</f>
        <v/>
      </c>
      <c r="E354" s="44">
        <f>acceptance_rate</f>
        <v/>
      </c>
      <c r="F354" s="23">
        <f>IF(C354="aFRR+",power_mw*hours_per_day*damas_afrr_up*capacity_mult_C*stack_capacity*acceptance_rate,power_mw*hours_per_day*damas_afrr_down*capacity_mult_C*stack_capacity*acceptance_rate)</f>
        <v/>
      </c>
      <c r="G354" s="42">
        <f>IF(C354="aFRR+",DAMAS_Daily!I354,DAMAS_Daily!J354)</f>
        <v/>
      </c>
      <c r="H354" s="43">
        <f>IF(C354="aFRR+",DAMAS_Daily!E354,DAMAS_Daily!F354)</f>
        <v/>
      </c>
      <c r="I354" s="43">
        <f>IF(C354="aFRR+",DAMAS_Daily!G354,DAMAS_Daily!H354)</f>
        <v/>
      </c>
      <c r="J354" s="45">
        <f>IF(C354="aFRR+",DAMAS_Daily!C354,DAMAS_Daily!D354)</f>
        <v/>
      </c>
      <c r="K354" s="45">
        <f>IF(C354="aFRR+",MIN(DAMAS_Daily!C354*market_share_C*acceptance_rate*stack_activation,power_mw*hours_per_day,capacity_mwh),MIN(DAMAS_Daily!D354*market_share_C*acceptance_rate*stack_activation,power_mw*hours_per_day,capacity_mwh))</f>
        <v/>
      </c>
      <c r="L354" s="42">
        <f>IF(K354&gt;=capacity_mwh-0.01,"yes","no")</f>
        <v/>
      </c>
      <c r="M354" s="23">
        <f>IF(C354="aFRR+",(MIN(DAMAS_Daily!C354*market_share_C*acceptance_rate*stack_activation,power_mw*hours_per_day,capacity_mwh))*DAMAS_Daily!E354*activation_mult_C,(MIN(DAMAS_Daily!D354*market_share_C*acceptance_rate*stack_activation,power_mw*hours_per_day,capacity_mwh))*DAMAS_Daily!F354*activation_mult_C)</f>
        <v/>
      </c>
      <c r="N354" s="24">
        <f>F354+M354</f>
        <v/>
      </c>
    </row>
    <row r="355">
      <c r="A355" s="41">
        <f>DAMAS_Daily!A355</f>
        <v/>
      </c>
      <c r="B355" s="42">
        <f>DAMAS_Daily!B355</f>
        <v/>
      </c>
      <c r="C355" s="42">
        <f>IF((power_mw*hours_per_day*damas_afrr_up*capacity_mult_C*stack_capacity*acceptance_rate+(MIN(DAMAS_Daily!C355*market_share_C*acceptance_rate*stack_activation,power_mw*hours_per_day,capacity_mwh))*DAMAS_Daily!E355*activation_mult_C)&gt;=(power_mw*hours_per_day*damas_afrr_down*capacity_mult_C*stack_capacity*acceptance_rate+(MIN(DAMAS_Daily!D355*market_share_C*acceptance_rate*stack_activation,power_mw*hours_per_day,capacity_mwh))*DAMAS_Daily!F355*activation_mult_C),"aFRR+","aFRR-")</f>
        <v/>
      </c>
      <c r="D355" s="43">
        <f>IF(C355="aFRR+",damas_afrr_up*capacity_mult_C,damas_afrr_down*capacity_mult_C)</f>
        <v/>
      </c>
      <c r="E355" s="44">
        <f>acceptance_rate</f>
        <v/>
      </c>
      <c r="F355" s="23">
        <f>IF(C355="aFRR+",power_mw*hours_per_day*damas_afrr_up*capacity_mult_C*stack_capacity*acceptance_rate,power_mw*hours_per_day*damas_afrr_down*capacity_mult_C*stack_capacity*acceptance_rate)</f>
        <v/>
      </c>
      <c r="G355" s="42">
        <f>IF(C355="aFRR+",DAMAS_Daily!I355,DAMAS_Daily!J355)</f>
        <v/>
      </c>
      <c r="H355" s="43">
        <f>IF(C355="aFRR+",DAMAS_Daily!E355,DAMAS_Daily!F355)</f>
        <v/>
      </c>
      <c r="I355" s="43">
        <f>IF(C355="aFRR+",DAMAS_Daily!G355,DAMAS_Daily!H355)</f>
        <v/>
      </c>
      <c r="J355" s="45">
        <f>IF(C355="aFRR+",DAMAS_Daily!C355,DAMAS_Daily!D355)</f>
        <v/>
      </c>
      <c r="K355" s="45">
        <f>IF(C355="aFRR+",MIN(DAMAS_Daily!C355*market_share_C*acceptance_rate*stack_activation,power_mw*hours_per_day,capacity_mwh),MIN(DAMAS_Daily!D355*market_share_C*acceptance_rate*stack_activation,power_mw*hours_per_day,capacity_mwh))</f>
        <v/>
      </c>
      <c r="L355" s="42">
        <f>IF(K355&gt;=capacity_mwh-0.01,"yes","no")</f>
        <v/>
      </c>
      <c r="M355" s="23">
        <f>IF(C355="aFRR+",(MIN(DAMAS_Daily!C355*market_share_C*acceptance_rate*stack_activation,power_mw*hours_per_day,capacity_mwh))*DAMAS_Daily!E355*activation_mult_C,(MIN(DAMAS_Daily!D355*market_share_C*acceptance_rate*stack_activation,power_mw*hours_per_day,capacity_mwh))*DAMAS_Daily!F355*activation_mult_C)</f>
        <v/>
      </c>
      <c r="N355" s="24">
        <f>F355+M355</f>
        <v/>
      </c>
    </row>
    <row r="356">
      <c r="A356" s="41">
        <f>DAMAS_Daily!A356</f>
        <v/>
      </c>
      <c r="B356" s="42">
        <f>DAMAS_Daily!B356</f>
        <v/>
      </c>
      <c r="C356" s="42">
        <f>IF((power_mw*hours_per_day*damas_afrr_up*capacity_mult_C*stack_capacity*acceptance_rate+(MIN(DAMAS_Daily!C356*market_share_C*acceptance_rate*stack_activation,power_mw*hours_per_day,capacity_mwh))*DAMAS_Daily!E356*activation_mult_C)&gt;=(power_mw*hours_per_day*damas_afrr_down*capacity_mult_C*stack_capacity*acceptance_rate+(MIN(DAMAS_Daily!D356*market_share_C*acceptance_rate*stack_activation,power_mw*hours_per_day,capacity_mwh))*DAMAS_Daily!F356*activation_mult_C),"aFRR+","aFRR-")</f>
        <v/>
      </c>
      <c r="D356" s="43">
        <f>IF(C356="aFRR+",damas_afrr_up*capacity_mult_C,damas_afrr_down*capacity_mult_C)</f>
        <v/>
      </c>
      <c r="E356" s="44">
        <f>acceptance_rate</f>
        <v/>
      </c>
      <c r="F356" s="23">
        <f>IF(C356="aFRR+",power_mw*hours_per_day*damas_afrr_up*capacity_mult_C*stack_capacity*acceptance_rate,power_mw*hours_per_day*damas_afrr_down*capacity_mult_C*stack_capacity*acceptance_rate)</f>
        <v/>
      </c>
      <c r="G356" s="42">
        <f>IF(C356="aFRR+",DAMAS_Daily!I356,DAMAS_Daily!J356)</f>
        <v/>
      </c>
      <c r="H356" s="43">
        <f>IF(C356="aFRR+",DAMAS_Daily!E356,DAMAS_Daily!F356)</f>
        <v/>
      </c>
      <c r="I356" s="43">
        <f>IF(C356="aFRR+",DAMAS_Daily!G356,DAMAS_Daily!H356)</f>
        <v/>
      </c>
      <c r="J356" s="45">
        <f>IF(C356="aFRR+",DAMAS_Daily!C356,DAMAS_Daily!D356)</f>
        <v/>
      </c>
      <c r="K356" s="45">
        <f>IF(C356="aFRR+",MIN(DAMAS_Daily!C356*market_share_C*acceptance_rate*stack_activation,power_mw*hours_per_day,capacity_mwh),MIN(DAMAS_Daily!D356*market_share_C*acceptance_rate*stack_activation,power_mw*hours_per_day,capacity_mwh))</f>
        <v/>
      </c>
      <c r="L356" s="42">
        <f>IF(K356&gt;=capacity_mwh-0.01,"yes","no")</f>
        <v/>
      </c>
      <c r="M356" s="23">
        <f>IF(C356="aFRR+",(MIN(DAMAS_Daily!C356*market_share_C*acceptance_rate*stack_activation,power_mw*hours_per_day,capacity_mwh))*DAMAS_Daily!E356*activation_mult_C,(MIN(DAMAS_Daily!D356*market_share_C*acceptance_rate*stack_activation,power_mw*hours_per_day,capacity_mwh))*DAMAS_Daily!F356*activation_mult_C)</f>
        <v/>
      </c>
      <c r="N356" s="24">
        <f>F356+M356</f>
        <v/>
      </c>
    </row>
    <row r="357">
      <c r="A357" s="41">
        <f>DAMAS_Daily!A357</f>
        <v/>
      </c>
      <c r="B357" s="42">
        <f>DAMAS_Daily!B357</f>
        <v/>
      </c>
      <c r="C357" s="42">
        <f>IF((power_mw*hours_per_day*damas_afrr_up*capacity_mult_C*stack_capacity*acceptance_rate+(MIN(DAMAS_Daily!C357*market_share_C*acceptance_rate*stack_activation,power_mw*hours_per_day,capacity_mwh))*DAMAS_Daily!E357*activation_mult_C)&gt;=(power_mw*hours_per_day*damas_afrr_down*capacity_mult_C*stack_capacity*acceptance_rate+(MIN(DAMAS_Daily!D357*market_share_C*acceptance_rate*stack_activation,power_mw*hours_per_day,capacity_mwh))*DAMAS_Daily!F357*activation_mult_C),"aFRR+","aFRR-")</f>
        <v/>
      </c>
      <c r="D357" s="43">
        <f>IF(C357="aFRR+",damas_afrr_up*capacity_mult_C,damas_afrr_down*capacity_mult_C)</f>
        <v/>
      </c>
      <c r="E357" s="44">
        <f>acceptance_rate</f>
        <v/>
      </c>
      <c r="F357" s="23">
        <f>IF(C357="aFRR+",power_mw*hours_per_day*damas_afrr_up*capacity_mult_C*stack_capacity*acceptance_rate,power_mw*hours_per_day*damas_afrr_down*capacity_mult_C*stack_capacity*acceptance_rate)</f>
        <v/>
      </c>
      <c r="G357" s="42">
        <f>IF(C357="aFRR+",DAMAS_Daily!I357,DAMAS_Daily!J357)</f>
        <v/>
      </c>
      <c r="H357" s="43">
        <f>IF(C357="aFRR+",DAMAS_Daily!E357,DAMAS_Daily!F357)</f>
        <v/>
      </c>
      <c r="I357" s="43">
        <f>IF(C357="aFRR+",DAMAS_Daily!G357,DAMAS_Daily!H357)</f>
        <v/>
      </c>
      <c r="J357" s="45">
        <f>IF(C357="aFRR+",DAMAS_Daily!C357,DAMAS_Daily!D357)</f>
        <v/>
      </c>
      <c r="K357" s="45">
        <f>IF(C357="aFRR+",MIN(DAMAS_Daily!C357*market_share_C*acceptance_rate*stack_activation,power_mw*hours_per_day,capacity_mwh),MIN(DAMAS_Daily!D357*market_share_C*acceptance_rate*stack_activation,power_mw*hours_per_day,capacity_mwh))</f>
        <v/>
      </c>
      <c r="L357" s="42">
        <f>IF(K357&gt;=capacity_mwh-0.01,"yes","no")</f>
        <v/>
      </c>
      <c r="M357" s="23">
        <f>IF(C357="aFRR+",(MIN(DAMAS_Daily!C357*market_share_C*acceptance_rate*stack_activation,power_mw*hours_per_day,capacity_mwh))*DAMAS_Daily!E357*activation_mult_C,(MIN(DAMAS_Daily!D357*market_share_C*acceptance_rate*stack_activation,power_mw*hours_per_day,capacity_mwh))*DAMAS_Daily!F357*activation_mult_C)</f>
        <v/>
      </c>
      <c r="N357" s="24">
        <f>F357+M357</f>
        <v/>
      </c>
    </row>
    <row r="358">
      <c r="A358" s="41">
        <f>DAMAS_Daily!A358</f>
        <v/>
      </c>
      <c r="B358" s="42">
        <f>DAMAS_Daily!B358</f>
        <v/>
      </c>
      <c r="C358" s="42">
        <f>IF((power_mw*hours_per_day*damas_afrr_up*capacity_mult_C*stack_capacity*acceptance_rate+(MIN(DAMAS_Daily!C358*market_share_C*acceptance_rate*stack_activation,power_mw*hours_per_day,capacity_mwh))*DAMAS_Daily!E358*activation_mult_C)&gt;=(power_mw*hours_per_day*damas_afrr_down*capacity_mult_C*stack_capacity*acceptance_rate+(MIN(DAMAS_Daily!D358*market_share_C*acceptance_rate*stack_activation,power_mw*hours_per_day,capacity_mwh))*DAMAS_Daily!F358*activation_mult_C),"aFRR+","aFRR-")</f>
        <v/>
      </c>
      <c r="D358" s="43">
        <f>IF(C358="aFRR+",damas_afrr_up*capacity_mult_C,damas_afrr_down*capacity_mult_C)</f>
        <v/>
      </c>
      <c r="E358" s="44">
        <f>acceptance_rate</f>
        <v/>
      </c>
      <c r="F358" s="23">
        <f>IF(C358="aFRR+",power_mw*hours_per_day*damas_afrr_up*capacity_mult_C*stack_capacity*acceptance_rate,power_mw*hours_per_day*damas_afrr_down*capacity_mult_C*stack_capacity*acceptance_rate)</f>
        <v/>
      </c>
      <c r="G358" s="42">
        <f>IF(C358="aFRR+",DAMAS_Daily!I358,DAMAS_Daily!J358)</f>
        <v/>
      </c>
      <c r="H358" s="43">
        <f>IF(C358="aFRR+",DAMAS_Daily!E358,DAMAS_Daily!F358)</f>
        <v/>
      </c>
      <c r="I358" s="43">
        <f>IF(C358="aFRR+",DAMAS_Daily!G358,DAMAS_Daily!H358)</f>
        <v/>
      </c>
      <c r="J358" s="45">
        <f>IF(C358="aFRR+",DAMAS_Daily!C358,DAMAS_Daily!D358)</f>
        <v/>
      </c>
      <c r="K358" s="45">
        <f>IF(C358="aFRR+",MIN(DAMAS_Daily!C358*market_share_C*acceptance_rate*stack_activation,power_mw*hours_per_day,capacity_mwh),MIN(DAMAS_Daily!D358*market_share_C*acceptance_rate*stack_activation,power_mw*hours_per_day,capacity_mwh))</f>
        <v/>
      </c>
      <c r="L358" s="42">
        <f>IF(K358&gt;=capacity_mwh-0.01,"yes","no")</f>
        <v/>
      </c>
      <c r="M358" s="23">
        <f>IF(C358="aFRR+",(MIN(DAMAS_Daily!C358*market_share_C*acceptance_rate*stack_activation,power_mw*hours_per_day,capacity_mwh))*DAMAS_Daily!E358*activation_mult_C,(MIN(DAMAS_Daily!D358*market_share_C*acceptance_rate*stack_activation,power_mw*hours_per_day,capacity_mwh))*DAMAS_Daily!F358*activation_mult_C)</f>
        <v/>
      </c>
      <c r="N358" s="24">
        <f>F358+M358</f>
        <v/>
      </c>
    </row>
    <row r="359">
      <c r="A359" s="41">
        <f>DAMAS_Daily!A359</f>
        <v/>
      </c>
      <c r="B359" s="42">
        <f>DAMAS_Daily!B359</f>
        <v/>
      </c>
      <c r="C359" s="42">
        <f>IF((power_mw*hours_per_day*damas_afrr_up*capacity_mult_C*stack_capacity*acceptance_rate+(MIN(DAMAS_Daily!C359*market_share_C*acceptance_rate*stack_activation,power_mw*hours_per_day,capacity_mwh))*DAMAS_Daily!E359*activation_mult_C)&gt;=(power_mw*hours_per_day*damas_afrr_down*capacity_mult_C*stack_capacity*acceptance_rate+(MIN(DAMAS_Daily!D359*market_share_C*acceptance_rate*stack_activation,power_mw*hours_per_day,capacity_mwh))*DAMAS_Daily!F359*activation_mult_C),"aFRR+","aFRR-")</f>
        <v/>
      </c>
      <c r="D359" s="43">
        <f>IF(C359="aFRR+",damas_afrr_up*capacity_mult_C,damas_afrr_down*capacity_mult_C)</f>
        <v/>
      </c>
      <c r="E359" s="44">
        <f>acceptance_rate</f>
        <v/>
      </c>
      <c r="F359" s="23">
        <f>IF(C359="aFRR+",power_mw*hours_per_day*damas_afrr_up*capacity_mult_C*stack_capacity*acceptance_rate,power_mw*hours_per_day*damas_afrr_down*capacity_mult_C*stack_capacity*acceptance_rate)</f>
        <v/>
      </c>
      <c r="G359" s="42">
        <f>IF(C359="aFRR+",DAMAS_Daily!I359,DAMAS_Daily!J359)</f>
        <v/>
      </c>
      <c r="H359" s="43">
        <f>IF(C359="aFRR+",DAMAS_Daily!E359,DAMAS_Daily!F359)</f>
        <v/>
      </c>
      <c r="I359" s="43">
        <f>IF(C359="aFRR+",DAMAS_Daily!G359,DAMAS_Daily!H359)</f>
        <v/>
      </c>
      <c r="J359" s="45">
        <f>IF(C359="aFRR+",DAMAS_Daily!C359,DAMAS_Daily!D359)</f>
        <v/>
      </c>
      <c r="K359" s="45">
        <f>IF(C359="aFRR+",MIN(DAMAS_Daily!C359*market_share_C*acceptance_rate*stack_activation,power_mw*hours_per_day,capacity_mwh),MIN(DAMAS_Daily!D359*market_share_C*acceptance_rate*stack_activation,power_mw*hours_per_day,capacity_mwh))</f>
        <v/>
      </c>
      <c r="L359" s="42">
        <f>IF(K359&gt;=capacity_mwh-0.01,"yes","no")</f>
        <v/>
      </c>
      <c r="M359" s="23">
        <f>IF(C359="aFRR+",(MIN(DAMAS_Daily!C359*market_share_C*acceptance_rate*stack_activation,power_mw*hours_per_day,capacity_mwh))*DAMAS_Daily!E359*activation_mult_C,(MIN(DAMAS_Daily!D359*market_share_C*acceptance_rate*stack_activation,power_mw*hours_per_day,capacity_mwh))*DAMAS_Daily!F359*activation_mult_C)</f>
        <v/>
      </c>
      <c r="N359" s="24">
        <f>F359+M359</f>
        <v/>
      </c>
    </row>
    <row r="360">
      <c r="A360" s="41">
        <f>DAMAS_Daily!A360</f>
        <v/>
      </c>
      <c r="B360" s="42">
        <f>DAMAS_Daily!B360</f>
        <v/>
      </c>
      <c r="C360" s="42">
        <f>IF((power_mw*hours_per_day*damas_afrr_up*capacity_mult_C*stack_capacity*acceptance_rate+(MIN(DAMAS_Daily!C360*market_share_C*acceptance_rate*stack_activation,power_mw*hours_per_day,capacity_mwh))*DAMAS_Daily!E360*activation_mult_C)&gt;=(power_mw*hours_per_day*damas_afrr_down*capacity_mult_C*stack_capacity*acceptance_rate+(MIN(DAMAS_Daily!D360*market_share_C*acceptance_rate*stack_activation,power_mw*hours_per_day,capacity_mwh))*DAMAS_Daily!F360*activation_mult_C),"aFRR+","aFRR-")</f>
        <v/>
      </c>
      <c r="D360" s="43">
        <f>IF(C360="aFRR+",damas_afrr_up*capacity_mult_C,damas_afrr_down*capacity_mult_C)</f>
        <v/>
      </c>
      <c r="E360" s="44">
        <f>acceptance_rate</f>
        <v/>
      </c>
      <c r="F360" s="23">
        <f>IF(C360="aFRR+",power_mw*hours_per_day*damas_afrr_up*capacity_mult_C*stack_capacity*acceptance_rate,power_mw*hours_per_day*damas_afrr_down*capacity_mult_C*stack_capacity*acceptance_rate)</f>
        <v/>
      </c>
      <c r="G360" s="42">
        <f>IF(C360="aFRR+",DAMAS_Daily!I360,DAMAS_Daily!J360)</f>
        <v/>
      </c>
      <c r="H360" s="43">
        <f>IF(C360="aFRR+",DAMAS_Daily!E360,DAMAS_Daily!F360)</f>
        <v/>
      </c>
      <c r="I360" s="43">
        <f>IF(C360="aFRR+",DAMAS_Daily!G360,DAMAS_Daily!H360)</f>
        <v/>
      </c>
      <c r="J360" s="45">
        <f>IF(C360="aFRR+",DAMAS_Daily!C360,DAMAS_Daily!D360)</f>
        <v/>
      </c>
      <c r="K360" s="45">
        <f>IF(C360="aFRR+",MIN(DAMAS_Daily!C360*market_share_C*acceptance_rate*stack_activation,power_mw*hours_per_day,capacity_mwh),MIN(DAMAS_Daily!D360*market_share_C*acceptance_rate*stack_activation,power_mw*hours_per_day,capacity_mwh))</f>
        <v/>
      </c>
      <c r="L360" s="42">
        <f>IF(K360&gt;=capacity_mwh-0.01,"yes","no")</f>
        <v/>
      </c>
      <c r="M360" s="23">
        <f>IF(C360="aFRR+",(MIN(DAMAS_Daily!C360*market_share_C*acceptance_rate*stack_activation,power_mw*hours_per_day,capacity_mwh))*DAMAS_Daily!E360*activation_mult_C,(MIN(DAMAS_Daily!D360*market_share_C*acceptance_rate*stack_activation,power_mw*hours_per_day,capacity_mwh))*DAMAS_Daily!F360*activation_mult_C)</f>
        <v/>
      </c>
      <c r="N360" s="24">
        <f>F360+M360</f>
        <v/>
      </c>
    </row>
    <row r="361">
      <c r="A361" s="41">
        <f>DAMAS_Daily!A361</f>
        <v/>
      </c>
      <c r="B361" s="42">
        <f>DAMAS_Daily!B361</f>
        <v/>
      </c>
      <c r="C361" s="42">
        <f>IF((power_mw*hours_per_day*damas_afrr_up*capacity_mult_C*stack_capacity*acceptance_rate+(MIN(DAMAS_Daily!C361*market_share_C*acceptance_rate*stack_activation,power_mw*hours_per_day,capacity_mwh))*DAMAS_Daily!E361*activation_mult_C)&gt;=(power_mw*hours_per_day*damas_afrr_down*capacity_mult_C*stack_capacity*acceptance_rate+(MIN(DAMAS_Daily!D361*market_share_C*acceptance_rate*stack_activation,power_mw*hours_per_day,capacity_mwh))*DAMAS_Daily!F361*activation_mult_C),"aFRR+","aFRR-")</f>
        <v/>
      </c>
      <c r="D361" s="43">
        <f>IF(C361="aFRR+",damas_afrr_up*capacity_mult_C,damas_afrr_down*capacity_mult_C)</f>
        <v/>
      </c>
      <c r="E361" s="44">
        <f>acceptance_rate</f>
        <v/>
      </c>
      <c r="F361" s="23">
        <f>IF(C361="aFRR+",power_mw*hours_per_day*damas_afrr_up*capacity_mult_C*stack_capacity*acceptance_rate,power_mw*hours_per_day*damas_afrr_down*capacity_mult_C*stack_capacity*acceptance_rate)</f>
        <v/>
      </c>
      <c r="G361" s="42">
        <f>IF(C361="aFRR+",DAMAS_Daily!I361,DAMAS_Daily!J361)</f>
        <v/>
      </c>
      <c r="H361" s="43">
        <f>IF(C361="aFRR+",DAMAS_Daily!E361,DAMAS_Daily!F361)</f>
        <v/>
      </c>
      <c r="I361" s="43">
        <f>IF(C361="aFRR+",DAMAS_Daily!G361,DAMAS_Daily!H361)</f>
        <v/>
      </c>
      <c r="J361" s="45">
        <f>IF(C361="aFRR+",DAMAS_Daily!C361,DAMAS_Daily!D361)</f>
        <v/>
      </c>
      <c r="K361" s="45">
        <f>IF(C361="aFRR+",MIN(DAMAS_Daily!C361*market_share_C*acceptance_rate*stack_activation,power_mw*hours_per_day,capacity_mwh),MIN(DAMAS_Daily!D361*market_share_C*acceptance_rate*stack_activation,power_mw*hours_per_day,capacity_mwh))</f>
        <v/>
      </c>
      <c r="L361" s="42">
        <f>IF(K361&gt;=capacity_mwh-0.01,"yes","no")</f>
        <v/>
      </c>
      <c r="M361" s="23">
        <f>IF(C361="aFRR+",(MIN(DAMAS_Daily!C361*market_share_C*acceptance_rate*stack_activation,power_mw*hours_per_day,capacity_mwh))*DAMAS_Daily!E361*activation_mult_C,(MIN(DAMAS_Daily!D361*market_share_C*acceptance_rate*stack_activation,power_mw*hours_per_day,capacity_mwh))*DAMAS_Daily!F361*activation_mult_C)</f>
        <v/>
      </c>
      <c r="N361" s="24">
        <f>F361+M361</f>
        <v/>
      </c>
    </row>
    <row r="362">
      <c r="A362" s="41">
        <f>DAMAS_Daily!A362</f>
        <v/>
      </c>
      <c r="B362" s="42">
        <f>DAMAS_Daily!B362</f>
        <v/>
      </c>
      <c r="C362" s="42">
        <f>IF((power_mw*hours_per_day*damas_afrr_up*capacity_mult_C*stack_capacity*acceptance_rate+(MIN(DAMAS_Daily!C362*market_share_C*acceptance_rate*stack_activation,power_mw*hours_per_day,capacity_mwh))*DAMAS_Daily!E362*activation_mult_C)&gt;=(power_mw*hours_per_day*damas_afrr_down*capacity_mult_C*stack_capacity*acceptance_rate+(MIN(DAMAS_Daily!D362*market_share_C*acceptance_rate*stack_activation,power_mw*hours_per_day,capacity_mwh))*DAMAS_Daily!F362*activation_mult_C),"aFRR+","aFRR-")</f>
        <v/>
      </c>
      <c r="D362" s="43">
        <f>IF(C362="aFRR+",damas_afrr_up*capacity_mult_C,damas_afrr_down*capacity_mult_C)</f>
        <v/>
      </c>
      <c r="E362" s="44">
        <f>acceptance_rate</f>
        <v/>
      </c>
      <c r="F362" s="23">
        <f>IF(C362="aFRR+",power_mw*hours_per_day*damas_afrr_up*capacity_mult_C*stack_capacity*acceptance_rate,power_mw*hours_per_day*damas_afrr_down*capacity_mult_C*stack_capacity*acceptance_rate)</f>
        <v/>
      </c>
      <c r="G362" s="42">
        <f>IF(C362="aFRR+",DAMAS_Daily!I362,DAMAS_Daily!J362)</f>
        <v/>
      </c>
      <c r="H362" s="43">
        <f>IF(C362="aFRR+",DAMAS_Daily!E362,DAMAS_Daily!F362)</f>
        <v/>
      </c>
      <c r="I362" s="43">
        <f>IF(C362="aFRR+",DAMAS_Daily!G362,DAMAS_Daily!H362)</f>
        <v/>
      </c>
      <c r="J362" s="45">
        <f>IF(C362="aFRR+",DAMAS_Daily!C362,DAMAS_Daily!D362)</f>
        <v/>
      </c>
      <c r="K362" s="45">
        <f>IF(C362="aFRR+",MIN(DAMAS_Daily!C362*market_share_C*acceptance_rate*stack_activation,power_mw*hours_per_day,capacity_mwh),MIN(DAMAS_Daily!D362*market_share_C*acceptance_rate*stack_activation,power_mw*hours_per_day,capacity_mwh))</f>
        <v/>
      </c>
      <c r="L362" s="42">
        <f>IF(K362&gt;=capacity_mwh-0.01,"yes","no")</f>
        <v/>
      </c>
      <c r="M362" s="23">
        <f>IF(C362="aFRR+",(MIN(DAMAS_Daily!C362*market_share_C*acceptance_rate*stack_activation,power_mw*hours_per_day,capacity_mwh))*DAMAS_Daily!E362*activation_mult_C,(MIN(DAMAS_Daily!D362*market_share_C*acceptance_rate*stack_activation,power_mw*hours_per_day,capacity_mwh))*DAMAS_Daily!F362*activation_mult_C)</f>
        <v/>
      </c>
      <c r="N362" s="24">
        <f>F362+M362</f>
        <v/>
      </c>
    </row>
    <row r="363">
      <c r="A363" s="41">
        <f>DAMAS_Daily!A363</f>
        <v/>
      </c>
      <c r="B363" s="42">
        <f>DAMAS_Daily!B363</f>
        <v/>
      </c>
      <c r="C363" s="42">
        <f>IF((power_mw*hours_per_day*damas_afrr_up*capacity_mult_C*stack_capacity*acceptance_rate+(MIN(DAMAS_Daily!C363*market_share_C*acceptance_rate*stack_activation,power_mw*hours_per_day,capacity_mwh))*DAMAS_Daily!E363*activation_mult_C)&gt;=(power_mw*hours_per_day*damas_afrr_down*capacity_mult_C*stack_capacity*acceptance_rate+(MIN(DAMAS_Daily!D363*market_share_C*acceptance_rate*stack_activation,power_mw*hours_per_day,capacity_mwh))*DAMAS_Daily!F363*activation_mult_C),"aFRR+","aFRR-")</f>
        <v/>
      </c>
      <c r="D363" s="43">
        <f>IF(C363="aFRR+",damas_afrr_up*capacity_mult_C,damas_afrr_down*capacity_mult_C)</f>
        <v/>
      </c>
      <c r="E363" s="44">
        <f>acceptance_rate</f>
        <v/>
      </c>
      <c r="F363" s="23">
        <f>IF(C363="aFRR+",power_mw*hours_per_day*damas_afrr_up*capacity_mult_C*stack_capacity*acceptance_rate,power_mw*hours_per_day*damas_afrr_down*capacity_mult_C*stack_capacity*acceptance_rate)</f>
        <v/>
      </c>
      <c r="G363" s="42">
        <f>IF(C363="aFRR+",DAMAS_Daily!I363,DAMAS_Daily!J363)</f>
        <v/>
      </c>
      <c r="H363" s="43">
        <f>IF(C363="aFRR+",DAMAS_Daily!E363,DAMAS_Daily!F363)</f>
        <v/>
      </c>
      <c r="I363" s="43">
        <f>IF(C363="aFRR+",DAMAS_Daily!G363,DAMAS_Daily!H363)</f>
        <v/>
      </c>
      <c r="J363" s="45">
        <f>IF(C363="aFRR+",DAMAS_Daily!C363,DAMAS_Daily!D363)</f>
        <v/>
      </c>
      <c r="K363" s="45">
        <f>IF(C363="aFRR+",MIN(DAMAS_Daily!C363*market_share_C*acceptance_rate*stack_activation,power_mw*hours_per_day,capacity_mwh),MIN(DAMAS_Daily!D363*market_share_C*acceptance_rate*stack_activation,power_mw*hours_per_day,capacity_mwh))</f>
        <v/>
      </c>
      <c r="L363" s="42">
        <f>IF(K363&gt;=capacity_mwh-0.01,"yes","no")</f>
        <v/>
      </c>
      <c r="M363" s="23">
        <f>IF(C363="aFRR+",(MIN(DAMAS_Daily!C363*market_share_C*acceptance_rate*stack_activation,power_mw*hours_per_day,capacity_mwh))*DAMAS_Daily!E363*activation_mult_C,(MIN(DAMAS_Daily!D363*market_share_C*acceptance_rate*stack_activation,power_mw*hours_per_day,capacity_mwh))*DAMAS_Daily!F363*activation_mult_C)</f>
        <v/>
      </c>
      <c r="N363" s="24">
        <f>F363+M363</f>
        <v/>
      </c>
    </row>
    <row r="364">
      <c r="A364" s="41">
        <f>DAMAS_Daily!A364</f>
        <v/>
      </c>
      <c r="B364" s="42">
        <f>DAMAS_Daily!B364</f>
        <v/>
      </c>
      <c r="C364" s="42">
        <f>IF((power_mw*hours_per_day*damas_afrr_up*capacity_mult_C*stack_capacity*acceptance_rate+(MIN(DAMAS_Daily!C364*market_share_C*acceptance_rate*stack_activation,power_mw*hours_per_day,capacity_mwh))*DAMAS_Daily!E364*activation_mult_C)&gt;=(power_mw*hours_per_day*damas_afrr_down*capacity_mult_C*stack_capacity*acceptance_rate+(MIN(DAMAS_Daily!D364*market_share_C*acceptance_rate*stack_activation,power_mw*hours_per_day,capacity_mwh))*DAMAS_Daily!F364*activation_mult_C),"aFRR+","aFRR-")</f>
        <v/>
      </c>
      <c r="D364" s="43">
        <f>IF(C364="aFRR+",damas_afrr_up*capacity_mult_C,damas_afrr_down*capacity_mult_C)</f>
        <v/>
      </c>
      <c r="E364" s="44">
        <f>acceptance_rate</f>
        <v/>
      </c>
      <c r="F364" s="23">
        <f>IF(C364="aFRR+",power_mw*hours_per_day*damas_afrr_up*capacity_mult_C*stack_capacity*acceptance_rate,power_mw*hours_per_day*damas_afrr_down*capacity_mult_C*stack_capacity*acceptance_rate)</f>
        <v/>
      </c>
      <c r="G364" s="42">
        <f>IF(C364="aFRR+",DAMAS_Daily!I364,DAMAS_Daily!J364)</f>
        <v/>
      </c>
      <c r="H364" s="43">
        <f>IF(C364="aFRR+",DAMAS_Daily!E364,DAMAS_Daily!F364)</f>
        <v/>
      </c>
      <c r="I364" s="43">
        <f>IF(C364="aFRR+",DAMAS_Daily!G364,DAMAS_Daily!H364)</f>
        <v/>
      </c>
      <c r="J364" s="45">
        <f>IF(C364="aFRR+",DAMAS_Daily!C364,DAMAS_Daily!D364)</f>
        <v/>
      </c>
      <c r="K364" s="45">
        <f>IF(C364="aFRR+",MIN(DAMAS_Daily!C364*market_share_C*acceptance_rate*stack_activation,power_mw*hours_per_day,capacity_mwh),MIN(DAMAS_Daily!D364*market_share_C*acceptance_rate*stack_activation,power_mw*hours_per_day,capacity_mwh))</f>
        <v/>
      </c>
      <c r="L364" s="42">
        <f>IF(K364&gt;=capacity_mwh-0.01,"yes","no")</f>
        <v/>
      </c>
      <c r="M364" s="23">
        <f>IF(C364="aFRR+",(MIN(DAMAS_Daily!C364*market_share_C*acceptance_rate*stack_activation,power_mw*hours_per_day,capacity_mwh))*DAMAS_Daily!E364*activation_mult_C,(MIN(DAMAS_Daily!D364*market_share_C*acceptance_rate*stack_activation,power_mw*hours_per_day,capacity_mwh))*DAMAS_Daily!F364*activation_mult_C)</f>
        <v/>
      </c>
      <c r="N364" s="24">
        <f>F364+M364</f>
        <v/>
      </c>
    </row>
    <row r="365">
      <c r="A365" s="41">
        <f>DAMAS_Daily!A365</f>
        <v/>
      </c>
      <c r="B365" s="42">
        <f>DAMAS_Daily!B365</f>
        <v/>
      </c>
      <c r="C365" s="42">
        <f>IF((power_mw*hours_per_day*damas_afrr_up*capacity_mult_C*stack_capacity*acceptance_rate+(MIN(DAMAS_Daily!C365*market_share_C*acceptance_rate*stack_activation,power_mw*hours_per_day,capacity_mwh))*DAMAS_Daily!E365*activation_mult_C)&gt;=(power_mw*hours_per_day*damas_afrr_down*capacity_mult_C*stack_capacity*acceptance_rate+(MIN(DAMAS_Daily!D365*market_share_C*acceptance_rate*stack_activation,power_mw*hours_per_day,capacity_mwh))*DAMAS_Daily!F365*activation_mult_C),"aFRR+","aFRR-")</f>
        <v/>
      </c>
      <c r="D365" s="43">
        <f>IF(C365="aFRR+",damas_afrr_up*capacity_mult_C,damas_afrr_down*capacity_mult_C)</f>
        <v/>
      </c>
      <c r="E365" s="44">
        <f>acceptance_rate</f>
        <v/>
      </c>
      <c r="F365" s="23">
        <f>IF(C365="aFRR+",power_mw*hours_per_day*damas_afrr_up*capacity_mult_C*stack_capacity*acceptance_rate,power_mw*hours_per_day*damas_afrr_down*capacity_mult_C*stack_capacity*acceptance_rate)</f>
        <v/>
      </c>
      <c r="G365" s="42">
        <f>IF(C365="aFRR+",DAMAS_Daily!I365,DAMAS_Daily!J365)</f>
        <v/>
      </c>
      <c r="H365" s="43">
        <f>IF(C365="aFRR+",DAMAS_Daily!E365,DAMAS_Daily!F365)</f>
        <v/>
      </c>
      <c r="I365" s="43">
        <f>IF(C365="aFRR+",DAMAS_Daily!G365,DAMAS_Daily!H365)</f>
        <v/>
      </c>
      <c r="J365" s="45">
        <f>IF(C365="aFRR+",DAMAS_Daily!C365,DAMAS_Daily!D365)</f>
        <v/>
      </c>
      <c r="K365" s="45">
        <f>IF(C365="aFRR+",MIN(DAMAS_Daily!C365*market_share_C*acceptance_rate*stack_activation,power_mw*hours_per_day,capacity_mwh),MIN(DAMAS_Daily!D365*market_share_C*acceptance_rate*stack_activation,power_mw*hours_per_day,capacity_mwh))</f>
        <v/>
      </c>
      <c r="L365" s="42">
        <f>IF(K365&gt;=capacity_mwh-0.01,"yes","no")</f>
        <v/>
      </c>
      <c r="M365" s="23">
        <f>IF(C365="aFRR+",(MIN(DAMAS_Daily!C365*market_share_C*acceptance_rate*stack_activation,power_mw*hours_per_day,capacity_mwh))*DAMAS_Daily!E365*activation_mult_C,(MIN(DAMAS_Daily!D365*market_share_C*acceptance_rate*stack_activation,power_mw*hours_per_day,capacity_mwh))*DAMAS_Daily!F365*activation_mult_C)</f>
        <v/>
      </c>
      <c r="N365" s="24">
        <f>F365+M365</f>
        <v/>
      </c>
    </row>
    <row r="366">
      <c r="A366" s="41">
        <f>DAMAS_Daily!A366</f>
        <v/>
      </c>
      <c r="B366" s="42">
        <f>DAMAS_Daily!B366</f>
        <v/>
      </c>
      <c r="C366" s="42">
        <f>IF((power_mw*hours_per_day*damas_afrr_up*capacity_mult_C*stack_capacity*acceptance_rate+(MIN(DAMAS_Daily!C366*market_share_C*acceptance_rate*stack_activation,power_mw*hours_per_day,capacity_mwh))*DAMAS_Daily!E366*activation_mult_C)&gt;=(power_mw*hours_per_day*damas_afrr_down*capacity_mult_C*stack_capacity*acceptance_rate+(MIN(DAMAS_Daily!D366*market_share_C*acceptance_rate*stack_activation,power_mw*hours_per_day,capacity_mwh))*DAMAS_Daily!F366*activation_mult_C),"aFRR+","aFRR-")</f>
        <v/>
      </c>
      <c r="D366" s="43">
        <f>IF(C366="aFRR+",damas_afrr_up*capacity_mult_C,damas_afrr_down*capacity_mult_C)</f>
        <v/>
      </c>
      <c r="E366" s="44">
        <f>acceptance_rate</f>
        <v/>
      </c>
      <c r="F366" s="23">
        <f>IF(C366="aFRR+",power_mw*hours_per_day*damas_afrr_up*capacity_mult_C*stack_capacity*acceptance_rate,power_mw*hours_per_day*damas_afrr_down*capacity_mult_C*stack_capacity*acceptance_rate)</f>
        <v/>
      </c>
      <c r="G366" s="42">
        <f>IF(C366="aFRR+",DAMAS_Daily!I366,DAMAS_Daily!J366)</f>
        <v/>
      </c>
      <c r="H366" s="43">
        <f>IF(C366="aFRR+",DAMAS_Daily!E366,DAMAS_Daily!F366)</f>
        <v/>
      </c>
      <c r="I366" s="43">
        <f>IF(C366="aFRR+",DAMAS_Daily!G366,DAMAS_Daily!H366)</f>
        <v/>
      </c>
      <c r="J366" s="45">
        <f>IF(C366="aFRR+",DAMAS_Daily!C366,DAMAS_Daily!D366)</f>
        <v/>
      </c>
      <c r="K366" s="45">
        <f>IF(C366="aFRR+",MIN(DAMAS_Daily!C366*market_share_C*acceptance_rate*stack_activation,power_mw*hours_per_day,capacity_mwh),MIN(DAMAS_Daily!D366*market_share_C*acceptance_rate*stack_activation,power_mw*hours_per_day,capacity_mwh))</f>
        <v/>
      </c>
      <c r="L366" s="42">
        <f>IF(K366&gt;=capacity_mwh-0.01,"yes","no")</f>
        <v/>
      </c>
      <c r="M366" s="23">
        <f>IF(C366="aFRR+",(MIN(DAMAS_Daily!C366*market_share_C*acceptance_rate*stack_activation,power_mw*hours_per_day,capacity_mwh))*DAMAS_Daily!E366*activation_mult_C,(MIN(DAMAS_Daily!D366*market_share_C*acceptance_rate*stack_activation,power_mw*hours_per_day,capacity_mwh))*DAMAS_Daily!F366*activation_mult_C)</f>
        <v/>
      </c>
      <c r="N366" s="24">
        <f>F366+M366</f>
        <v/>
      </c>
    </row>
    <row r="367">
      <c r="A367" s="41">
        <f>DAMAS_Daily!A367</f>
        <v/>
      </c>
      <c r="B367" s="42">
        <f>DAMAS_Daily!B367</f>
        <v/>
      </c>
      <c r="C367" s="42">
        <f>IF((power_mw*hours_per_day*damas_afrr_up*capacity_mult_C*stack_capacity*acceptance_rate+(MIN(DAMAS_Daily!C367*market_share_C*acceptance_rate*stack_activation,power_mw*hours_per_day,capacity_mwh))*DAMAS_Daily!E367*activation_mult_C)&gt;=(power_mw*hours_per_day*damas_afrr_down*capacity_mult_C*stack_capacity*acceptance_rate+(MIN(DAMAS_Daily!D367*market_share_C*acceptance_rate*stack_activation,power_mw*hours_per_day,capacity_mwh))*DAMAS_Daily!F367*activation_mult_C),"aFRR+","aFRR-")</f>
        <v/>
      </c>
      <c r="D367" s="43">
        <f>IF(C367="aFRR+",damas_afrr_up*capacity_mult_C,damas_afrr_down*capacity_mult_C)</f>
        <v/>
      </c>
      <c r="E367" s="44">
        <f>acceptance_rate</f>
        <v/>
      </c>
      <c r="F367" s="23">
        <f>IF(C367="aFRR+",power_mw*hours_per_day*damas_afrr_up*capacity_mult_C*stack_capacity*acceptance_rate,power_mw*hours_per_day*damas_afrr_down*capacity_mult_C*stack_capacity*acceptance_rate)</f>
        <v/>
      </c>
      <c r="G367" s="42">
        <f>IF(C367="aFRR+",DAMAS_Daily!I367,DAMAS_Daily!J367)</f>
        <v/>
      </c>
      <c r="H367" s="43">
        <f>IF(C367="aFRR+",DAMAS_Daily!E367,DAMAS_Daily!F367)</f>
        <v/>
      </c>
      <c r="I367" s="43">
        <f>IF(C367="aFRR+",DAMAS_Daily!G367,DAMAS_Daily!H367)</f>
        <v/>
      </c>
      <c r="J367" s="45">
        <f>IF(C367="aFRR+",DAMAS_Daily!C367,DAMAS_Daily!D367)</f>
        <v/>
      </c>
      <c r="K367" s="45">
        <f>IF(C367="aFRR+",MIN(DAMAS_Daily!C367*market_share_C*acceptance_rate*stack_activation,power_mw*hours_per_day,capacity_mwh),MIN(DAMAS_Daily!D367*market_share_C*acceptance_rate*stack_activation,power_mw*hours_per_day,capacity_mwh))</f>
        <v/>
      </c>
      <c r="L367" s="42">
        <f>IF(K367&gt;=capacity_mwh-0.01,"yes","no")</f>
        <v/>
      </c>
      <c r="M367" s="23">
        <f>IF(C367="aFRR+",(MIN(DAMAS_Daily!C367*market_share_C*acceptance_rate*stack_activation,power_mw*hours_per_day,capacity_mwh))*DAMAS_Daily!E367*activation_mult_C,(MIN(DAMAS_Daily!D367*market_share_C*acceptance_rate*stack_activation,power_mw*hours_per_day,capacity_mwh))*DAMAS_Daily!F367*activation_mult_C)</f>
        <v/>
      </c>
      <c r="N367" s="24">
        <f>F367+M367</f>
        <v/>
      </c>
    </row>
    <row r="368">
      <c r="A368" s="46" t="inlineStr">
        <is>
          <t>TOTAL</t>
        </is>
      </c>
      <c r="B368" s="46" t="inlineStr">
        <is>
          <t>366 days</t>
        </is>
      </c>
      <c r="C368" s="46" t="inlineStr">
        <is>
          <t>—</t>
        </is>
      </c>
      <c r="D368" s="46" t="n"/>
      <c r="E368" s="46" t="n"/>
      <c r="F368" s="47">
        <f>SUM(F2:F367)</f>
        <v/>
      </c>
      <c r="G368" s="46">
        <f>SUM(G2:G367)</f>
        <v/>
      </c>
      <c r="H368" s="46" t="n"/>
      <c r="I368" s="46" t="n"/>
      <c r="J368" s="46" t="n"/>
      <c r="K368" s="48">
        <f>SUM(K2:K367)</f>
        <v/>
      </c>
      <c r="L368" s="46" t="n"/>
      <c r="M368" s="47">
        <f>SUM(M2:M367)</f>
        <v/>
      </c>
      <c r="N368" s="47">
        <f>SUM(N2:N367)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</cols>
  <sheetData>
    <row r="1" ht="42" customHeight="1">
      <c r="A1" s="40" t="inlineStr">
        <is>
          <t>Date</t>
        </is>
      </c>
      <c r="B1" s="40" t="inlineStr">
        <is>
          <t>Weekday</t>
        </is>
      </c>
      <c r="C1" s="40" t="inlineStr">
        <is>
          <t>Selected</t>
        </is>
      </c>
      <c r="D1" s="40" t="inlineStr">
        <is>
          <t>Recommended bid (€/MW/h)</t>
        </is>
      </c>
      <c r="E1" s="40" t="inlineStr">
        <is>
          <t>Acceptance rate</t>
        </is>
      </c>
      <c r="F1" s="40" t="inlineStr">
        <is>
          <t>Capacity revenue (€)</t>
        </is>
      </c>
      <c r="G1" s="40" t="inlineStr">
        <is>
          <t>Slots activated (#/96)</t>
        </is>
      </c>
      <c r="H1" s="40" t="inlineStr">
        <is>
          <t>Avg activation price (€/MWh)</t>
        </is>
      </c>
      <c r="I1" s="40" t="inlineStr">
        <is>
          <t>Max activation price (€/MWh)</t>
        </is>
      </c>
      <c r="J1" s="40" t="inlineStr">
        <is>
          <t>Market activations (MWh)</t>
        </is>
      </c>
      <c r="K1" s="40" t="inlineStr">
        <is>
          <t>Captured energy (MWh)</t>
        </is>
      </c>
      <c r="L1" s="40" t="inlineStr">
        <is>
          <t>Battery cap binding</t>
        </is>
      </c>
      <c r="M1" s="40" t="inlineStr">
        <is>
          <t>Activation revenue (€)</t>
        </is>
      </c>
      <c r="N1" s="40" t="inlineStr">
        <is>
          <t>Daily revenue (€)</t>
        </is>
      </c>
    </row>
    <row r="2">
      <c r="A2" s="41">
        <f>DAMAS_Daily!A2</f>
        <v/>
      </c>
      <c r="B2" s="42">
        <f>DAMAS_Daily!B2</f>
        <v/>
      </c>
      <c r="C2" s="42">
        <f>IF((power_mw*hours_per_day*damas_afrr_up*capacity_mult_D*stack_capacity*acceptance_rate+(MIN(DAMAS_Daily!C2*market_share_D*acceptance_rate*stack_activation,power_mw*hours_per_day,capacity_mwh))*DAMAS_Daily!E2*activation_mult_D)&gt;=(power_mw*hours_per_day*damas_afrr_down*capacity_mult_D*stack_capacity*acceptance_rate+(MIN(DAMAS_Daily!D2*market_share_D*acceptance_rate*stack_activation,power_mw*hours_per_day,capacity_mwh))*DAMAS_Daily!F2*activation_mult_D),"aFRR+","aFRR-")</f>
        <v/>
      </c>
      <c r="D2" s="43">
        <f>IF(C2="aFRR+",damas_afrr_up*capacity_mult_D,damas_afrr_down*capacity_mult_D)</f>
        <v/>
      </c>
      <c r="E2" s="44">
        <f>acceptance_rate</f>
        <v/>
      </c>
      <c r="F2" s="28">
        <f>IF(C2="aFRR+",power_mw*hours_per_day*damas_afrr_up*capacity_mult_D*stack_capacity*acceptance_rate,power_mw*hours_per_day*damas_afrr_down*capacity_mult_D*stack_capacity*acceptance_rate)</f>
        <v/>
      </c>
      <c r="G2" s="42">
        <f>IF(C2="aFRR+",DAMAS_Daily!I2,DAMAS_Daily!J2)</f>
        <v/>
      </c>
      <c r="H2" s="43">
        <f>IF(C2="aFRR+",DAMAS_Daily!E2,DAMAS_Daily!F2)</f>
        <v/>
      </c>
      <c r="I2" s="43">
        <f>IF(C2="aFRR+",DAMAS_Daily!G2,DAMAS_Daily!H2)</f>
        <v/>
      </c>
      <c r="J2" s="45">
        <f>IF(C2="aFRR+",DAMAS_Daily!C2,DAMAS_Daily!D2)</f>
        <v/>
      </c>
      <c r="K2" s="45">
        <f>IF(C2="aFRR+",MIN(DAMAS_Daily!C2*market_share_D*acceptance_rate*stack_activation,power_mw*hours_per_day,capacity_mwh),MIN(DAMAS_Daily!D2*market_share_D*acceptance_rate*stack_activation,power_mw*hours_per_day,capacity_mwh))</f>
        <v/>
      </c>
      <c r="L2" s="42">
        <f>IF(K2&gt;=capacity_mwh-0.01,"yes","no")</f>
        <v/>
      </c>
      <c r="M2" s="28">
        <f>IF(C2="aFRR+",(MIN(DAMAS_Daily!C2*market_share_D*acceptance_rate*stack_activation,power_mw*hours_per_day,capacity_mwh))*DAMAS_Daily!E2*activation_mult_D,(MIN(DAMAS_Daily!D2*market_share_D*acceptance_rate*stack_activation,power_mw*hours_per_day,capacity_mwh))*DAMAS_Daily!F2*activation_mult_D)</f>
        <v/>
      </c>
      <c r="N2" s="29">
        <f>F2+M2</f>
        <v/>
      </c>
    </row>
    <row r="3">
      <c r="A3" s="41">
        <f>DAMAS_Daily!A3</f>
        <v/>
      </c>
      <c r="B3" s="42">
        <f>DAMAS_Daily!B3</f>
        <v/>
      </c>
      <c r="C3" s="42">
        <f>IF((power_mw*hours_per_day*damas_afrr_up*capacity_mult_D*stack_capacity*acceptance_rate+(MIN(DAMAS_Daily!C3*market_share_D*acceptance_rate*stack_activation,power_mw*hours_per_day,capacity_mwh))*DAMAS_Daily!E3*activation_mult_D)&gt;=(power_mw*hours_per_day*damas_afrr_down*capacity_mult_D*stack_capacity*acceptance_rate+(MIN(DAMAS_Daily!D3*market_share_D*acceptance_rate*stack_activation,power_mw*hours_per_day,capacity_mwh))*DAMAS_Daily!F3*activation_mult_D),"aFRR+","aFRR-")</f>
        <v/>
      </c>
      <c r="D3" s="43">
        <f>IF(C3="aFRR+",damas_afrr_up*capacity_mult_D,damas_afrr_down*capacity_mult_D)</f>
        <v/>
      </c>
      <c r="E3" s="44">
        <f>acceptance_rate</f>
        <v/>
      </c>
      <c r="F3" s="28">
        <f>IF(C3="aFRR+",power_mw*hours_per_day*damas_afrr_up*capacity_mult_D*stack_capacity*acceptance_rate,power_mw*hours_per_day*damas_afrr_down*capacity_mult_D*stack_capacity*acceptance_rate)</f>
        <v/>
      </c>
      <c r="G3" s="42">
        <f>IF(C3="aFRR+",DAMAS_Daily!I3,DAMAS_Daily!J3)</f>
        <v/>
      </c>
      <c r="H3" s="43">
        <f>IF(C3="aFRR+",DAMAS_Daily!E3,DAMAS_Daily!F3)</f>
        <v/>
      </c>
      <c r="I3" s="43">
        <f>IF(C3="aFRR+",DAMAS_Daily!G3,DAMAS_Daily!H3)</f>
        <v/>
      </c>
      <c r="J3" s="45">
        <f>IF(C3="aFRR+",DAMAS_Daily!C3,DAMAS_Daily!D3)</f>
        <v/>
      </c>
      <c r="K3" s="45">
        <f>IF(C3="aFRR+",MIN(DAMAS_Daily!C3*market_share_D*acceptance_rate*stack_activation,power_mw*hours_per_day,capacity_mwh),MIN(DAMAS_Daily!D3*market_share_D*acceptance_rate*stack_activation,power_mw*hours_per_day,capacity_mwh))</f>
        <v/>
      </c>
      <c r="L3" s="42">
        <f>IF(K3&gt;=capacity_mwh-0.01,"yes","no")</f>
        <v/>
      </c>
      <c r="M3" s="28">
        <f>IF(C3="aFRR+",(MIN(DAMAS_Daily!C3*market_share_D*acceptance_rate*stack_activation,power_mw*hours_per_day,capacity_mwh))*DAMAS_Daily!E3*activation_mult_D,(MIN(DAMAS_Daily!D3*market_share_D*acceptance_rate*stack_activation,power_mw*hours_per_day,capacity_mwh))*DAMAS_Daily!F3*activation_mult_D)</f>
        <v/>
      </c>
      <c r="N3" s="29">
        <f>F3+M3</f>
        <v/>
      </c>
    </row>
    <row r="4">
      <c r="A4" s="41">
        <f>DAMAS_Daily!A4</f>
        <v/>
      </c>
      <c r="B4" s="42">
        <f>DAMAS_Daily!B4</f>
        <v/>
      </c>
      <c r="C4" s="42">
        <f>IF((power_mw*hours_per_day*damas_afrr_up*capacity_mult_D*stack_capacity*acceptance_rate+(MIN(DAMAS_Daily!C4*market_share_D*acceptance_rate*stack_activation,power_mw*hours_per_day,capacity_mwh))*DAMAS_Daily!E4*activation_mult_D)&gt;=(power_mw*hours_per_day*damas_afrr_down*capacity_mult_D*stack_capacity*acceptance_rate+(MIN(DAMAS_Daily!D4*market_share_D*acceptance_rate*stack_activation,power_mw*hours_per_day,capacity_mwh))*DAMAS_Daily!F4*activation_mult_D),"aFRR+","aFRR-")</f>
        <v/>
      </c>
      <c r="D4" s="43">
        <f>IF(C4="aFRR+",damas_afrr_up*capacity_mult_D,damas_afrr_down*capacity_mult_D)</f>
        <v/>
      </c>
      <c r="E4" s="44">
        <f>acceptance_rate</f>
        <v/>
      </c>
      <c r="F4" s="28">
        <f>IF(C4="aFRR+",power_mw*hours_per_day*damas_afrr_up*capacity_mult_D*stack_capacity*acceptance_rate,power_mw*hours_per_day*damas_afrr_down*capacity_mult_D*stack_capacity*acceptance_rate)</f>
        <v/>
      </c>
      <c r="G4" s="42">
        <f>IF(C4="aFRR+",DAMAS_Daily!I4,DAMAS_Daily!J4)</f>
        <v/>
      </c>
      <c r="H4" s="43">
        <f>IF(C4="aFRR+",DAMAS_Daily!E4,DAMAS_Daily!F4)</f>
        <v/>
      </c>
      <c r="I4" s="43">
        <f>IF(C4="aFRR+",DAMAS_Daily!G4,DAMAS_Daily!H4)</f>
        <v/>
      </c>
      <c r="J4" s="45">
        <f>IF(C4="aFRR+",DAMAS_Daily!C4,DAMAS_Daily!D4)</f>
        <v/>
      </c>
      <c r="K4" s="45">
        <f>IF(C4="aFRR+",MIN(DAMAS_Daily!C4*market_share_D*acceptance_rate*stack_activation,power_mw*hours_per_day,capacity_mwh),MIN(DAMAS_Daily!D4*market_share_D*acceptance_rate*stack_activation,power_mw*hours_per_day,capacity_mwh))</f>
        <v/>
      </c>
      <c r="L4" s="42">
        <f>IF(K4&gt;=capacity_mwh-0.01,"yes","no")</f>
        <v/>
      </c>
      <c r="M4" s="28">
        <f>IF(C4="aFRR+",(MIN(DAMAS_Daily!C4*market_share_D*acceptance_rate*stack_activation,power_mw*hours_per_day,capacity_mwh))*DAMAS_Daily!E4*activation_mult_D,(MIN(DAMAS_Daily!D4*market_share_D*acceptance_rate*stack_activation,power_mw*hours_per_day,capacity_mwh))*DAMAS_Daily!F4*activation_mult_D)</f>
        <v/>
      </c>
      <c r="N4" s="29">
        <f>F4+M4</f>
        <v/>
      </c>
    </row>
    <row r="5">
      <c r="A5" s="41">
        <f>DAMAS_Daily!A5</f>
        <v/>
      </c>
      <c r="B5" s="42">
        <f>DAMAS_Daily!B5</f>
        <v/>
      </c>
      <c r="C5" s="42">
        <f>IF((power_mw*hours_per_day*damas_afrr_up*capacity_mult_D*stack_capacity*acceptance_rate+(MIN(DAMAS_Daily!C5*market_share_D*acceptance_rate*stack_activation,power_mw*hours_per_day,capacity_mwh))*DAMAS_Daily!E5*activation_mult_D)&gt;=(power_mw*hours_per_day*damas_afrr_down*capacity_mult_D*stack_capacity*acceptance_rate+(MIN(DAMAS_Daily!D5*market_share_D*acceptance_rate*stack_activation,power_mw*hours_per_day,capacity_mwh))*DAMAS_Daily!F5*activation_mult_D),"aFRR+","aFRR-")</f>
        <v/>
      </c>
      <c r="D5" s="43">
        <f>IF(C5="aFRR+",damas_afrr_up*capacity_mult_D,damas_afrr_down*capacity_mult_D)</f>
        <v/>
      </c>
      <c r="E5" s="44">
        <f>acceptance_rate</f>
        <v/>
      </c>
      <c r="F5" s="28">
        <f>IF(C5="aFRR+",power_mw*hours_per_day*damas_afrr_up*capacity_mult_D*stack_capacity*acceptance_rate,power_mw*hours_per_day*damas_afrr_down*capacity_mult_D*stack_capacity*acceptance_rate)</f>
        <v/>
      </c>
      <c r="G5" s="42">
        <f>IF(C5="aFRR+",DAMAS_Daily!I5,DAMAS_Daily!J5)</f>
        <v/>
      </c>
      <c r="H5" s="43">
        <f>IF(C5="aFRR+",DAMAS_Daily!E5,DAMAS_Daily!F5)</f>
        <v/>
      </c>
      <c r="I5" s="43">
        <f>IF(C5="aFRR+",DAMAS_Daily!G5,DAMAS_Daily!H5)</f>
        <v/>
      </c>
      <c r="J5" s="45">
        <f>IF(C5="aFRR+",DAMAS_Daily!C5,DAMAS_Daily!D5)</f>
        <v/>
      </c>
      <c r="K5" s="45">
        <f>IF(C5="aFRR+",MIN(DAMAS_Daily!C5*market_share_D*acceptance_rate*stack_activation,power_mw*hours_per_day,capacity_mwh),MIN(DAMAS_Daily!D5*market_share_D*acceptance_rate*stack_activation,power_mw*hours_per_day,capacity_mwh))</f>
        <v/>
      </c>
      <c r="L5" s="42">
        <f>IF(K5&gt;=capacity_mwh-0.01,"yes","no")</f>
        <v/>
      </c>
      <c r="M5" s="28">
        <f>IF(C5="aFRR+",(MIN(DAMAS_Daily!C5*market_share_D*acceptance_rate*stack_activation,power_mw*hours_per_day,capacity_mwh))*DAMAS_Daily!E5*activation_mult_D,(MIN(DAMAS_Daily!D5*market_share_D*acceptance_rate*stack_activation,power_mw*hours_per_day,capacity_mwh))*DAMAS_Daily!F5*activation_mult_D)</f>
        <v/>
      </c>
      <c r="N5" s="29">
        <f>F5+M5</f>
        <v/>
      </c>
    </row>
    <row r="6">
      <c r="A6" s="41">
        <f>DAMAS_Daily!A6</f>
        <v/>
      </c>
      <c r="B6" s="42">
        <f>DAMAS_Daily!B6</f>
        <v/>
      </c>
      <c r="C6" s="42">
        <f>IF((power_mw*hours_per_day*damas_afrr_up*capacity_mult_D*stack_capacity*acceptance_rate+(MIN(DAMAS_Daily!C6*market_share_D*acceptance_rate*stack_activation,power_mw*hours_per_day,capacity_mwh))*DAMAS_Daily!E6*activation_mult_D)&gt;=(power_mw*hours_per_day*damas_afrr_down*capacity_mult_D*stack_capacity*acceptance_rate+(MIN(DAMAS_Daily!D6*market_share_D*acceptance_rate*stack_activation,power_mw*hours_per_day,capacity_mwh))*DAMAS_Daily!F6*activation_mult_D),"aFRR+","aFRR-")</f>
        <v/>
      </c>
      <c r="D6" s="43">
        <f>IF(C6="aFRR+",damas_afrr_up*capacity_mult_D,damas_afrr_down*capacity_mult_D)</f>
        <v/>
      </c>
      <c r="E6" s="44">
        <f>acceptance_rate</f>
        <v/>
      </c>
      <c r="F6" s="28">
        <f>IF(C6="aFRR+",power_mw*hours_per_day*damas_afrr_up*capacity_mult_D*stack_capacity*acceptance_rate,power_mw*hours_per_day*damas_afrr_down*capacity_mult_D*stack_capacity*acceptance_rate)</f>
        <v/>
      </c>
      <c r="G6" s="42">
        <f>IF(C6="aFRR+",DAMAS_Daily!I6,DAMAS_Daily!J6)</f>
        <v/>
      </c>
      <c r="H6" s="43">
        <f>IF(C6="aFRR+",DAMAS_Daily!E6,DAMAS_Daily!F6)</f>
        <v/>
      </c>
      <c r="I6" s="43">
        <f>IF(C6="aFRR+",DAMAS_Daily!G6,DAMAS_Daily!H6)</f>
        <v/>
      </c>
      <c r="J6" s="45">
        <f>IF(C6="aFRR+",DAMAS_Daily!C6,DAMAS_Daily!D6)</f>
        <v/>
      </c>
      <c r="K6" s="45">
        <f>IF(C6="aFRR+",MIN(DAMAS_Daily!C6*market_share_D*acceptance_rate*stack_activation,power_mw*hours_per_day,capacity_mwh),MIN(DAMAS_Daily!D6*market_share_D*acceptance_rate*stack_activation,power_mw*hours_per_day,capacity_mwh))</f>
        <v/>
      </c>
      <c r="L6" s="42">
        <f>IF(K6&gt;=capacity_mwh-0.01,"yes","no")</f>
        <v/>
      </c>
      <c r="M6" s="28">
        <f>IF(C6="aFRR+",(MIN(DAMAS_Daily!C6*market_share_D*acceptance_rate*stack_activation,power_mw*hours_per_day,capacity_mwh))*DAMAS_Daily!E6*activation_mult_D,(MIN(DAMAS_Daily!D6*market_share_D*acceptance_rate*stack_activation,power_mw*hours_per_day,capacity_mwh))*DAMAS_Daily!F6*activation_mult_D)</f>
        <v/>
      </c>
      <c r="N6" s="29">
        <f>F6+M6</f>
        <v/>
      </c>
    </row>
    <row r="7">
      <c r="A7" s="41">
        <f>DAMAS_Daily!A7</f>
        <v/>
      </c>
      <c r="B7" s="42">
        <f>DAMAS_Daily!B7</f>
        <v/>
      </c>
      <c r="C7" s="42">
        <f>IF((power_mw*hours_per_day*damas_afrr_up*capacity_mult_D*stack_capacity*acceptance_rate+(MIN(DAMAS_Daily!C7*market_share_D*acceptance_rate*stack_activation,power_mw*hours_per_day,capacity_mwh))*DAMAS_Daily!E7*activation_mult_D)&gt;=(power_mw*hours_per_day*damas_afrr_down*capacity_mult_D*stack_capacity*acceptance_rate+(MIN(DAMAS_Daily!D7*market_share_D*acceptance_rate*stack_activation,power_mw*hours_per_day,capacity_mwh))*DAMAS_Daily!F7*activation_mult_D),"aFRR+","aFRR-")</f>
        <v/>
      </c>
      <c r="D7" s="43">
        <f>IF(C7="aFRR+",damas_afrr_up*capacity_mult_D,damas_afrr_down*capacity_mult_D)</f>
        <v/>
      </c>
      <c r="E7" s="44">
        <f>acceptance_rate</f>
        <v/>
      </c>
      <c r="F7" s="28">
        <f>IF(C7="aFRR+",power_mw*hours_per_day*damas_afrr_up*capacity_mult_D*stack_capacity*acceptance_rate,power_mw*hours_per_day*damas_afrr_down*capacity_mult_D*stack_capacity*acceptance_rate)</f>
        <v/>
      </c>
      <c r="G7" s="42">
        <f>IF(C7="aFRR+",DAMAS_Daily!I7,DAMAS_Daily!J7)</f>
        <v/>
      </c>
      <c r="H7" s="43">
        <f>IF(C7="aFRR+",DAMAS_Daily!E7,DAMAS_Daily!F7)</f>
        <v/>
      </c>
      <c r="I7" s="43">
        <f>IF(C7="aFRR+",DAMAS_Daily!G7,DAMAS_Daily!H7)</f>
        <v/>
      </c>
      <c r="J7" s="45">
        <f>IF(C7="aFRR+",DAMAS_Daily!C7,DAMAS_Daily!D7)</f>
        <v/>
      </c>
      <c r="K7" s="45">
        <f>IF(C7="aFRR+",MIN(DAMAS_Daily!C7*market_share_D*acceptance_rate*stack_activation,power_mw*hours_per_day,capacity_mwh),MIN(DAMAS_Daily!D7*market_share_D*acceptance_rate*stack_activation,power_mw*hours_per_day,capacity_mwh))</f>
        <v/>
      </c>
      <c r="L7" s="42">
        <f>IF(K7&gt;=capacity_mwh-0.01,"yes","no")</f>
        <v/>
      </c>
      <c r="M7" s="28">
        <f>IF(C7="aFRR+",(MIN(DAMAS_Daily!C7*market_share_D*acceptance_rate*stack_activation,power_mw*hours_per_day,capacity_mwh))*DAMAS_Daily!E7*activation_mult_D,(MIN(DAMAS_Daily!D7*market_share_D*acceptance_rate*stack_activation,power_mw*hours_per_day,capacity_mwh))*DAMAS_Daily!F7*activation_mult_D)</f>
        <v/>
      </c>
      <c r="N7" s="29">
        <f>F7+M7</f>
        <v/>
      </c>
    </row>
    <row r="8">
      <c r="A8" s="41">
        <f>DAMAS_Daily!A8</f>
        <v/>
      </c>
      <c r="B8" s="42">
        <f>DAMAS_Daily!B8</f>
        <v/>
      </c>
      <c r="C8" s="42">
        <f>IF((power_mw*hours_per_day*damas_afrr_up*capacity_mult_D*stack_capacity*acceptance_rate+(MIN(DAMAS_Daily!C8*market_share_D*acceptance_rate*stack_activation,power_mw*hours_per_day,capacity_mwh))*DAMAS_Daily!E8*activation_mult_D)&gt;=(power_mw*hours_per_day*damas_afrr_down*capacity_mult_D*stack_capacity*acceptance_rate+(MIN(DAMAS_Daily!D8*market_share_D*acceptance_rate*stack_activation,power_mw*hours_per_day,capacity_mwh))*DAMAS_Daily!F8*activation_mult_D),"aFRR+","aFRR-")</f>
        <v/>
      </c>
      <c r="D8" s="43">
        <f>IF(C8="aFRR+",damas_afrr_up*capacity_mult_D,damas_afrr_down*capacity_mult_D)</f>
        <v/>
      </c>
      <c r="E8" s="44">
        <f>acceptance_rate</f>
        <v/>
      </c>
      <c r="F8" s="28">
        <f>IF(C8="aFRR+",power_mw*hours_per_day*damas_afrr_up*capacity_mult_D*stack_capacity*acceptance_rate,power_mw*hours_per_day*damas_afrr_down*capacity_mult_D*stack_capacity*acceptance_rate)</f>
        <v/>
      </c>
      <c r="G8" s="42">
        <f>IF(C8="aFRR+",DAMAS_Daily!I8,DAMAS_Daily!J8)</f>
        <v/>
      </c>
      <c r="H8" s="43">
        <f>IF(C8="aFRR+",DAMAS_Daily!E8,DAMAS_Daily!F8)</f>
        <v/>
      </c>
      <c r="I8" s="43">
        <f>IF(C8="aFRR+",DAMAS_Daily!G8,DAMAS_Daily!H8)</f>
        <v/>
      </c>
      <c r="J8" s="45">
        <f>IF(C8="aFRR+",DAMAS_Daily!C8,DAMAS_Daily!D8)</f>
        <v/>
      </c>
      <c r="K8" s="45">
        <f>IF(C8="aFRR+",MIN(DAMAS_Daily!C8*market_share_D*acceptance_rate*stack_activation,power_mw*hours_per_day,capacity_mwh),MIN(DAMAS_Daily!D8*market_share_D*acceptance_rate*stack_activation,power_mw*hours_per_day,capacity_mwh))</f>
        <v/>
      </c>
      <c r="L8" s="42">
        <f>IF(K8&gt;=capacity_mwh-0.01,"yes","no")</f>
        <v/>
      </c>
      <c r="M8" s="28">
        <f>IF(C8="aFRR+",(MIN(DAMAS_Daily!C8*market_share_D*acceptance_rate*stack_activation,power_mw*hours_per_day,capacity_mwh))*DAMAS_Daily!E8*activation_mult_D,(MIN(DAMAS_Daily!D8*market_share_D*acceptance_rate*stack_activation,power_mw*hours_per_day,capacity_mwh))*DAMAS_Daily!F8*activation_mult_D)</f>
        <v/>
      </c>
      <c r="N8" s="29">
        <f>F8+M8</f>
        <v/>
      </c>
    </row>
    <row r="9">
      <c r="A9" s="41">
        <f>DAMAS_Daily!A9</f>
        <v/>
      </c>
      <c r="B9" s="42">
        <f>DAMAS_Daily!B9</f>
        <v/>
      </c>
      <c r="C9" s="42">
        <f>IF((power_mw*hours_per_day*damas_afrr_up*capacity_mult_D*stack_capacity*acceptance_rate+(MIN(DAMAS_Daily!C9*market_share_D*acceptance_rate*stack_activation,power_mw*hours_per_day,capacity_mwh))*DAMAS_Daily!E9*activation_mult_D)&gt;=(power_mw*hours_per_day*damas_afrr_down*capacity_mult_D*stack_capacity*acceptance_rate+(MIN(DAMAS_Daily!D9*market_share_D*acceptance_rate*stack_activation,power_mw*hours_per_day,capacity_mwh))*DAMAS_Daily!F9*activation_mult_D),"aFRR+","aFRR-")</f>
        <v/>
      </c>
      <c r="D9" s="43">
        <f>IF(C9="aFRR+",damas_afrr_up*capacity_mult_D,damas_afrr_down*capacity_mult_D)</f>
        <v/>
      </c>
      <c r="E9" s="44">
        <f>acceptance_rate</f>
        <v/>
      </c>
      <c r="F9" s="28">
        <f>IF(C9="aFRR+",power_mw*hours_per_day*damas_afrr_up*capacity_mult_D*stack_capacity*acceptance_rate,power_mw*hours_per_day*damas_afrr_down*capacity_mult_D*stack_capacity*acceptance_rate)</f>
        <v/>
      </c>
      <c r="G9" s="42">
        <f>IF(C9="aFRR+",DAMAS_Daily!I9,DAMAS_Daily!J9)</f>
        <v/>
      </c>
      <c r="H9" s="43">
        <f>IF(C9="aFRR+",DAMAS_Daily!E9,DAMAS_Daily!F9)</f>
        <v/>
      </c>
      <c r="I9" s="43">
        <f>IF(C9="aFRR+",DAMAS_Daily!G9,DAMAS_Daily!H9)</f>
        <v/>
      </c>
      <c r="J9" s="45">
        <f>IF(C9="aFRR+",DAMAS_Daily!C9,DAMAS_Daily!D9)</f>
        <v/>
      </c>
      <c r="K9" s="45">
        <f>IF(C9="aFRR+",MIN(DAMAS_Daily!C9*market_share_D*acceptance_rate*stack_activation,power_mw*hours_per_day,capacity_mwh),MIN(DAMAS_Daily!D9*market_share_D*acceptance_rate*stack_activation,power_mw*hours_per_day,capacity_mwh))</f>
        <v/>
      </c>
      <c r="L9" s="42">
        <f>IF(K9&gt;=capacity_mwh-0.01,"yes","no")</f>
        <v/>
      </c>
      <c r="M9" s="28">
        <f>IF(C9="aFRR+",(MIN(DAMAS_Daily!C9*market_share_D*acceptance_rate*stack_activation,power_mw*hours_per_day,capacity_mwh))*DAMAS_Daily!E9*activation_mult_D,(MIN(DAMAS_Daily!D9*market_share_D*acceptance_rate*stack_activation,power_mw*hours_per_day,capacity_mwh))*DAMAS_Daily!F9*activation_mult_D)</f>
        <v/>
      </c>
      <c r="N9" s="29">
        <f>F9+M9</f>
        <v/>
      </c>
    </row>
    <row r="10">
      <c r="A10" s="41">
        <f>DAMAS_Daily!A10</f>
        <v/>
      </c>
      <c r="B10" s="42">
        <f>DAMAS_Daily!B10</f>
        <v/>
      </c>
      <c r="C10" s="42">
        <f>IF((power_mw*hours_per_day*damas_afrr_up*capacity_mult_D*stack_capacity*acceptance_rate+(MIN(DAMAS_Daily!C10*market_share_D*acceptance_rate*stack_activation,power_mw*hours_per_day,capacity_mwh))*DAMAS_Daily!E10*activation_mult_D)&gt;=(power_mw*hours_per_day*damas_afrr_down*capacity_mult_D*stack_capacity*acceptance_rate+(MIN(DAMAS_Daily!D10*market_share_D*acceptance_rate*stack_activation,power_mw*hours_per_day,capacity_mwh))*DAMAS_Daily!F10*activation_mult_D),"aFRR+","aFRR-")</f>
        <v/>
      </c>
      <c r="D10" s="43">
        <f>IF(C10="aFRR+",damas_afrr_up*capacity_mult_D,damas_afrr_down*capacity_mult_D)</f>
        <v/>
      </c>
      <c r="E10" s="44">
        <f>acceptance_rate</f>
        <v/>
      </c>
      <c r="F10" s="28">
        <f>IF(C10="aFRR+",power_mw*hours_per_day*damas_afrr_up*capacity_mult_D*stack_capacity*acceptance_rate,power_mw*hours_per_day*damas_afrr_down*capacity_mult_D*stack_capacity*acceptance_rate)</f>
        <v/>
      </c>
      <c r="G10" s="42">
        <f>IF(C10="aFRR+",DAMAS_Daily!I10,DAMAS_Daily!J10)</f>
        <v/>
      </c>
      <c r="H10" s="43">
        <f>IF(C10="aFRR+",DAMAS_Daily!E10,DAMAS_Daily!F10)</f>
        <v/>
      </c>
      <c r="I10" s="43">
        <f>IF(C10="aFRR+",DAMAS_Daily!G10,DAMAS_Daily!H10)</f>
        <v/>
      </c>
      <c r="J10" s="45">
        <f>IF(C10="aFRR+",DAMAS_Daily!C10,DAMAS_Daily!D10)</f>
        <v/>
      </c>
      <c r="K10" s="45">
        <f>IF(C10="aFRR+",MIN(DAMAS_Daily!C10*market_share_D*acceptance_rate*stack_activation,power_mw*hours_per_day,capacity_mwh),MIN(DAMAS_Daily!D10*market_share_D*acceptance_rate*stack_activation,power_mw*hours_per_day,capacity_mwh))</f>
        <v/>
      </c>
      <c r="L10" s="42">
        <f>IF(K10&gt;=capacity_mwh-0.01,"yes","no")</f>
        <v/>
      </c>
      <c r="M10" s="28">
        <f>IF(C10="aFRR+",(MIN(DAMAS_Daily!C10*market_share_D*acceptance_rate*stack_activation,power_mw*hours_per_day,capacity_mwh))*DAMAS_Daily!E10*activation_mult_D,(MIN(DAMAS_Daily!D10*market_share_D*acceptance_rate*stack_activation,power_mw*hours_per_day,capacity_mwh))*DAMAS_Daily!F10*activation_mult_D)</f>
        <v/>
      </c>
      <c r="N10" s="29">
        <f>F10+M10</f>
        <v/>
      </c>
    </row>
    <row r="11">
      <c r="A11" s="41">
        <f>DAMAS_Daily!A11</f>
        <v/>
      </c>
      <c r="B11" s="42">
        <f>DAMAS_Daily!B11</f>
        <v/>
      </c>
      <c r="C11" s="42">
        <f>IF((power_mw*hours_per_day*damas_afrr_up*capacity_mult_D*stack_capacity*acceptance_rate+(MIN(DAMAS_Daily!C11*market_share_D*acceptance_rate*stack_activation,power_mw*hours_per_day,capacity_mwh))*DAMAS_Daily!E11*activation_mult_D)&gt;=(power_mw*hours_per_day*damas_afrr_down*capacity_mult_D*stack_capacity*acceptance_rate+(MIN(DAMAS_Daily!D11*market_share_D*acceptance_rate*stack_activation,power_mw*hours_per_day,capacity_mwh))*DAMAS_Daily!F11*activation_mult_D),"aFRR+","aFRR-")</f>
        <v/>
      </c>
      <c r="D11" s="43">
        <f>IF(C11="aFRR+",damas_afrr_up*capacity_mult_D,damas_afrr_down*capacity_mult_D)</f>
        <v/>
      </c>
      <c r="E11" s="44">
        <f>acceptance_rate</f>
        <v/>
      </c>
      <c r="F11" s="28">
        <f>IF(C11="aFRR+",power_mw*hours_per_day*damas_afrr_up*capacity_mult_D*stack_capacity*acceptance_rate,power_mw*hours_per_day*damas_afrr_down*capacity_mult_D*stack_capacity*acceptance_rate)</f>
        <v/>
      </c>
      <c r="G11" s="42">
        <f>IF(C11="aFRR+",DAMAS_Daily!I11,DAMAS_Daily!J11)</f>
        <v/>
      </c>
      <c r="H11" s="43">
        <f>IF(C11="aFRR+",DAMAS_Daily!E11,DAMAS_Daily!F11)</f>
        <v/>
      </c>
      <c r="I11" s="43">
        <f>IF(C11="aFRR+",DAMAS_Daily!G11,DAMAS_Daily!H11)</f>
        <v/>
      </c>
      <c r="J11" s="45">
        <f>IF(C11="aFRR+",DAMAS_Daily!C11,DAMAS_Daily!D11)</f>
        <v/>
      </c>
      <c r="K11" s="45">
        <f>IF(C11="aFRR+",MIN(DAMAS_Daily!C11*market_share_D*acceptance_rate*stack_activation,power_mw*hours_per_day,capacity_mwh),MIN(DAMAS_Daily!D11*market_share_D*acceptance_rate*stack_activation,power_mw*hours_per_day,capacity_mwh))</f>
        <v/>
      </c>
      <c r="L11" s="42">
        <f>IF(K11&gt;=capacity_mwh-0.01,"yes","no")</f>
        <v/>
      </c>
      <c r="M11" s="28">
        <f>IF(C11="aFRR+",(MIN(DAMAS_Daily!C11*market_share_D*acceptance_rate*stack_activation,power_mw*hours_per_day,capacity_mwh))*DAMAS_Daily!E11*activation_mult_D,(MIN(DAMAS_Daily!D11*market_share_D*acceptance_rate*stack_activation,power_mw*hours_per_day,capacity_mwh))*DAMAS_Daily!F11*activation_mult_D)</f>
        <v/>
      </c>
      <c r="N11" s="29">
        <f>F11+M11</f>
        <v/>
      </c>
    </row>
    <row r="12">
      <c r="A12" s="41">
        <f>DAMAS_Daily!A12</f>
        <v/>
      </c>
      <c r="B12" s="42">
        <f>DAMAS_Daily!B12</f>
        <v/>
      </c>
      <c r="C12" s="42">
        <f>IF((power_mw*hours_per_day*damas_afrr_up*capacity_mult_D*stack_capacity*acceptance_rate+(MIN(DAMAS_Daily!C12*market_share_D*acceptance_rate*stack_activation,power_mw*hours_per_day,capacity_mwh))*DAMAS_Daily!E12*activation_mult_D)&gt;=(power_mw*hours_per_day*damas_afrr_down*capacity_mult_D*stack_capacity*acceptance_rate+(MIN(DAMAS_Daily!D12*market_share_D*acceptance_rate*stack_activation,power_mw*hours_per_day,capacity_mwh))*DAMAS_Daily!F12*activation_mult_D),"aFRR+","aFRR-")</f>
        <v/>
      </c>
      <c r="D12" s="43">
        <f>IF(C12="aFRR+",damas_afrr_up*capacity_mult_D,damas_afrr_down*capacity_mult_D)</f>
        <v/>
      </c>
      <c r="E12" s="44">
        <f>acceptance_rate</f>
        <v/>
      </c>
      <c r="F12" s="28">
        <f>IF(C12="aFRR+",power_mw*hours_per_day*damas_afrr_up*capacity_mult_D*stack_capacity*acceptance_rate,power_mw*hours_per_day*damas_afrr_down*capacity_mult_D*stack_capacity*acceptance_rate)</f>
        <v/>
      </c>
      <c r="G12" s="42">
        <f>IF(C12="aFRR+",DAMAS_Daily!I12,DAMAS_Daily!J12)</f>
        <v/>
      </c>
      <c r="H12" s="43">
        <f>IF(C12="aFRR+",DAMAS_Daily!E12,DAMAS_Daily!F12)</f>
        <v/>
      </c>
      <c r="I12" s="43">
        <f>IF(C12="aFRR+",DAMAS_Daily!G12,DAMAS_Daily!H12)</f>
        <v/>
      </c>
      <c r="J12" s="45">
        <f>IF(C12="aFRR+",DAMAS_Daily!C12,DAMAS_Daily!D12)</f>
        <v/>
      </c>
      <c r="K12" s="45">
        <f>IF(C12="aFRR+",MIN(DAMAS_Daily!C12*market_share_D*acceptance_rate*stack_activation,power_mw*hours_per_day,capacity_mwh),MIN(DAMAS_Daily!D12*market_share_D*acceptance_rate*stack_activation,power_mw*hours_per_day,capacity_mwh))</f>
        <v/>
      </c>
      <c r="L12" s="42">
        <f>IF(K12&gt;=capacity_mwh-0.01,"yes","no")</f>
        <v/>
      </c>
      <c r="M12" s="28">
        <f>IF(C12="aFRR+",(MIN(DAMAS_Daily!C12*market_share_D*acceptance_rate*stack_activation,power_mw*hours_per_day,capacity_mwh))*DAMAS_Daily!E12*activation_mult_D,(MIN(DAMAS_Daily!D12*market_share_D*acceptance_rate*stack_activation,power_mw*hours_per_day,capacity_mwh))*DAMAS_Daily!F12*activation_mult_D)</f>
        <v/>
      </c>
      <c r="N12" s="29">
        <f>F12+M12</f>
        <v/>
      </c>
    </row>
    <row r="13">
      <c r="A13" s="41">
        <f>DAMAS_Daily!A13</f>
        <v/>
      </c>
      <c r="B13" s="42">
        <f>DAMAS_Daily!B13</f>
        <v/>
      </c>
      <c r="C13" s="42">
        <f>IF((power_mw*hours_per_day*damas_afrr_up*capacity_mult_D*stack_capacity*acceptance_rate+(MIN(DAMAS_Daily!C13*market_share_D*acceptance_rate*stack_activation,power_mw*hours_per_day,capacity_mwh))*DAMAS_Daily!E13*activation_mult_D)&gt;=(power_mw*hours_per_day*damas_afrr_down*capacity_mult_D*stack_capacity*acceptance_rate+(MIN(DAMAS_Daily!D13*market_share_D*acceptance_rate*stack_activation,power_mw*hours_per_day,capacity_mwh))*DAMAS_Daily!F13*activation_mult_D),"aFRR+","aFRR-")</f>
        <v/>
      </c>
      <c r="D13" s="43">
        <f>IF(C13="aFRR+",damas_afrr_up*capacity_mult_D,damas_afrr_down*capacity_mult_D)</f>
        <v/>
      </c>
      <c r="E13" s="44">
        <f>acceptance_rate</f>
        <v/>
      </c>
      <c r="F13" s="28">
        <f>IF(C13="aFRR+",power_mw*hours_per_day*damas_afrr_up*capacity_mult_D*stack_capacity*acceptance_rate,power_mw*hours_per_day*damas_afrr_down*capacity_mult_D*stack_capacity*acceptance_rate)</f>
        <v/>
      </c>
      <c r="G13" s="42">
        <f>IF(C13="aFRR+",DAMAS_Daily!I13,DAMAS_Daily!J13)</f>
        <v/>
      </c>
      <c r="H13" s="43">
        <f>IF(C13="aFRR+",DAMAS_Daily!E13,DAMAS_Daily!F13)</f>
        <v/>
      </c>
      <c r="I13" s="43">
        <f>IF(C13="aFRR+",DAMAS_Daily!G13,DAMAS_Daily!H13)</f>
        <v/>
      </c>
      <c r="J13" s="45">
        <f>IF(C13="aFRR+",DAMAS_Daily!C13,DAMAS_Daily!D13)</f>
        <v/>
      </c>
      <c r="K13" s="45">
        <f>IF(C13="aFRR+",MIN(DAMAS_Daily!C13*market_share_D*acceptance_rate*stack_activation,power_mw*hours_per_day,capacity_mwh),MIN(DAMAS_Daily!D13*market_share_D*acceptance_rate*stack_activation,power_mw*hours_per_day,capacity_mwh))</f>
        <v/>
      </c>
      <c r="L13" s="42">
        <f>IF(K13&gt;=capacity_mwh-0.01,"yes","no")</f>
        <v/>
      </c>
      <c r="M13" s="28">
        <f>IF(C13="aFRR+",(MIN(DAMAS_Daily!C13*market_share_D*acceptance_rate*stack_activation,power_mw*hours_per_day,capacity_mwh))*DAMAS_Daily!E13*activation_mult_D,(MIN(DAMAS_Daily!D13*market_share_D*acceptance_rate*stack_activation,power_mw*hours_per_day,capacity_mwh))*DAMAS_Daily!F13*activation_mult_D)</f>
        <v/>
      </c>
      <c r="N13" s="29">
        <f>F13+M13</f>
        <v/>
      </c>
    </row>
    <row r="14">
      <c r="A14" s="41">
        <f>DAMAS_Daily!A14</f>
        <v/>
      </c>
      <c r="B14" s="42">
        <f>DAMAS_Daily!B14</f>
        <v/>
      </c>
      <c r="C14" s="42">
        <f>IF((power_mw*hours_per_day*damas_afrr_up*capacity_mult_D*stack_capacity*acceptance_rate+(MIN(DAMAS_Daily!C14*market_share_D*acceptance_rate*stack_activation,power_mw*hours_per_day,capacity_mwh))*DAMAS_Daily!E14*activation_mult_D)&gt;=(power_mw*hours_per_day*damas_afrr_down*capacity_mult_D*stack_capacity*acceptance_rate+(MIN(DAMAS_Daily!D14*market_share_D*acceptance_rate*stack_activation,power_mw*hours_per_day,capacity_mwh))*DAMAS_Daily!F14*activation_mult_D),"aFRR+","aFRR-")</f>
        <v/>
      </c>
      <c r="D14" s="43">
        <f>IF(C14="aFRR+",damas_afrr_up*capacity_mult_D,damas_afrr_down*capacity_mult_D)</f>
        <v/>
      </c>
      <c r="E14" s="44">
        <f>acceptance_rate</f>
        <v/>
      </c>
      <c r="F14" s="28">
        <f>IF(C14="aFRR+",power_mw*hours_per_day*damas_afrr_up*capacity_mult_D*stack_capacity*acceptance_rate,power_mw*hours_per_day*damas_afrr_down*capacity_mult_D*stack_capacity*acceptance_rate)</f>
        <v/>
      </c>
      <c r="G14" s="42">
        <f>IF(C14="aFRR+",DAMAS_Daily!I14,DAMAS_Daily!J14)</f>
        <v/>
      </c>
      <c r="H14" s="43">
        <f>IF(C14="aFRR+",DAMAS_Daily!E14,DAMAS_Daily!F14)</f>
        <v/>
      </c>
      <c r="I14" s="43">
        <f>IF(C14="aFRR+",DAMAS_Daily!G14,DAMAS_Daily!H14)</f>
        <v/>
      </c>
      <c r="J14" s="45">
        <f>IF(C14="aFRR+",DAMAS_Daily!C14,DAMAS_Daily!D14)</f>
        <v/>
      </c>
      <c r="K14" s="45">
        <f>IF(C14="aFRR+",MIN(DAMAS_Daily!C14*market_share_D*acceptance_rate*stack_activation,power_mw*hours_per_day,capacity_mwh),MIN(DAMAS_Daily!D14*market_share_D*acceptance_rate*stack_activation,power_mw*hours_per_day,capacity_mwh))</f>
        <v/>
      </c>
      <c r="L14" s="42">
        <f>IF(K14&gt;=capacity_mwh-0.01,"yes","no")</f>
        <v/>
      </c>
      <c r="M14" s="28">
        <f>IF(C14="aFRR+",(MIN(DAMAS_Daily!C14*market_share_D*acceptance_rate*stack_activation,power_mw*hours_per_day,capacity_mwh))*DAMAS_Daily!E14*activation_mult_D,(MIN(DAMAS_Daily!D14*market_share_D*acceptance_rate*stack_activation,power_mw*hours_per_day,capacity_mwh))*DAMAS_Daily!F14*activation_mult_D)</f>
        <v/>
      </c>
      <c r="N14" s="29">
        <f>F14+M14</f>
        <v/>
      </c>
    </row>
    <row r="15">
      <c r="A15" s="41">
        <f>DAMAS_Daily!A15</f>
        <v/>
      </c>
      <c r="B15" s="42">
        <f>DAMAS_Daily!B15</f>
        <v/>
      </c>
      <c r="C15" s="42">
        <f>IF((power_mw*hours_per_day*damas_afrr_up*capacity_mult_D*stack_capacity*acceptance_rate+(MIN(DAMAS_Daily!C15*market_share_D*acceptance_rate*stack_activation,power_mw*hours_per_day,capacity_mwh))*DAMAS_Daily!E15*activation_mult_D)&gt;=(power_mw*hours_per_day*damas_afrr_down*capacity_mult_D*stack_capacity*acceptance_rate+(MIN(DAMAS_Daily!D15*market_share_D*acceptance_rate*stack_activation,power_mw*hours_per_day,capacity_mwh))*DAMAS_Daily!F15*activation_mult_D),"aFRR+","aFRR-")</f>
        <v/>
      </c>
      <c r="D15" s="43">
        <f>IF(C15="aFRR+",damas_afrr_up*capacity_mult_D,damas_afrr_down*capacity_mult_D)</f>
        <v/>
      </c>
      <c r="E15" s="44">
        <f>acceptance_rate</f>
        <v/>
      </c>
      <c r="F15" s="28">
        <f>IF(C15="aFRR+",power_mw*hours_per_day*damas_afrr_up*capacity_mult_D*stack_capacity*acceptance_rate,power_mw*hours_per_day*damas_afrr_down*capacity_mult_D*stack_capacity*acceptance_rate)</f>
        <v/>
      </c>
      <c r="G15" s="42">
        <f>IF(C15="aFRR+",DAMAS_Daily!I15,DAMAS_Daily!J15)</f>
        <v/>
      </c>
      <c r="H15" s="43">
        <f>IF(C15="aFRR+",DAMAS_Daily!E15,DAMAS_Daily!F15)</f>
        <v/>
      </c>
      <c r="I15" s="43">
        <f>IF(C15="aFRR+",DAMAS_Daily!G15,DAMAS_Daily!H15)</f>
        <v/>
      </c>
      <c r="J15" s="45">
        <f>IF(C15="aFRR+",DAMAS_Daily!C15,DAMAS_Daily!D15)</f>
        <v/>
      </c>
      <c r="K15" s="45">
        <f>IF(C15="aFRR+",MIN(DAMAS_Daily!C15*market_share_D*acceptance_rate*stack_activation,power_mw*hours_per_day,capacity_mwh),MIN(DAMAS_Daily!D15*market_share_D*acceptance_rate*stack_activation,power_mw*hours_per_day,capacity_mwh))</f>
        <v/>
      </c>
      <c r="L15" s="42">
        <f>IF(K15&gt;=capacity_mwh-0.01,"yes","no")</f>
        <v/>
      </c>
      <c r="M15" s="28">
        <f>IF(C15="aFRR+",(MIN(DAMAS_Daily!C15*market_share_D*acceptance_rate*stack_activation,power_mw*hours_per_day,capacity_mwh))*DAMAS_Daily!E15*activation_mult_D,(MIN(DAMAS_Daily!D15*market_share_D*acceptance_rate*stack_activation,power_mw*hours_per_day,capacity_mwh))*DAMAS_Daily!F15*activation_mult_D)</f>
        <v/>
      </c>
      <c r="N15" s="29">
        <f>F15+M15</f>
        <v/>
      </c>
    </row>
    <row r="16">
      <c r="A16" s="41">
        <f>DAMAS_Daily!A16</f>
        <v/>
      </c>
      <c r="B16" s="42">
        <f>DAMAS_Daily!B16</f>
        <v/>
      </c>
      <c r="C16" s="42">
        <f>IF((power_mw*hours_per_day*damas_afrr_up*capacity_mult_D*stack_capacity*acceptance_rate+(MIN(DAMAS_Daily!C16*market_share_D*acceptance_rate*stack_activation,power_mw*hours_per_day,capacity_mwh))*DAMAS_Daily!E16*activation_mult_D)&gt;=(power_mw*hours_per_day*damas_afrr_down*capacity_mult_D*stack_capacity*acceptance_rate+(MIN(DAMAS_Daily!D16*market_share_D*acceptance_rate*stack_activation,power_mw*hours_per_day,capacity_mwh))*DAMAS_Daily!F16*activation_mult_D),"aFRR+","aFRR-")</f>
        <v/>
      </c>
      <c r="D16" s="43">
        <f>IF(C16="aFRR+",damas_afrr_up*capacity_mult_D,damas_afrr_down*capacity_mult_D)</f>
        <v/>
      </c>
      <c r="E16" s="44">
        <f>acceptance_rate</f>
        <v/>
      </c>
      <c r="F16" s="28">
        <f>IF(C16="aFRR+",power_mw*hours_per_day*damas_afrr_up*capacity_mult_D*stack_capacity*acceptance_rate,power_mw*hours_per_day*damas_afrr_down*capacity_mult_D*stack_capacity*acceptance_rate)</f>
        <v/>
      </c>
      <c r="G16" s="42">
        <f>IF(C16="aFRR+",DAMAS_Daily!I16,DAMAS_Daily!J16)</f>
        <v/>
      </c>
      <c r="H16" s="43">
        <f>IF(C16="aFRR+",DAMAS_Daily!E16,DAMAS_Daily!F16)</f>
        <v/>
      </c>
      <c r="I16" s="43">
        <f>IF(C16="aFRR+",DAMAS_Daily!G16,DAMAS_Daily!H16)</f>
        <v/>
      </c>
      <c r="J16" s="45">
        <f>IF(C16="aFRR+",DAMAS_Daily!C16,DAMAS_Daily!D16)</f>
        <v/>
      </c>
      <c r="K16" s="45">
        <f>IF(C16="aFRR+",MIN(DAMAS_Daily!C16*market_share_D*acceptance_rate*stack_activation,power_mw*hours_per_day,capacity_mwh),MIN(DAMAS_Daily!D16*market_share_D*acceptance_rate*stack_activation,power_mw*hours_per_day,capacity_mwh))</f>
        <v/>
      </c>
      <c r="L16" s="42">
        <f>IF(K16&gt;=capacity_mwh-0.01,"yes","no")</f>
        <v/>
      </c>
      <c r="M16" s="28">
        <f>IF(C16="aFRR+",(MIN(DAMAS_Daily!C16*market_share_D*acceptance_rate*stack_activation,power_mw*hours_per_day,capacity_mwh))*DAMAS_Daily!E16*activation_mult_D,(MIN(DAMAS_Daily!D16*market_share_D*acceptance_rate*stack_activation,power_mw*hours_per_day,capacity_mwh))*DAMAS_Daily!F16*activation_mult_D)</f>
        <v/>
      </c>
      <c r="N16" s="29">
        <f>F16+M16</f>
        <v/>
      </c>
    </row>
    <row r="17">
      <c r="A17" s="41">
        <f>DAMAS_Daily!A17</f>
        <v/>
      </c>
      <c r="B17" s="42">
        <f>DAMAS_Daily!B17</f>
        <v/>
      </c>
      <c r="C17" s="42">
        <f>IF((power_mw*hours_per_day*damas_afrr_up*capacity_mult_D*stack_capacity*acceptance_rate+(MIN(DAMAS_Daily!C17*market_share_D*acceptance_rate*stack_activation,power_mw*hours_per_day,capacity_mwh))*DAMAS_Daily!E17*activation_mult_D)&gt;=(power_mw*hours_per_day*damas_afrr_down*capacity_mult_D*stack_capacity*acceptance_rate+(MIN(DAMAS_Daily!D17*market_share_D*acceptance_rate*stack_activation,power_mw*hours_per_day,capacity_mwh))*DAMAS_Daily!F17*activation_mult_D),"aFRR+","aFRR-")</f>
        <v/>
      </c>
      <c r="D17" s="43">
        <f>IF(C17="aFRR+",damas_afrr_up*capacity_mult_D,damas_afrr_down*capacity_mult_D)</f>
        <v/>
      </c>
      <c r="E17" s="44">
        <f>acceptance_rate</f>
        <v/>
      </c>
      <c r="F17" s="28">
        <f>IF(C17="aFRR+",power_mw*hours_per_day*damas_afrr_up*capacity_mult_D*stack_capacity*acceptance_rate,power_mw*hours_per_day*damas_afrr_down*capacity_mult_D*stack_capacity*acceptance_rate)</f>
        <v/>
      </c>
      <c r="G17" s="42">
        <f>IF(C17="aFRR+",DAMAS_Daily!I17,DAMAS_Daily!J17)</f>
        <v/>
      </c>
      <c r="H17" s="43">
        <f>IF(C17="aFRR+",DAMAS_Daily!E17,DAMAS_Daily!F17)</f>
        <v/>
      </c>
      <c r="I17" s="43">
        <f>IF(C17="aFRR+",DAMAS_Daily!G17,DAMAS_Daily!H17)</f>
        <v/>
      </c>
      <c r="J17" s="45">
        <f>IF(C17="aFRR+",DAMAS_Daily!C17,DAMAS_Daily!D17)</f>
        <v/>
      </c>
      <c r="K17" s="45">
        <f>IF(C17="aFRR+",MIN(DAMAS_Daily!C17*market_share_D*acceptance_rate*stack_activation,power_mw*hours_per_day,capacity_mwh),MIN(DAMAS_Daily!D17*market_share_D*acceptance_rate*stack_activation,power_mw*hours_per_day,capacity_mwh))</f>
        <v/>
      </c>
      <c r="L17" s="42">
        <f>IF(K17&gt;=capacity_mwh-0.01,"yes","no")</f>
        <v/>
      </c>
      <c r="M17" s="28">
        <f>IF(C17="aFRR+",(MIN(DAMAS_Daily!C17*market_share_D*acceptance_rate*stack_activation,power_mw*hours_per_day,capacity_mwh))*DAMAS_Daily!E17*activation_mult_D,(MIN(DAMAS_Daily!D17*market_share_D*acceptance_rate*stack_activation,power_mw*hours_per_day,capacity_mwh))*DAMAS_Daily!F17*activation_mult_D)</f>
        <v/>
      </c>
      <c r="N17" s="29">
        <f>F17+M17</f>
        <v/>
      </c>
    </row>
    <row r="18">
      <c r="A18" s="41">
        <f>DAMAS_Daily!A18</f>
        <v/>
      </c>
      <c r="B18" s="42">
        <f>DAMAS_Daily!B18</f>
        <v/>
      </c>
      <c r="C18" s="42">
        <f>IF((power_mw*hours_per_day*damas_afrr_up*capacity_mult_D*stack_capacity*acceptance_rate+(MIN(DAMAS_Daily!C18*market_share_D*acceptance_rate*stack_activation,power_mw*hours_per_day,capacity_mwh))*DAMAS_Daily!E18*activation_mult_D)&gt;=(power_mw*hours_per_day*damas_afrr_down*capacity_mult_D*stack_capacity*acceptance_rate+(MIN(DAMAS_Daily!D18*market_share_D*acceptance_rate*stack_activation,power_mw*hours_per_day,capacity_mwh))*DAMAS_Daily!F18*activation_mult_D),"aFRR+","aFRR-")</f>
        <v/>
      </c>
      <c r="D18" s="43">
        <f>IF(C18="aFRR+",damas_afrr_up*capacity_mult_D,damas_afrr_down*capacity_mult_D)</f>
        <v/>
      </c>
      <c r="E18" s="44">
        <f>acceptance_rate</f>
        <v/>
      </c>
      <c r="F18" s="28">
        <f>IF(C18="aFRR+",power_mw*hours_per_day*damas_afrr_up*capacity_mult_D*stack_capacity*acceptance_rate,power_mw*hours_per_day*damas_afrr_down*capacity_mult_D*stack_capacity*acceptance_rate)</f>
        <v/>
      </c>
      <c r="G18" s="42">
        <f>IF(C18="aFRR+",DAMAS_Daily!I18,DAMAS_Daily!J18)</f>
        <v/>
      </c>
      <c r="H18" s="43">
        <f>IF(C18="aFRR+",DAMAS_Daily!E18,DAMAS_Daily!F18)</f>
        <v/>
      </c>
      <c r="I18" s="43">
        <f>IF(C18="aFRR+",DAMAS_Daily!G18,DAMAS_Daily!H18)</f>
        <v/>
      </c>
      <c r="J18" s="45">
        <f>IF(C18="aFRR+",DAMAS_Daily!C18,DAMAS_Daily!D18)</f>
        <v/>
      </c>
      <c r="K18" s="45">
        <f>IF(C18="aFRR+",MIN(DAMAS_Daily!C18*market_share_D*acceptance_rate*stack_activation,power_mw*hours_per_day,capacity_mwh),MIN(DAMAS_Daily!D18*market_share_D*acceptance_rate*stack_activation,power_mw*hours_per_day,capacity_mwh))</f>
        <v/>
      </c>
      <c r="L18" s="42">
        <f>IF(K18&gt;=capacity_mwh-0.01,"yes","no")</f>
        <v/>
      </c>
      <c r="M18" s="28">
        <f>IF(C18="aFRR+",(MIN(DAMAS_Daily!C18*market_share_D*acceptance_rate*stack_activation,power_mw*hours_per_day,capacity_mwh))*DAMAS_Daily!E18*activation_mult_D,(MIN(DAMAS_Daily!D18*market_share_D*acceptance_rate*stack_activation,power_mw*hours_per_day,capacity_mwh))*DAMAS_Daily!F18*activation_mult_D)</f>
        <v/>
      </c>
      <c r="N18" s="29">
        <f>F18+M18</f>
        <v/>
      </c>
    </row>
    <row r="19">
      <c r="A19" s="41">
        <f>DAMAS_Daily!A19</f>
        <v/>
      </c>
      <c r="B19" s="42">
        <f>DAMAS_Daily!B19</f>
        <v/>
      </c>
      <c r="C19" s="42">
        <f>IF((power_mw*hours_per_day*damas_afrr_up*capacity_mult_D*stack_capacity*acceptance_rate+(MIN(DAMAS_Daily!C19*market_share_D*acceptance_rate*stack_activation,power_mw*hours_per_day,capacity_mwh))*DAMAS_Daily!E19*activation_mult_D)&gt;=(power_mw*hours_per_day*damas_afrr_down*capacity_mult_D*stack_capacity*acceptance_rate+(MIN(DAMAS_Daily!D19*market_share_D*acceptance_rate*stack_activation,power_mw*hours_per_day,capacity_mwh))*DAMAS_Daily!F19*activation_mult_D),"aFRR+","aFRR-")</f>
        <v/>
      </c>
      <c r="D19" s="43">
        <f>IF(C19="aFRR+",damas_afrr_up*capacity_mult_D,damas_afrr_down*capacity_mult_D)</f>
        <v/>
      </c>
      <c r="E19" s="44">
        <f>acceptance_rate</f>
        <v/>
      </c>
      <c r="F19" s="28">
        <f>IF(C19="aFRR+",power_mw*hours_per_day*damas_afrr_up*capacity_mult_D*stack_capacity*acceptance_rate,power_mw*hours_per_day*damas_afrr_down*capacity_mult_D*stack_capacity*acceptance_rate)</f>
        <v/>
      </c>
      <c r="G19" s="42">
        <f>IF(C19="aFRR+",DAMAS_Daily!I19,DAMAS_Daily!J19)</f>
        <v/>
      </c>
      <c r="H19" s="43">
        <f>IF(C19="aFRR+",DAMAS_Daily!E19,DAMAS_Daily!F19)</f>
        <v/>
      </c>
      <c r="I19" s="43">
        <f>IF(C19="aFRR+",DAMAS_Daily!G19,DAMAS_Daily!H19)</f>
        <v/>
      </c>
      <c r="J19" s="45">
        <f>IF(C19="aFRR+",DAMAS_Daily!C19,DAMAS_Daily!D19)</f>
        <v/>
      </c>
      <c r="K19" s="45">
        <f>IF(C19="aFRR+",MIN(DAMAS_Daily!C19*market_share_D*acceptance_rate*stack_activation,power_mw*hours_per_day,capacity_mwh),MIN(DAMAS_Daily!D19*market_share_D*acceptance_rate*stack_activation,power_mw*hours_per_day,capacity_mwh))</f>
        <v/>
      </c>
      <c r="L19" s="42">
        <f>IF(K19&gt;=capacity_mwh-0.01,"yes","no")</f>
        <v/>
      </c>
      <c r="M19" s="28">
        <f>IF(C19="aFRR+",(MIN(DAMAS_Daily!C19*market_share_D*acceptance_rate*stack_activation,power_mw*hours_per_day,capacity_mwh))*DAMAS_Daily!E19*activation_mult_D,(MIN(DAMAS_Daily!D19*market_share_D*acceptance_rate*stack_activation,power_mw*hours_per_day,capacity_mwh))*DAMAS_Daily!F19*activation_mult_D)</f>
        <v/>
      </c>
      <c r="N19" s="29">
        <f>F19+M19</f>
        <v/>
      </c>
    </row>
    <row r="20">
      <c r="A20" s="41">
        <f>DAMAS_Daily!A20</f>
        <v/>
      </c>
      <c r="B20" s="42">
        <f>DAMAS_Daily!B20</f>
        <v/>
      </c>
      <c r="C20" s="42">
        <f>IF((power_mw*hours_per_day*damas_afrr_up*capacity_mult_D*stack_capacity*acceptance_rate+(MIN(DAMAS_Daily!C20*market_share_D*acceptance_rate*stack_activation,power_mw*hours_per_day,capacity_mwh))*DAMAS_Daily!E20*activation_mult_D)&gt;=(power_mw*hours_per_day*damas_afrr_down*capacity_mult_D*stack_capacity*acceptance_rate+(MIN(DAMAS_Daily!D20*market_share_D*acceptance_rate*stack_activation,power_mw*hours_per_day,capacity_mwh))*DAMAS_Daily!F20*activation_mult_D),"aFRR+","aFRR-")</f>
        <v/>
      </c>
      <c r="D20" s="43">
        <f>IF(C20="aFRR+",damas_afrr_up*capacity_mult_D,damas_afrr_down*capacity_mult_D)</f>
        <v/>
      </c>
      <c r="E20" s="44">
        <f>acceptance_rate</f>
        <v/>
      </c>
      <c r="F20" s="28">
        <f>IF(C20="aFRR+",power_mw*hours_per_day*damas_afrr_up*capacity_mult_D*stack_capacity*acceptance_rate,power_mw*hours_per_day*damas_afrr_down*capacity_mult_D*stack_capacity*acceptance_rate)</f>
        <v/>
      </c>
      <c r="G20" s="42">
        <f>IF(C20="aFRR+",DAMAS_Daily!I20,DAMAS_Daily!J20)</f>
        <v/>
      </c>
      <c r="H20" s="43">
        <f>IF(C20="aFRR+",DAMAS_Daily!E20,DAMAS_Daily!F20)</f>
        <v/>
      </c>
      <c r="I20" s="43">
        <f>IF(C20="aFRR+",DAMAS_Daily!G20,DAMAS_Daily!H20)</f>
        <v/>
      </c>
      <c r="J20" s="45">
        <f>IF(C20="aFRR+",DAMAS_Daily!C20,DAMAS_Daily!D20)</f>
        <v/>
      </c>
      <c r="K20" s="45">
        <f>IF(C20="aFRR+",MIN(DAMAS_Daily!C20*market_share_D*acceptance_rate*stack_activation,power_mw*hours_per_day,capacity_mwh),MIN(DAMAS_Daily!D20*market_share_D*acceptance_rate*stack_activation,power_mw*hours_per_day,capacity_mwh))</f>
        <v/>
      </c>
      <c r="L20" s="42">
        <f>IF(K20&gt;=capacity_mwh-0.01,"yes","no")</f>
        <v/>
      </c>
      <c r="M20" s="28">
        <f>IF(C20="aFRR+",(MIN(DAMAS_Daily!C20*market_share_D*acceptance_rate*stack_activation,power_mw*hours_per_day,capacity_mwh))*DAMAS_Daily!E20*activation_mult_D,(MIN(DAMAS_Daily!D20*market_share_D*acceptance_rate*stack_activation,power_mw*hours_per_day,capacity_mwh))*DAMAS_Daily!F20*activation_mult_D)</f>
        <v/>
      </c>
      <c r="N20" s="29">
        <f>F20+M20</f>
        <v/>
      </c>
    </row>
    <row r="21">
      <c r="A21" s="41">
        <f>DAMAS_Daily!A21</f>
        <v/>
      </c>
      <c r="B21" s="42">
        <f>DAMAS_Daily!B21</f>
        <v/>
      </c>
      <c r="C21" s="42">
        <f>IF((power_mw*hours_per_day*damas_afrr_up*capacity_mult_D*stack_capacity*acceptance_rate+(MIN(DAMAS_Daily!C21*market_share_D*acceptance_rate*stack_activation,power_mw*hours_per_day,capacity_mwh))*DAMAS_Daily!E21*activation_mult_D)&gt;=(power_mw*hours_per_day*damas_afrr_down*capacity_mult_D*stack_capacity*acceptance_rate+(MIN(DAMAS_Daily!D21*market_share_D*acceptance_rate*stack_activation,power_mw*hours_per_day,capacity_mwh))*DAMAS_Daily!F21*activation_mult_D),"aFRR+","aFRR-")</f>
        <v/>
      </c>
      <c r="D21" s="43">
        <f>IF(C21="aFRR+",damas_afrr_up*capacity_mult_D,damas_afrr_down*capacity_mult_D)</f>
        <v/>
      </c>
      <c r="E21" s="44">
        <f>acceptance_rate</f>
        <v/>
      </c>
      <c r="F21" s="28">
        <f>IF(C21="aFRR+",power_mw*hours_per_day*damas_afrr_up*capacity_mult_D*stack_capacity*acceptance_rate,power_mw*hours_per_day*damas_afrr_down*capacity_mult_D*stack_capacity*acceptance_rate)</f>
        <v/>
      </c>
      <c r="G21" s="42">
        <f>IF(C21="aFRR+",DAMAS_Daily!I21,DAMAS_Daily!J21)</f>
        <v/>
      </c>
      <c r="H21" s="43">
        <f>IF(C21="aFRR+",DAMAS_Daily!E21,DAMAS_Daily!F21)</f>
        <v/>
      </c>
      <c r="I21" s="43">
        <f>IF(C21="aFRR+",DAMAS_Daily!G21,DAMAS_Daily!H21)</f>
        <v/>
      </c>
      <c r="J21" s="45">
        <f>IF(C21="aFRR+",DAMAS_Daily!C21,DAMAS_Daily!D21)</f>
        <v/>
      </c>
      <c r="K21" s="45">
        <f>IF(C21="aFRR+",MIN(DAMAS_Daily!C21*market_share_D*acceptance_rate*stack_activation,power_mw*hours_per_day,capacity_mwh),MIN(DAMAS_Daily!D21*market_share_D*acceptance_rate*stack_activation,power_mw*hours_per_day,capacity_mwh))</f>
        <v/>
      </c>
      <c r="L21" s="42">
        <f>IF(K21&gt;=capacity_mwh-0.01,"yes","no")</f>
        <v/>
      </c>
      <c r="M21" s="28">
        <f>IF(C21="aFRR+",(MIN(DAMAS_Daily!C21*market_share_D*acceptance_rate*stack_activation,power_mw*hours_per_day,capacity_mwh))*DAMAS_Daily!E21*activation_mult_D,(MIN(DAMAS_Daily!D21*market_share_D*acceptance_rate*stack_activation,power_mw*hours_per_day,capacity_mwh))*DAMAS_Daily!F21*activation_mult_D)</f>
        <v/>
      </c>
      <c r="N21" s="29">
        <f>F21+M21</f>
        <v/>
      </c>
    </row>
    <row r="22">
      <c r="A22" s="41">
        <f>DAMAS_Daily!A22</f>
        <v/>
      </c>
      <c r="B22" s="42">
        <f>DAMAS_Daily!B22</f>
        <v/>
      </c>
      <c r="C22" s="42">
        <f>IF((power_mw*hours_per_day*damas_afrr_up*capacity_mult_D*stack_capacity*acceptance_rate+(MIN(DAMAS_Daily!C22*market_share_D*acceptance_rate*stack_activation,power_mw*hours_per_day,capacity_mwh))*DAMAS_Daily!E22*activation_mult_D)&gt;=(power_mw*hours_per_day*damas_afrr_down*capacity_mult_D*stack_capacity*acceptance_rate+(MIN(DAMAS_Daily!D22*market_share_D*acceptance_rate*stack_activation,power_mw*hours_per_day,capacity_mwh))*DAMAS_Daily!F22*activation_mult_D),"aFRR+","aFRR-")</f>
        <v/>
      </c>
      <c r="D22" s="43">
        <f>IF(C22="aFRR+",damas_afrr_up*capacity_mult_D,damas_afrr_down*capacity_mult_D)</f>
        <v/>
      </c>
      <c r="E22" s="44">
        <f>acceptance_rate</f>
        <v/>
      </c>
      <c r="F22" s="28">
        <f>IF(C22="aFRR+",power_mw*hours_per_day*damas_afrr_up*capacity_mult_D*stack_capacity*acceptance_rate,power_mw*hours_per_day*damas_afrr_down*capacity_mult_D*stack_capacity*acceptance_rate)</f>
        <v/>
      </c>
      <c r="G22" s="42">
        <f>IF(C22="aFRR+",DAMAS_Daily!I22,DAMAS_Daily!J22)</f>
        <v/>
      </c>
      <c r="H22" s="43">
        <f>IF(C22="aFRR+",DAMAS_Daily!E22,DAMAS_Daily!F22)</f>
        <v/>
      </c>
      <c r="I22" s="43">
        <f>IF(C22="aFRR+",DAMAS_Daily!G22,DAMAS_Daily!H22)</f>
        <v/>
      </c>
      <c r="J22" s="45">
        <f>IF(C22="aFRR+",DAMAS_Daily!C22,DAMAS_Daily!D22)</f>
        <v/>
      </c>
      <c r="K22" s="45">
        <f>IF(C22="aFRR+",MIN(DAMAS_Daily!C22*market_share_D*acceptance_rate*stack_activation,power_mw*hours_per_day,capacity_mwh),MIN(DAMAS_Daily!D22*market_share_D*acceptance_rate*stack_activation,power_mw*hours_per_day,capacity_mwh))</f>
        <v/>
      </c>
      <c r="L22" s="42">
        <f>IF(K22&gt;=capacity_mwh-0.01,"yes","no")</f>
        <v/>
      </c>
      <c r="M22" s="28">
        <f>IF(C22="aFRR+",(MIN(DAMAS_Daily!C22*market_share_D*acceptance_rate*stack_activation,power_mw*hours_per_day,capacity_mwh))*DAMAS_Daily!E22*activation_mult_D,(MIN(DAMAS_Daily!D22*market_share_D*acceptance_rate*stack_activation,power_mw*hours_per_day,capacity_mwh))*DAMAS_Daily!F22*activation_mult_D)</f>
        <v/>
      </c>
      <c r="N22" s="29">
        <f>F22+M22</f>
        <v/>
      </c>
    </row>
    <row r="23">
      <c r="A23" s="41">
        <f>DAMAS_Daily!A23</f>
        <v/>
      </c>
      <c r="B23" s="42">
        <f>DAMAS_Daily!B23</f>
        <v/>
      </c>
      <c r="C23" s="42">
        <f>IF((power_mw*hours_per_day*damas_afrr_up*capacity_mult_D*stack_capacity*acceptance_rate+(MIN(DAMAS_Daily!C23*market_share_D*acceptance_rate*stack_activation,power_mw*hours_per_day,capacity_mwh))*DAMAS_Daily!E23*activation_mult_D)&gt;=(power_mw*hours_per_day*damas_afrr_down*capacity_mult_D*stack_capacity*acceptance_rate+(MIN(DAMAS_Daily!D23*market_share_D*acceptance_rate*stack_activation,power_mw*hours_per_day,capacity_mwh))*DAMAS_Daily!F23*activation_mult_D),"aFRR+","aFRR-")</f>
        <v/>
      </c>
      <c r="D23" s="43">
        <f>IF(C23="aFRR+",damas_afrr_up*capacity_mult_D,damas_afrr_down*capacity_mult_D)</f>
        <v/>
      </c>
      <c r="E23" s="44">
        <f>acceptance_rate</f>
        <v/>
      </c>
      <c r="F23" s="28">
        <f>IF(C23="aFRR+",power_mw*hours_per_day*damas_afrr_up*capacity_mult_D*stack_capacity*acceptance_rate,power_mw*hours_per_day*damas_afrr_down*capacity_mult_D*stack_capacity*acceptance_rate)</f>
        <v/>
      </c>
      <c r="G23" s="42">
        <f>IF(C23="aFRR+",DAMAS_Daily!I23,DAMAS_Daily!J23)</f>
        <v/>
      </c>
      <c r="H23" s="43">
        <f>IF(C23="aFRR+",DAMAS_Daily!E23,DAMAS_Daily!F23)</f>
        <v/>
      </c>
      <c r="I23" s="43">
        <f>IF(C23="aFRR+",DAMAS_Daily!G23,DAMAS_Daily!H23)</f>
        <v/>
      </c>
      <c r="J23" s="45">
        <f>IF(C23="aFRR+",DAMAS_Daily!C23,DAMAS_Daily!D23)</f>
        <v/>
      </c>
      <c r="K23" s="45">
        <f>IF(C23="aFRR+",MIN(DAMAS_Daily!C23*market_share_D*acceptance_rate*stack_activation,power_mw*hours_per_day,capacity_mwh),MIN(DAMAS_Daily!D23*market_share_D*acceptance_rate*stack_activation,power_mw*hours_per_day,capacity_mwh))</f>
        <v/>
      </c>
      <c r="L23" s="42">
        <f>IF(K23&gt;=capacity_mwh-0.01,"yes","no")</f>
        <v/>
      </c>
      <c r="M23" s="28">
        <f>IF(C23="aFRR+",(MIN(DAMAS_Daily!C23*market_share_D*acceptance_rate*stack_activation,power_mw*hours_per_day,capacity_mwh))*DAMAS_Daily!E23*activation_mult_D,(MIN(DAMAS_Daily!D23*market_share_D*acceptance_rate*stack_activation,power_mw*hours_per_day,capacity_mwh))*DAMAS_Daily!F23*activation_mult_D)</f>
        <v/>
      </c>
      <c r="N23" s="29">
        <f>F23+M23</f>
        <v/>
      </c>
    </row>
    <row r="24">
      <c r="A24" s="41">
        <f>DAMAS_Daily!A24</f>
        <v/>
      </c>
      <c r="B24" s="42">
        <f>DAMAS_Daily!B24</f>
        <v/>
      </c>
      <c r="C24" s="42">
        <f>IF((power_mw*hours_per_day*damas_afrr_up*capacity_mult_D*stack_capacity*acceptance_rate+(MIN(DAMAS_Daily!C24*market_share_D*acceptance_rate*stack_activation,power_mw*hours_per_day,capacity_mwh))*DAMAS_Daily!E24*activation_mult_D)&gt;=(power_mw*hours_per_day*damas_afrr_down*capacity_mult_D*stack_capacity*acceptance_rate+(MIN(DAMAS_Daily!D24*market_share_D*acceptance_rate*stack_activation,power_mw*hours_per_day,capacity_mwh))*DAMAS_Daily!F24*activation_mult_D),"aFRR+","aFRR-")</f>
        <v/>
      </c>
      <c r="D24" s="43">
        <f>IF(C24="aFRR+",damas_afrr_up*capacity_mult_D,damas_afrr_down*capacity_mult_D)</f>
        <v/>
      </c>
      <c r="E24" s="44">
        <f>acceptance_rate</f>
        <v/>
      </c>
      <c r="F24" s="28">
        <f>IF(C24="aFRR+",power_mw*hours_per_day*damas_afrr_up*capacity_mult_D*stack_capacity*acceptance_rate,power_mw*hours_per_day*damas_afrr_down*capacity_mult_D*stack_capacity*acceptance_rate)</f>
        <v/>
      </c>
      <c r="G24" s="42">
        <f>IF(C24="aFRR+",DAMAS_Daily!I24,DAMAS_Daily!J24)</f>
        <v/>
      </c>
      <c r="H24" s="43">
        <f>IF(C24="aFRR+",DAMAS_Daily!E24,DAMAS_Daily!F24)</f>
        <v/>
      </c>
      <c r="I24" s="43">
        <f>IF(C24="aFRR+",DAMAS_Daily!G24,DAMAS_Daily!H24)</f>
        <v/>
      </c>
      <c r="J24" s="45">
        <f>IF(C24="aFRR+",DAMAS_Daily!C24,DAMAS_Daily!D24)</f>
        <v/>
      </c>
      <c r="K24" s="45">
        <f>IF(C24="aFRR+",MIN(DAMAS_Daily!C24*market_share_D*acceptance_rate*stack_activation,power_mw*hours_per_day,capacity_mwh),MIN(DAMAS_Daily!D24*market_share_D*acceptance_rate*stack_activation,power_mw*hours_per_day,capacity_mwh))</f>
        <v/>
      </c>
      <c r="L24" s="42">
        <f>IF(K24&gt;=capacity_mwh-0.01,"yes","no")</f>
        <v/>
      </c>
      <c r="M24" s="28">
        <f>IF(C24="aFRR+",(MIN(DAMAS_Daily!C24*market_share_D*acceptance_rate*stack_activation,power_mw*hours_per_day,capacity_mwh))*DAMAS_Daily!E24*activation_mult_D,(MIN(DAMAS_Daily!D24*market_share_D*acceptance_rate*stack_activation,power_mw*hours_per_day,capacity_mwh))*DAMAS_Daily!F24*activation_mult_D)</f>
        <v/>
      </c>
      <c r="N24" s="29">
        <f>F24+M24</f>
        <v/>
      </c>
    </row>
    <row r="25">
      <c r="A25" s="41">
        <f>DAMAS_Daily!A25</f>
        <v/>
      </c>
      <c r="B25" s="42">
        <f>DAMAS_Daily!B25</f>
        <v/>
      </c>
      <c r="C25" s="42">
        <f>IF((power_mw*hours_per_day*damas_afrr_up*capacity_mult_D*stack_capacity*acceptance_rate+(MIN(DAMAS_Daily!C25*market_share_D*acceptance_rate*stack_activation,power_mw*hours_per_day,capacity_mwh))*DAMAS_Daily!E25*activation_mult_D)&gt;=(power_mw*hours_per_day*damas_afrr_down*capacity_mult_D*stack_capacity*acceptance_rate+(MIN(DAMAS_Daily!D25*market_share_D*acceptance_rate*stack_activation,power_mw*hours_per_day,capacity_mwh))*DAMAS_Daily!F25*activation_mult_D),"aFRR+","aFRR-")</f>
        <v/>
      </c>
      <c r="D25" s="43">
        <f>IF(C25="aFRR+",damas_afrr_up*capacity_mult_D,damas_afrr_down*capacity_mult_D)</f>
        <v/>
      </c>
      <c r="E25" s="44">
        <f>acceptance_rate</f>
        <v/>
      </c>
      <c r="F25" s="28">
        <f>IF(C25="aFRR+",power_mw*hours_per_day*damas_afrr_up*capacity_mult_D*stack_capacity*acceptance_rate,power_mw*hours_per_day*damas_afrr_down*capacity_mult_D*stack_capacity*acceptance_rate)</f>
        <v/>
      </c>
      <c r="G25" s="42">
        <f>IF(C25="aFRR+",DAMAS_Daily!I25,DAMAS_Daily!J25)</f>
        <v/>
      </c>
      <c r="H25" s="43">
        <f>IF(C25="aFRR+",DAMAS_Daily!E25,DAMAS_Daily!F25)</f>
        <v/>
      </c>
      <c r="I25" s="43">
        <f>IF(C25="aFRR+",DAMAS_Daily!G25,DAMAS_Daily!H25)</f>
        <v/>
      </c>
      <c r="J25" s="45">
        <f>IF(C25="aFRR+",DAMAS_Daily!C25,DAMAS_Daily!D25)</f>
        <v/>
      </c>
      <c r="K25" s="45">
        <f>IF(C25="aFRR+",MIN(DAMAS_Daily!C25*market_share_D*acceptance_rate*stack_activation,power_mw*hours_per_day,capacity_mwh),MIN(DAMAS_Daily!D25*market_share_D*acceptance_rate*stack_activation,power_mw*hours_per_day,capacity_mwh))</f>
        <v/>
      </c>
      <c r="L25" s="42">
        <f>IF(K25&gt;=capacity_mwh-0.01,"yes","no")</f>
        <v/>
      </c>
      <c r="M25" s="28">
        <f>IF(C25="aFRR+",(MIN(DAMAS_Daily!C25*market_share_D*acceptance_rate*stack_activation,power_mw*hours_per_day,capacity_mwh))*DAMAS_Daily!E25*activation_mult_D,(MIN(DAMAS_Daily!D25*market_share_D*acceptance_rate*stack_activation,power_mw*hours_per_day,capacity_mwh))*DAMAS_Daily!F25*activation_mult_D)</f>
        <v/>
      </c>
      <c r="N25" s="29">
        <f>F25+M25</f>
        <v/>
      </c>
    </row>
    <row r="26">
      <c r="A26" s="41">
        <f>DAMAS_Daily!A26</f>
        <v/>
      </c>
      <c r="B26" s="42">
        <f>DAMAS_Daily!B26</f>
        <v/>
      </c>
      <c r="C26" s="42">
        <f>IF((power_mw*hours_per_day*damas_afrr_up*capacity_mult_D*stack_capacity*acceptance_rate+(MIN(DAMAS_Daily!C26*market_share_D*acceptance_rate*stack_activation,power_mw*hours_per_day,capacity_mwh))*DAMAS_Daily!E26*activation_mult_D)&gt;=(power_mw*hours_per_day*damas_afrr_down*capacity_mult_D*stack_capacity*acceptance_rate+(MIN(DAMAS_Daily!D26*market_share_D*acceptance_rate*stack_activation,power_mw*hours_per_day,capacity_mwh))*DAMAS_Daily!F26*activation_mult_D),"aFRR+","aFRR-")</f>
        <v/>
      </c>
      <c r="D26" s="43">
        <f>IF(C26="aFRR+",damas_afrr_up*capacity_mult_D,damas_afrr_down*capacity_mult_D)</f>
        <v/>
      </c>
      <c r="E26" s="44">
        <f>acceptance_rate</f>
        <v/>
      </c>
      <c r="F26" s="28">
        <f>IF(C26="aFRR+",power_mw*hours_per_day*damas_afrr_up*capacity_mult_D*stack_capacity*acceptance_rate,power_mw*hours_per_day*damas_afrr_down*capacity_mult_D*stack_capacity*acceptance_rate)</f>
        <v/>
      </c>
      <c r="G26" s="42">
        <f>IF(C26="aFRR+",DAMAS_Daily!I26,DAMAS_Daily!J26)</f>
        <v/>
      </c>
      <c r="H26" s="43">
        <f>IF(C26="aFRR+",DAMAS_Daily!E26,DAMAS_Daily!F26)</f>
        <v/>
      </c>
      <c r="I26" s="43">
        <f>IF(C26="aFRR+",DAMAS_Daily!G26,DAMAS_Daily!H26)</f>
        <v/>
      </c>
      <c r="J26" s="45">
        <f>IF(C26="aFRR+",DAMAS_Daily!C26,DAMAS_Daily!D26)</f>
        <v/>
      </c>
      <c r="K26" s="45">
        <f>IF(C26="aFRR+",MIN(DAMAS_Daily!C26*market_share_D*acceptance_rate*stack_activation,power_mw*hours_per_day,capacity_mwh),MIN(DAMAS_Daily!D26*market_share_D*acceptance_rate*stack_activation,power_mw*hours_per_day,capacity_mwh))</f>
        <v/>
      </c>
      <c r="L26" s="42">
        <f>IF(K26&gt;=capacity_mwh-0.01,"yes","no")</f>
        <v/>
      </c>
      <c r="M26" s="28">
        <f>IF(C26="aFRR+",(MIN(DAMAS_Daily!C26*market_share_D*acceptance_rate*stack_activation,power_mw*hours_per_day,capacity_mwh))*DAMAS_Daily!E26*activation_mult_D,(MIN(DAMAS_Daily!D26*market_share_D*acceptance_rate*stack_activation,power_mw*hours_per_day,capacity_mwh))*DAMAS_Daily!F26*activation_mult_D)</f>
        <v/>
      </c>
      <c r="N26" s="29">
        <f>F26+M26</f>
        <v/>
      </c>
    </row>
    <row r="27">
      <c r="A27" s="41">
        <f>DAMAS_Daily!A27</f>
        <v/>
      </c>
      <c r="B27" s="42">
        <f>DAMAS_Daily!B27</f>
        <v/>
      </c>
      <c r="C27" s="42">
        <f>IF((power_mw*hours_per_day*damas_afrr_up*capacity_mult_D*stack_capacity*acceptance_rate+(MIN(DAMAS_Daily!C27*market_share_D*acceptance_rate*stack_activation,power_mw*hours_per_day,capacity_mwh))*DAMAS_Daily!E27*activation_mult_D)&gt;=(power_mw*hours_per_day*damas_afrr_down*capacity_mult_D*stack_capacity*acceptance_rate+(MIN(DAMAS_Daily!D27*market_share_D*acceptance_rate*stack_activation,power_mw*hours_per_day,capacity_mwh))*DAMAS_Daily!F27*activation_mult_D),"aFRR+","aFRR-")</f>
        <v/>
      </c>
      <c r="D27" s="43">
        <f>IF(C27="aFRR+",damas_afrr_up*capacity_mult_D,damas_afrr_down*capacity_mult_D)</f>
        <v/>
      </c>
      <c r="E27" s="44">
        <f>acceptance_rate</f>
        <v/>
      </c>
      <c r="F27" s="28">
        <f>IF(C27="aFRR+",power_mw*hours_per_day*damas_afrr_up*capacity_mult_D*stack_capacity*acceptance_rate,power_mw*hours_per_day*damas_afrr_down*capacity_mult_D*stack_capacity*acceptance_rate)</f>
        <v/>
      </c>
      <c r="G27" s="42">
        <f>IF(C27="aFRR+",DAMAS_Daily!I27,DAMAS_Daily!J27)</f>
        <v/>
      </c>
      <c r="H27" s="43">
        <f>IF(C27="aFRR+",DAMAS_Daily!E27,DAMAS_Daily!F27)</f>
        <v/>
      </c>
      <c r="I27" s="43">
        <f>IF(C27="aFRR+",DAMAS_Daily!G27,DAMAS_Daily!H27)</f>
        <v/>
      </c>
      <c r="J27" s="45">
        <f>IF(C27="aFRR+",DAMAS_Daily!C27,DAMAS_Daily!D27)</f>
        <v/>
      </c>
      <c r="K27" s="45">
        <f>IF(C27="aFRR+",MIN(DAMAS_Daily!C27*market_share_D*acceptance_rate*stack_activation,power_mw*hours_per_day,capacity_mwh),MIN(DAMAS_Daily!D27*market_share_D*acceptance_rate*stack_activation,power_mw*hours_per_day,capacity_mwh))</f>
        <v/>
      </c>
      <c r="L27" s="42">
        <f>IF(K27&gt;=capacity_mwh-0.01,"yes","no")</f>
        <v/>
      </c>
      <c r="M27" s="28">
        <f>IF(C27="aFRR+",(MIN(DAMAS_Daily!C27*market_share_D*acceptance_rate*stack_activation,power_mw*hours_per_day,capacity_mwh))*DAMAS_Daily!E27*activation_mult_D,(MIN(DAMAS_Daily!D27*market_share_D*acceptance_rate*stack_activation,power_mw*hours_per_day,capacity_mwh))*DAMAS_Daily!F27*activation_mult_D)</f>
        <v/>
      </c>
      <c r="N27" s="29">
        <f>F27+M27</f>
        <v/>
      </c>
    </row>
    <row r="28">
      <c r="A28" s="41">
        <f>DAMAS_Daily!A28</f>
        <v/>
      </c>
      <c r="B28" s="42">
        <f>DAMAS_Daily!B28</f>
        <v/>
      </c>
      <c r="C28" s="42">
        <f>IF((power_mw*hours_per_day*damas_afrr_up*capacity_mult_D*stack_capacity*acceptance_rate+(MIN(DAMAS_Daily!C28*market_share_D*acceptance_rate*stack_activation,power_mw*hours_per_day,capacity_mwh))*DAMAS_Daily!E28*activation_mult_D)&gt;=(power_mw*hours_per_day*damas_afrr_down*capacity_mult_D*stack_capacity*acceptance_rate+(MIN(DAMAS_Daily!D28*market_share_D*acceptance_rate*stack_activation,power_mw*hours_per_day,capacity_mwh))*DAMAS_Daily!F28*activation_mult_D),"aFRR+","aFRR-")</f>
        <v/>
      </c>
      <c r="D28" s="43">
        <f>IF(C28="aFRR+",damas_afrr_up*capacity_mult_D,damas_afrr_down*capacity_mult_D)</f>
        <v/>
      </c>
      <c r="E28" s="44">
        <f>acceptance_rate</f>
        <v/>
      </c>
      <c r="F28" s="28">
        <f>IF(C28="aFRR+",power_mw*hours_per_day*damas_afrr_up*capacity_mult_D*stack_capacity*acceptance_rate,power_mw*hours_per_day*damas_afrr_down*capacity_mult_D*stack_capacity*acceptance_rate)</f>
        <v/>
      </c>
      <c r="G28" s="42">
        <f>IF(C28="aFRR+",DAMAS_Daily!I28,DAMAS_Daily!J28)</f>
        <v/>
      </c>
      <c r="H28" s="43">
        <f>IF(C28="aFRR+",DAMAS_Daily!E28,DAMAS_Daily!F28)</f>
        <v/>
      </c>
      <c r="I28" s="43">
        <f>IF(C28="aFRR+",DAMAS_Daily!G28,DAMAS_Daily!H28)</f>
        <v/>
      </c>
      <c r="J28" s="45">
        <f>IF(C28="aFRR+",DAMAS_Daily!C28,DAMAS_Daily!D28)</f>
        <v/>
      </c>
      <c r="K28" s="45">
        <f>IF(C28="aFRR+",MIN(DAMAS_Daily!C28*market_share_D*acceptance_rate*stack_activation,power_mw*hours_per_day,capacity_mwh),MIN(DAMAS_Daily!D28*market_share_D*acceptance_rate*stack_activation,power_mw*hours_per_day,capacity_mwh))</f>
        <v/>
      </c>
      <c r="L28" s="42">
        <f>IF(K28&gt;=capacity_mwh-0.01,"yes","no")</f>
        <v/>
      </c>
      <c r="M28" s="28">
        <f>IF(C28="aFRR+",(MIN(DAMAS_Daily!C28*market_share_D*acceptance_rate*stack_activation,power_mw*hours_per_day,capacity_mwh))*DAMAS_Daily!E28*activation_mult_D,(MIN(DAMAS_Daily!D28*market_share_D*acceptance_rate*stack_activation,power_mw*hours_per_day,capacity_mwh))*DAMAS_Daily!F28*activation_mult_D)</f>
        <v/>
      </c>
      <c r="N28" s="29">
        <f>F28+M28</f>
        <v/>
      </c>
    </row>
    <row r="29">
      <c r="A29" s="41">
        <f>DAMAS_Daily!A29</f>
        <v/>
      </c>
      <c r="B29" s="42">
        <f>DAMAS_Daily!B29</f>
        <v/>
      </c>
      <c r="C29" s="42">
        <f>IF((power_mw*hours_per_day*damas_afrr_up*capacity_mult_D*stack_capacity*acceptance_rate+(MIN(DAMAS_Daily!C29*market_share_D*acceptance_rate*stack_activation,power_mw*hours_per_day,capacity_mwh))*DAMAS_Daily!E29*activation_mult_D)&gt;=(power_mw*hours_per_day*damas_afrr_down*capacity_mult_D*stack_capacity*acceptance_rate+(MIN(DAMAS_Daily!D29*market_share_D*acceptance_rate*stack_activation,power_mw*hours_per_day,capacity_mwh))*DAMAS_Daily!F29*activation_mult_D),"aFRR+","aFRR-")</f>
        <v/>
      </c>
      <c r="D29" s="43">
        <f>IF(C29="aFRR+",damas_afrr_up*capacity_mult_D,damas_afrr_down*capacity_mult_D)</f>
        <v/>
      </c>
      <c r="E29" s="44">
        <f>acceptance_rate</f>
        <v/>
      </c>
      <c r="F29" s="28">
        <f>IF(C29="aFRR+",power_mw*hours_per_day*damas_afrr_up*capacity_mult_D*stack_capacity*acceptance_rate,power_mw*hours_per_day*damas_afrr_down*capacity_mult_D*stack_capacity*acceptance_rate)</f>
        <v/>
      </c>
      <c r="G29" s="42">
        <f>IF(C29="aFRR+",DAMAS_Daily!I29,DAMAS_Daily!J29)</f>
        <v/>
      </c>
      <c r="H29" s="43">
        <f>IF(C29="aFRR+",DAMAS_Daily!E29,DAMAS_Daily!F29)</f>
        <v/>
      </c>
      <c r="I29" s="43">
        <f>IF(C29="aFRR+",DAMAS_Daily!G29,DAMAS_Daily!H29)</f>
        <v/>
      </c>
      <c r="J29" s="45">
        <f>IF(C29="aFRR+",DAMAS_Daily!C29,DAMAS_Daily!D29)</f>
        <v/>
      </c>
      <c r="K29" s="45">
        <f>IF(C29="aFRR+",MIN(DAMAS_Daily!C29*market_share_D*acceptance_rate*stack_activation,power_mw*hours_per_day,capacity_mwh),MIN(DAMAS_Daily!D29*market_share_D*acceptance_rate*stack_activation,power_mw*hours_per_day,capacity_mwh))</f>
        <v/>
      </c>
      <c r="L29" s="42">
        <f>IF(K29&gt;=capacity_mwh-0.01,"yes","no")</f>
        <v/>
      </c>
      <c r="M29" s="28">
        <f>IF(C29="aFRR+",(MIN(DAMAS_Daily!C29*market_share_D*acceptance_rate*stack_activation,power_mw*hours_per_day,capacity_mwh))*DAMAS_Daily!E29*activation_mult_D,(MIN(DAMAS_Daily!D29*market_share_D*acceptance_rate*stack_activation,power_mw*hours_per_day,capacity_mwh))*DAMAS_Daily!F29*activation_mult_D)</f>
        <v/>
      </c>
      <c r="N29" s="29">
        <f>F29+M29</f>
        <v/>
      </c>
    </row>
    <row r="30">
      <c r="A30" s="41">
        <f>DAMAS_Daily!A30</f>
        <v/>
      </c>
      <c r="B30" s="42">
        <f>DAMAS_Daily!B30</f>
        <v/>
      </c>
      <c r="C30" s="42">
        <f>IF((power_mw*hours_per_day*damas_afrr_up*capacity_mult_D*stack_capacity*acceptance_rate+(MIN(DAMAS_Daily!C30*market_share_D*acceptance_rate*stack_activation,power_mw*hours_per_day,capacity_mwh))*DAMAS_Daily!E30*activation_mult_D)&gt;=(power_mw*hours_per_day*damas_afrr_down*capacity_mult_D*stack_capacity*acceptance_rate+(MIN(DAMAS_Daily!D30*market_share_D*acceptance_rate*stack_activation,power_mw*hours_per_day,capacity_mwh))*DAMAS_Daily!F30*activation_mult_D),"aFRR+","aFRR-")</f>
        <v/>
      </c>
      <c r="D30" s="43">
        <f>IF(C30="aFRR+",damas_afrr_up*capacity_mult_D,damas_afrr_down*capacity_mult_D)</f>
        <v/>
      </c>
      <c r="E30" s="44">
        <f>acceptance_rate</f>
        <v/>
      </c>
      <c r="F30" s="28">
        <f>IF(C30="aFRR+",power_mw*hours_per_day*damas_afrr_up*capacity_mult_D*stack_capacity*acceptance_rate,power_mw*hours_per_day*damas_afrr_down*capacity_mult_D*stack_capacity*acceptance_rate)</f>
        <v/>
      </c>
      <c r="G30" s="42">
        <f>IF(C30="aFRR+",DAMAS_Daily!I30,DAMAS_Daily!J30)</f>
        <v/>
      </c>
      <c r="H30" s="43">
        <f>IF(C30="aFRR+",DAMAS_Daily!E30,DAMAS_Daily!F30)</f>
        <v/>
      </c>
      <c r="I30" s="43">
        <f>IF(C30="aFRR+",DAMAS_Daily!G30,DAMAS_Daily!H30)</f>
        <v/>
      </c>
      <c r="J30" s="45">
        <f>IF(C30="aFRR+",DAMAS_Daily!C30,DAMAS_Daily!D30)</f>
        <v/>
      </c>
      <c r="K30" s="45">
        <f>IF(C30="aFRR+",MIN(DAMAS_Daily!C30*market_share_D*acceptance_rate*stack_activation,power_mw*hours_per_day,capacity_mwh),MIN(DAMAS_Daily!D30*market_share_D*acceptance_rate*stack_activation,power_mw*hours_per_day,capacity_mwh))</f>
        <v/>
      </c>
      <c r="L30" s="42">
        <f>IF(K30&gt;=capacity_mwh-0.01,"yes","no")</f>
        <v/>
      </c>
      <c r="M30" s="28">
        <f>IF(C30="aFRR+",(MIN(DAMAS_Daily!C30*market_share_D*acceptance_rate*stack_activation,power_mw*hours_per_day,capacity_mwh))*DAMAS_Daily!E30*activation_mult_D,(MIN(DAMAS_Daily!D30*market_share_D*acceptance_rate*stack_activation,power_mw*hours_per_day,capacity_mwh))*DAMAS_Daily!F30*activation_mult_D)</f>
        <v/>
      </c>
      <c r="N30" s="29">
        <f>F30+M30</f>
        <v/>
      </c>
    </row>
    <row r="31">
      <c r="A31" s="41">
        <f>DAMAS_Daily!A31</f>
        <v/>
      </c>
      <c r="B31" s="42">
        <f>DAMAS_Daily!B31</f>
        <v/>
      </c>
      <c r="C31" s="42">
        <f>IF((power_mw*hours_per_day*damas_afrr_up*capacity_mult_D*stack_capacity*acceptance_rate+(MIN(DAMAS_Daily!C31*market_share_D*acceptance_rate*stack_activation,power_mw*hours_per_day,capacity_mwh))*DAMAS_Daily!E31*activation_mult_D)&gt;=(power_mw*hours_per_day*damas_afrr_down*capacity_mult_D*stack_capacity*acceptance_rate+(MIN(DAMAS_Daily!D31*market_share_D*acceptance_rate*stack_activation,power_mw*hours_per_day,capacity_mwh))*DAMAS_Daily!F31*activation_mult_D),"aFRR+","aFRR-")</f>
        <v/>
      </c>
      <c r="D31" s="43">
        <f>IF(C31="aFRR+",damas_afrr_up*capacity_mult_D,damas_afrr_down*capacity_mult_D)</f>
        <v/>
      </c>
      <c r="E31" s="44">
        <f>acceptance_rate</f>
        <v/>
      </c>
      <c r="F31" s="28">
        <f>IF(C31="aFRR+",power_mw*hours_per_day*damas_afrr_up*capacity_mult_D*stack_capacity*acceptance_rate,power_mw*hours_per_day*damas_afrr_down*capacity_mult_D*stack_capacity*acceptance_rate)</f>
        <v/>
      </c>
      <c r="G31" s="42">
        <f>IF(C31="aFRR+",DAMAS_Daily!I31,DAMAS_Daily!J31)</f>
        <v/>
      </c>
      <c r="H31" s="43">
        <f>IF(C31="aFRR+",DAMAS_Daily!E31,DAMAS_Daily!F31)</f>
        <v/>
      </c>
      <c r="I31" s="43">
        <f>IF(C31="aFRR+",DAMAS_Daily!G31,DAMAS_Daily!H31)</f>
        <v/>
      </c>
      <c r="J31" s="45">
        <f>IF(C31="aFRR+",DAMAS_Daily!C31,DAMAS_Daily!D31)</f>
        <v/>
      </c>
      <c r="K31" s="45">
        <f>IF(C31="aFRR+",MIN(DAMAS_Daily!C31*market_share_D*acceptance_rate*stack_activation,power_mw*hours_per_day,capacity_mwh),MIN(DAMAS_Daily!D31*market_share_D*acceptance_rate*stack_activation,power_mw*hours_per_day,capacity_mwh))</f>
        <v/>
      </c>
      <c r="L31" s="42">
        <f>IF(K31&gt;=capacity_mwh-0.01,"yes","no")</f>
        <v/>
      </c>
      <c r="M31" s="28">
        <f>IF(C31="aFRR+",(MIN(DAMAS_Daily!C31*market_share_D*acceptance_rate*stack_activation,power_mw*hours_per_day,capacity_mwh))*DAMAS_Daily!E31*activation_mult_D,(MIN(DAMAS_Daily!D31*market_share_D*acceptance_rate*stack_activation,power_mw*hours_per_day,capacity_mwh))*DAMAS_Daily!F31*activation_mult_D)</f>
        <v/>
      </c>
      <c r="N31" s="29">
        <f>F31+M31</f>
        <v/>
      </c>
    </row>
    <row r="32">
      <c r="A32" s="41">
        <f>DAMAS_Daily!A32</f>
        <v/>
      </c>
      <c r="B32" s="42">
        <f>DAMAS_Daily!B32</f>
        <v/>
      </c>
      <c r="C32" s="42">
        <f>IF((power_mw*hours_per_day*damas_afrr_up*capacity_mult_D*stack_capacity*acceptance_rate+(MIN(DAMAS_Daily!C32*market_share_D*acceptance_rate*stack_activation,power_mw*hours_per_day,capacity_mwh))*DAMAS_Daily!E32*activation_mult_D)&gt;=(power_mw*hours_per_day*damas_afrr_down*capacity_mult_D*stack_capacity*acceptance_rate+(MIN(DAMAS_Daily!D32*market_share_D*acceptance_rate*stack_activation,power_mw*hours_per_day,capacity_mwh))*DAMAS_Daily!F32*activation_mult_D),"aFRR+","aFRR-")</f>
        <v/>
      </c>
      <c r="D32" s="43">
        <f>IF(C32="aFRR+",damas_afrr_up*capacity_mult_D,damas_afrr_down*capacity_mult_D)</f>
        <v/>
      </c>
      <c r="E32" s="44">
        <f>acceptance_rate</f>
        <v/>
      </c>
      <c r="F32" s="28">
        <f>IF(C32="aFRR+",power_mw*hours_per_day*damas_afrr_up*capacity_mult_D*stack_capacity*acceptance_rate,power_mw*hours_per_day*damas_afrr_down*capacity_mult_D*stack_capacity*acceptance_rate)</f>
        <v/>
      </c>
      <c r="G32" s="42">
        <f>IF(C32="aFRR+",DAMAS_Daily!I32,DAMAS_Daily!J32)</f>
        <v/>
      </c>
      <c r="H32" s="43">
        <f>IF(C32="aFRR+",DAMAS_Daily!E32,DAMAS_Daily!F32)</f>
        <v/>
      </c>
      <c r="I32" s="43">
        <f>IF(C32="aFRR+",DAMAS_Daily!G32,DAMAS_Daily!H32)</f>
        <v/>
      </c>
      <c r="J32" s="45">
        <f>IF(C32="aFRR+",DAMAS_Daily!C32,DAMAS_Daily!D32)</f>
        <v/>
      </c>
      <c r="K32" s="45">
        <f>IF(C32="aFRR+",MIN(DAMAS_Daily!C32*market_share_D*acceptance_rate*stack_activation,power_mw*hours_per_day,capacity_mwh),MIN(DAMAS_Daily!D32*market_share_D*acceptance_rate*stack_activation,power_mw*hours_per_day,capacity_mwh))</f>
        <v/>
      </c>
      <c r="L32" s="42">
        <f>IF(K32&gt;=capacity_mwh-0.01,"yes","no")</f>
        <v/>
      </c>
      <c r="M32" s="28">
        <f>IF(C32="aFRR+",(MIN(DAMAS_Daily!C32*market_share_D*acceptance_rate*stack_activation,power_mw*hours_per_day,capacity_mwh))*DAMAS_Daily!E32*activation_mult_D,(MIN(DAMAS_Daily!D32*market_share_D*acceptance_rate*stack_activation,power_mw*hours_per_day,capacity_mwh))*DAMAS_Daily!F32*activation_mult_D)</f>
        <v/>
      </c>
      <c r="N32" s="29">
        <f>F32+M32</f>
        <v/>
      </c>
    </row>
    <row r="33">
      <c r="A33" s="41">
        <f>DAMAS_Daily!A33</f>
        <v/>
      </c>
      <c r="B33" s="42">
        <f>DAMAS_Daily!B33</f>
        <v/>
      </c>
      <c r="C33" s="42">
        <f>IF((power_mw*hours_per_day*damas_afrr_up*capacity_mult_D*stack_capacity*acceptance_rate+(MIN(DAMAS_Daily!C33*market_share_D*acceptance_rate*stack_activation,power_mw*hours_per_day,capacity_mwh))*DAMAS_Daily!E33*activation_mult_D)&gt;=(power_mw*hours_per_day*damas_afrr_down*capacity_mult_D*stack_capacity*acceptance_rate+(MIN(DAMAS_Daily!D33*market_share_D*acceptance_rate*stack_activation,power_mw*hours_per_day,capacity_mwh))*DAMAS_Daily!F33*activation_mult_D),"aFRR+","aFRR-")</f>
        <v/>
      </c>
      <c r="D33" s="43">
        <f>IF(C33="aFRR+",damas_afrr_up*capacity_mult_D,damas_afrr_down*capacity_mult_D)</f>
        <v/>
      </c>
      <c r="E33" s="44">
        <f>acceptance_rate</f>
        <v/>
      </c>
      <c r="F33" s="28">
        <f>IF(C33="aFRR+",power_mw*hours_per_day*damas_afrr_up*capacity_mult_D*stack_capacity*acceptance_rate,power_mw*hours_per_day*damas_afrr_down*capacity_mult_D*stack_capacity*acceptance_rate)</f>
        <v/>
      </c>
      <c r="G33" s="42">
        <f>IF(C33="aFRR+",DAMAS_Daily!I33,DAMAS_Daily!J33)</f>
        <v/>
      </c>
      <c r="H33" s="43">
        <f>IF(C33="aFRR+",DAMAS_Daily!E33,DAMAS_Daily!F33)</f>
        <v/>
      </c>
      <c r="I33" s="43">
        <f>IF(C33="aFRR+",DAMAS_Daily!G33,DAMAS_Daily!H33)</f>
        <v/>
      </c>
      <c r="J33" s="45">
        <f>IF(C33="aFRR+",DAMAS_Daily!C33,DAMAS_Daily!D33)</f>
        <v/>
      </c>
      <c r="K33" s="45">
        <f>IF(C33="aFRR+",MIN(DAMAS_Daily!C33*market_share_D*acceptance_rate*stack_activation,power_mw*hours_per_day,capacity_mwh),MIN(DAMAS_Daily!D33*market_share_D*acceptance_rate*stack_activation,power_mw*hours_per_day,capacity_mwh))</f>
        <v/>
      </c>
      <c r="L33" s="42">
        <f>IF(K33&gt;=capacity_mwh-0.01,"yes","no")</f>
        <v/>
      </c>
      <c r="M33" s="28">
        <f>IF(C33="aFRR+",(MIN(DAMAS_Daily!C33*market_share_D*acceptance_rate*stack_activation,power_mw*hours_per_day,capacity_mwh))*DAMAS_Daily!E33*activation_mult_D,(MIN(DAMAS_Daily!D33*market_share_D*acceptance_rate*stack_activation,power_mw*hours_per_day,capacity_mwh))*DAMAS_Daily!F33*activation_mult_D)</f>
        <v/>
      </c>
      <c r="N33" s="29">
        <f>F33+M33</f>
        <v/>
      </c>
    </row>
    <row r="34">
      <c r="A34" s="41">
        <f>DAMAS_Daily!A34</f>
        <v/>
      </c>
      <c r="B34" s="42">
        <f>DAMAS_Daily!B34</f>
        <v/>
      </c>
      <c r="C34" s="42">
        <f>IF((power_mw*hours_per_day*damas_afrr_up*capacity_mult_D*stack_capacity*acceptance_rate+(MIN(DAMAS_Daily!C34*market_share_D*acceptance_rate*stack_activation,power_mw*hours_per_day,capacity_mwh))*DAMAS_Daily!E34*activation_mult_D)&gt;=(power_mw*hours_per_day*damas_afrr_down*capacity_mult_D*stack_capacity*acceptance_rate+(MIN(DAMAS_Daily!D34*market_share_D*acceptance_rate*stack_activation,power_mw*hours_per_day,capacity_mwh))*DAMAS_Daily!F34*activation_mult_D),"aFRR+","aFRR-")</f>
        <v/>
      </c>
      <c r="D34" s="43">
        <f>IF(C34="aFRR+",damas_afrr_up*capacity_mult_D,damas_afrr_down*capacity_mult_D)</f>
        <v/>
      </c>
      <c r="E34" s="44">
        <f>acceptance_rate</f>
        <v/>
      </c>
      <c r="F34" s="28">
        <f>IF(C34="aFRR+",power_mw*hours_per_day*damas_afrr_up*capacity_mult_D*stack_capacity*acceptance_rate,power_mw*hours_per_day*damas_afrr_down*capacity_mult_D*stack_capacity*acceptance_rate)</f>
        <v/>
      </c>
      <c r="G34" s="42">
        <f>IF(C34="aFRR+",DAMAS_Daily!I34,DAMAS_Daily!J34)</f>
        <v/>
      </c>
      <c r="H34" s="43">
        <f>IF(C34="aFRR+",DAMAS_Daily!E34,DAMAS_Daily!F34)</f>
        <v/>
      </c>
      <c r="I34" s="43">
        <f>IF(C34="aFRR+",DAMAS_Daily!G34,DAMAS_Daily!H34)</f>
        <v/>
      </c>
      <c r="J34" s="45">
        <f>IF(C34="aFRR+",DAMAS_Daily!C34,DAMAS_Daily!D34)</f>
        <v/>
      </c>
      <c r="K34" s="45">
        <f>IF(C34="aFRR+",MIN(DAMAS_Daily!C34*market_share_D*acceptance_rate*stack_activation,power_mw*hours_per_day,capacity_mwh),MIN(DAMAS_Daily!D34*market_share_D*acceptance_rate*stack_activation,power_mw*hours_per_day,capacity_mwh))</f>
        <v/>
      </c>
      <c r="L34" s="42">
        <f>IF(K34&gt;=capacity_mwh-0.01,"yes","no")</f>
        <v/>
      </c>
      <c r="M34" s="28">
        <f>IF(C34="aFRR+",(MIN(DAMAS_Daily!C34*market_share_D*acceptance_rate*stack_activation,power_mw*hours_per_day,capacity_mwh))*DAMAS_Daily!E34*activation_mult_D,(MIN(DAMAS_Daily!D34*market_share_D*acceptance_rate*stack_activation,power_mw*hours_per_day,capacity_mwh))*DAMAS_Daily!F34*activation_mult_D)</f>
        <v/>
      </c>
      <c r="N34" s="29">
        <f>F34+M34</f>
        <v/>
      </c>
    </row>
    <row r="35">
      <c r="A35" s="41">
        <f>DAMAS_Daily!A35</f>
        <v/>
      </c>
      <c r="B35" s="42">
        <f>DAMAS_Daily!B35</f>
        <v/>
      </c>
      <c r="C35" s="42">
        <f>IF((power_mw*hours_per_day*damas_afrr_up*capacity_mult_D*stack_capacity*acceptance_rate+(MIN(DAMAS_Daily!C35*market_share_D*acceptance_rate*stack_activation,power_mw*hours_per_day,capacity_mwh))*DAMAS_Daily!E35*activation_mult_D)&gt;=(power_mw*hours_per_day*damas_afrr_down*capacity_mult_D*stack_capacity*acceptance_rate+(MIN(DAMAS_Daily!D35*market_share_D*acceptance_rate*stack_activation,power_mw*hours_per_day,capacity_mwh))*DAMAS_Daily!F35*activation_mult_D),"aFRR+","aFRR-")</f>
        <v/>
      </c>
      <c r="D35" s="43">
        <f>IF(C35="aFRR+",damas_afrr_up*capacity_mult_D,damas_afrr_down*capacity_mult_D)</f>
        <v/>
      </c>
      <c r="E35" s="44">
        <f>acceptance_rate</f>
        <v/>
      </c>
      <c r="F35" s="28">
        <f>IF(C35="aFRR+",power_mw*hours_per_day*damas_afrr_up*capacity_mult_D*stack_capacity*acceptance_rate,power_mw*hours_per_day*damas_afrr_down*capacity_mult_D*stack_capacity*acceptance_rate)</f>
        <v/>
      </c>
      <c r="G35" s="42">
        <f>IF(C35="aFRR+",DAMAS_Daily!I35,DAMAS_Daily!J35)</f>
        <v/>
      </c>
      <c r="H35" s="43">
        <f>IF(C35="aFRR+",DAMAS_Daily!E35,DAMAS_Daily!F35)</f>
        <v/>
      </c>
      <c r="I35" s="43">
        <f>IF(C35="aFRR+",DAMAS_Daily!G35,DAMAS_Daily!H35)</f>
        <v/>
      </c>
      <c r="J35" s="45">
        <f>IF(C35="aFRR+",DAMAS_Daily!C35,DAMAS_Daily!D35)</f>
        <v/>
      </c>
      <c r="K35" s="45">
        <f>IF(C35="aFRR+",MIN(DAMAS_Daily!C35*market_share_D*acceptance_rate*stack_activation,power_mw*hours_per_day,capacity_mwh),MIN(DAMAS_Daily!D35*market_share_D*acceptance_rate*stack_activation,power_mw*hours_per_day,capacity_mwh))</f>
        <v/>
      </c>
      <c r="L35" s="42">
        <f>IF(K35&gt;=capacity_mwh-0.01,"yes","no")</f>
        <v/>
      </c>
      <c r="M35" s="28">
        <f>IF(C35="aFRR+",(MIN(DAMAS_Daily!C35*market_share_D*acceptance_rate*stack_activation,power_mw*hours_per_day,capacity_mwh))*DAMAS_Daily!E35*activation_mult_D,(MIN(DAMAS_Daily!D35*market_share_D*acceptance_rate*stack_activation,power_mw*hours_per_day,capacity_mwh))*DAMAS_Daily!F35*activation_mult_D)</f>
        <v/>
      </c>
      <c r="N35" s="29">
        <f>F35+M35</f>
        <v/>
      </c>
    </row>
    <row r="36">
      <c r="A36" s="41">
        <f>DAMAS_Daily!A36</f>
        <v/>
      </c>
      <c r="B36" s="42">
        <f>DAMAS_Daily!B36</f>
        <v/>
      </c>
      <c r="C36" s="42">
        <f>IF((power_mw*hours_per_day*damas_afrr_up*capacity_mult_D*stack_capacity*acceptance_rate+(MIN(DAMAS_Daily!C36*market_share_D*acceptance_rate*stack_activation,power_mw*hours_per_day,capacity_mwh))*DAMAS_Daily!E36*activation_mult_D)&gt;=(power_mw*hours_per_day*damas_afrr_down*capacity_mult_D*stack_capacity*acceptance_rate+(MIN(DAMAS_Daily!D36*market_share_D*acceptance_rate*stack_activation,power_mw*hours_per_day,capacity_mwh))*DAMAS_Daily!F36*activation_mult_D),"aFRR+","aFRR-")</f>
        <v/>
      </c>
      <c r="D36" s="43">
        <f>IF(C36="aFRR+",damas_afrr_up*capacity_mult_D,damas_afrr_down*capacity_mult_D)</f>
        <v/>
      </c>
      <c r="E36" s="44">
        <f>acceptance_rate</f>
        <v/>
      </c>
      <c r="F36" s="28">
        <f>IF(C36="aFRR+",power_mw*hours_per_day*damas_afrr_up*capacity_mult_D*stack_capacity*acceptance_rate,power_mw*hours_per_day*damas_afrr_down*capacity_mult_D*stack_capacity*acceptance_rate)</f>
        <v/>
      </c>
      <c r="G36" s="42">
        <f>IF(C36="aFRR+",DAMAS_Daily!I36,DAMAS_Daily!J36)</f>
        <v/>
      </c>
      <c r="H36" s="43">
        <f>IF(C36="aFRR+",DAMAS_Daily!E36,DAMAS_Daily!F36)</f>
        <v/>
      </c>
      <c r="I36" s="43">
        <f>IF(C36="aFRR+",DAMAS_Daily!G36,DAMAS_Daily!H36)</f>
        <v/>
      </c>
      <c r="J36" s="45">
        <f>IF(C36="aFRR+",DAMAS_Daily!C36,DAMAS_Daily!D36)</f>
        <v/>
      </c>
      <c r="K36" s="45">
        <f>IF(C36="aFRR+",MIN(DAMAS_Daily!C36*market_share_D*acceptance_rate*stack_activation,power_mw*hours_per_day,capacity_mwh),MIN(DAMAS_Daily!D36*market_share_D*acceptance_rate*stack_activation,power_mw*hours_per_day,capacity_mwh))</f>
        <v/>
      </c>
      <c r="L36" s="42">
        <f>IF(K36&gt;=capacity_mwh-0.01,"yes","no")</f>
        <v/>
      </c>
      <c r="M36" s="28">
        <f>IF(C36="aFRR+",(MIN(DAMAS_Daily!C36*market_share_D*acceptance_rate*stack_activation,power_mw*hours_per_day,capacity_mwh))*DAMAS_Daily!E36*activation_mult_D,(MIN(DAMAS_Daily!D36*market_share_D*acceptance_rate*stack_activation,power_mw*hours_per_day,capacity_mwh))*DAMAS_Daily!F36*activation_mult_D)</f>
        <v/>
      </c>
      <c r="N36" s="29">
        <f>F36+M36</f>
        <v/>
      </c>
    </row>
    <row r="37">
      <c r="A37" s="41">
        <f>DAMAS_Daily!A37</f>
        <v/>
      </c>
      <c r="B37" s="42">
        <f>DAMAS_Daily!B37</f>
        <v/>
      </c>
      <c r="C37" s="42">
        <f>IF((power_mw*hours_per_day*damas_afrr_up*capacity_mult_D*stack_capacity*acceptance_rate+(MIN(DAMAS_Daily!C37*market_share_D*acceptance_rate*stack_activation,power_mw*hours_per_day,capacity_mwh))*DAMAS_Daily!E37*activation_mult_D)&gt;=(power_mw*hours_per_day*damas_afrr_down*capacity_mult_D*stack_capacity*acceptance_rate+(MIN(DAMAS_Daily!D37*market_share_D*acceptance_rate*stack_activation,power_mw*hours_per_day,capacity_mwh))*DAMAS_Daily!F37*activation_mult_D),"aFRR+","aFRR-")</f>
        <v/>
      </c>
      <c r="D37" s="43">
        <f>IF(C37="aFRR+",damas_afrr_up*capacity_mult_D,damas_afrr_down*capacity_mult_D)</f>
        <v/>
      </c>
      <c r="E37" s="44">
        <f>acceptance_rate</f>
        <v/>
      </c>
      <c r="F37" s="28">
        <f>IF(C37="aFRR+",power_mw*hours_per_day*damas_afrr_up*capacity_mult_D*stack_capacity*acceptance_rate,power_mw*hours_per_day*damas_afrr_down*capacity_mult_D*stack_capacity*acceptance_rate)</f>
        <v/>
      </c>
      <c r="G37" s="42">
        <f>IF(C37="aFRR+",DAMAS_Daily!I37,DAMAS_Daily!J37)</f>
        <v/>
      </c>
      <c r="H37" s="43">
        <f>IF(C37="aFRR+",DAMAS_Daily!E37,DAMAS_Daily!F37)</f>
        <v/>
      </c>
      <c r="I37" s="43">
        <f>IF(C37="aFRR+",DAMAS_Daily!G37,DAMAS_Daily!H37)</f>
        <v/>
      </c>
      <c r="J37" s="45">
        <f>IF(C37="aFRR+",DAMAS_Daily!C37,DAMAS_Daily!D37)</f>
        <v/>
      </c>
      <c r="K37" s="45">
        <f>IF(C37="aFRR+",MIN(DAMAS_Daily!C37*market_share_D*acceptance_rate*stack_activation,power_mw*hours_per_day,capacity_mwh),MIN(DAMAS_Daily!D37*market_share_D*acceptance_rate*stack_activation,power_mw*hours_per_day,capacity_mwh))</f>
        <v/>
      </c>
      <c r="L37" s="42">
        <f>IF(K37&gt;=capacity_mwh-0.01,"yes","no")</f>
        <v/>
      </c>
      <c r="M37" s="28">
        <f>IF(C37="aFRR+",(MIN(DAMAS_Daily!C37*market_share_D*acceptance_rate*stack_activation,power_mw*hours_per_day,capacity_mwh))*DAMAS_Daily!E37*activation_mult_D,(MIN(DAMAS_Daily!D37*market_share_D*acceptance_rate*stack_activation,power_mw*hours_per_day,capacity_mwh))*DAMAS_Daily!F37*activation_mult_D)</f>
        <v/>
      </c>
      <c r="N37" s="29">
        <f>F37+M37</f>
        <v/>
      </c>
    </row>
    <row r="38">
      <c r="A38" s="41">
        <f>DAMAS_Daily!A38</f>
        <v/>
      </c>
      <c r="B38" s="42">
        <f>DAMAS_Daily!B38</f>
        <v/>
      </c>
      <c r="C38" s="42">
        <f>IF((power_mw*hours_per_day*damas_afrr_up*capacity_mult_D*stack_capacity*acceptance_rate+(MIN(DAMAS_Daily!C38*market_share_D*acceptance_rate*stack_activation,power_mw*hours_per_day,capacity_mwh))*DAMAS_Daily!E38*activation_mult_D)&gt;=(power_mw*hours_per_day*damas_afrr_down*capacity_mult_D*stack_capacity*acceptance_rate+(MIN(DAMAS_Daily!D38*market_share_D*acceptance_rate*stack_activation,power_mw*hours_per_day,capacity_mwh))*DAMAS_Daily!F38*activation_mult_D),"aFRR+","aFRR-")</f>
        <v/>
      </c>
      <c r="D38" s="43">
        <f>IF(C38="aFRR+",damas_afrr_up*capacity_mult_D,damas_afrr_down*capacity_mult_D)</f>
        <v/>
      </c>
      <c r="E38" s="44">
        <f>acceptance_rate</f>
        <v/>
      </c>
      <c r="F38" s="28">
        <f>IF(C38="aFRR+",power_mw*hours_per_day*damas_afrr_up*capacity_mult_D*stack_capacity*acceptance_rate,power_mw*hours_per_day*damas_afrr_down*capacity_mult_D*stack_capacity*acceptance_rate)</f>
        <v/>
      </c>
      <c r="G38" s="42">
        <f>IF(C38="aFRR+",DAMAS_Daily!I38,DAMAS_Daily!J38)</f>
        <v/>
      </c>
      <c r="H38" s="43">
        <f>IF(C38="aFRR+",DAMAS_Daily!E38,DAMAS_Daily!F38)</f>
        <v/>
      </c>
      <c r="I38" s="43">
        <f>IF(C38="aFRR+",DAMAS_Daily!G38,DAMAS_Daily!H38)</f>
        <v/>
      </c>
      <c r="J38" s="45">
        <f>IF(C38="aFRR+",DAMAS_Daily!C38,DAMAS_Daily!D38)</f>
        <v/>
      </c>
      <c r="K38" s="45">
        <f>IF(C38="aFRR+",MIN(DAMAS_Daily!C38*market_share_D*acceptance_rate*stack_activation,power_mw*hours_per_day,capacity_mwh),MIN(DAMAS_Daily!D38*market_share_D*acceptance_rate*stack_activation,power_mw*hours_per_day,capacity_mwh))</f>
        <v/>
      </c>
      <c r="L38" s="42">
        <f>IF(K38&gt;=capacity_mwh-0.01,"yes","no")</f>
        <v/>
      </c>
      <c r="M38" s="28">
        <f>IF(C38="aFRR+",(MIN(DAMAS_Daily!C38*market_share_D*acceptance_rate*stack_activation,power_mw*hours_per_day,capacity_mwh))*DAMAS_Daily!E38*activation_mult_D,(MIN(DAMAS_Daily!D38*market_share_D*acceptance_rate*stack_activation,power_mw*hours_per_day,capacity_mwh))*DAMAS_Daily!F38*activation_mult_D)</f>
        <v/>
      </c>
      <c r="N38" s="29">
        <f>F38+M38</f>
        <v/>
      </c>
    </row>
    <row r="39">
      <c r="A39" s="41">
        <f>DAMAS_Daily!A39</f>
        <v/>
      </c>
      <c r="B39" s="42">
        <f>DAMAS_Daily!B39</f>
        <v/>
      </c>
      <c r="C39" s="42">
        <f>IF((power_mw*hours_per_day*damas_afrr_up*capacity_mult_D*stack_capacity*acceptance_rate+(MIN(DAMAS_Daily!C39*market_share_D*acceptance_rate*stack_activation,power_mw*hours_per_day,capacity_mwh))*DAMAS_Daily!E39*activation_mult_D)&gt;=(power_mw*hours_per_day*damas_afrr_down*capacity_mult_D*stack_capacity*acceptance_rate+(MIN(DAMAS_Daily!D39*market_share_D*acceptance_rate*stack_activation,power_mw*hours_per_day,capacity_mwh))*DAMAS_Daily!F39*activation_mult_D),"aFRR+","aFRR-")</f>
        <v/>
      </c>
      <c r="D39" s="43">
        <f>IF(C39="aFRR+",damas_afrr_up*capacity_mult_D,damas_afrr_down*capacity_mult_D)</f>
        <v/>
      </c>
      <c r="E39" s="44">
        <f>acceptance_rate</f>
        <v/>
      </c>
      <c r="F39" s="28">
        <f>IF(C39="aFRR+",power_mw*hours_per_day*damas_afrr_up*capacity_mult_D*stack_capacity*acceptance_rate,power_mw*hours_per_day*damas_afrr_down*capacity_mult_D*stack_capacity*acceptance_rate)</f>
        <v/>
      </c>
      <c r="G39" s="42">
        <f>IF(C39="aFRR+",DAMAS_Daily!I39,DAMAS_Daily!J39)</f>
        <v/>
      </c>
      <c r="H39" s="43">
        <f>IF(C39="aFRR+",DAMAS_Daily!E39,DAMAS_Daily!F39)</f>
        <v/>
      </c>
      <c r="I39" s="43">
        <f>IF(C39="aFRR+",DAMAS_Daily!G39,DAMAS_Daily!H39)</f>
        <v/>
      </c>
      <c r="J39" s="45">
        <f>IF(C39="aFRR+",DAMAS_Daily!C39,DAMAS_Daily!D39)</f>
        <v/>
      </c>
      <c r="K39" s="45">
        <f>IF(C39="aFRR+",MIN(DAMAS_Daily!C39*market_share_D*acceptance_rate*stack_activation,power_mw*hours_per_day,capacity_mwh),MIN(DAMAS_Daily!D39*market_share_D*acceptance_rate*stack_activation,power_mw*hours_per_day,capacity_mwh))</f>
        <v/>
      </c>
      <c r="L39" s="42">
        <f>IF(K39&gt;=capacity_mwh-0.01,"yes","no")</f>
        <v/>
      </c>
      <c r="M39" s="28">
        <f>IF(C39="aFRR+",(MIN(DAMAS_Daily!C39*market_share_D*acceptance_rate*stack_activation,power_mw*hours_per_day,capacity_mwh))*DAMAS_Daily!E39*activation_mult_D,(MIN(DAMAS_Daily!D39*market_share_D*acceptance_rate*stack_activation,power_mw*hours_per_day,capacity_mwh))*DAMAS_Daily!F39*activation_mult_D)</f>
        <v/>
      </c>
      <c r="N39" s="29">
        <f>F39+M39</f>
        <v/>
      </c>
    </row>
    <row r="40">
      <c r="A40" s="41">
        <f>DAMAS_Daily!A40</f>
        <v/>
      </c>
      <c r="B40" s="42">
        <f>DAMAS_Daily!B40</f>
        <v/>
      </c>
      <c r="C40" s="42">
        <f>IF((power_mw*hours_per_day*damas_afrr_up*capacity_mult_D*stack_capacity*acceptance_rate+(MIN(DAMAS_Daily!C40*market_share_D*acceptance_rate*stack_activation,power_mw*hours_per_day,capacity_mwh))*DAMAS_Daily!E40*activation_mult_D)&gt;=(power_mw*hours_per_day*damas_afrr_down*capacity_mult_D*stack_capacity*acceptance_rate+(MIN(DAMAS_Daily!D40*market_share_D*acceptance_rate*stack_activation,power_mw*hours_per_day,capacity_mwh))*DAMAS_Daily!F40*activation_mult_D),"aFRR+","aFRR-")</f>
        <v/>
      </c>
      <c r="D40" s="43">
        <f>IF(C40="aFRR+",damas_afrr_up*capacity_mult_D,damas_afrr_down*capacity_mult_D)</f>
        <v/>
      </c>
      <c r="E40" s="44">
        <f>acceptance_rate</f>
        <v/>
      </c>
      <c r="F40" s="28">
        <f>IF(C40="aFRR+",power_mw*hours_per_day*damas_afrr_up*capacity_mult_D*stack_capacity*acceptance_rate,power_mw*hours_per_day*damas_afrr_down*capacity_mult_D*stack_capacity*acceptance_rate)</f>
        <v/>
      </c>
      <c r="G40" s="42">
        <f>IF(C40="aFRR+",DAMAS_Daily!I40,DAMAS_Daily!J40)</f>
        <v/>
      </c>
      <c r="H40" s="43">
        <f>IF(C40="aFRR+",DAMAS_Daily!E40,DAMAS_Daily!F40)</f>
        <v/>
      </c>
      <c r="I40" s="43">
        <f>IF(C40="aFRR+",DAMAS_Daily!G40,DAMAS_Daily!H40)</f>
        <v/>
      </c>
      <c r="J40" s="45">
        <f>IF(C40="aFRR+",DAMAS_Daily!C40,DAMAS_Daily!D40)</f>
        <v/>
      </c>
      <c r="K40" s="45">
        <f>IF(C40="aFRR+",MIN(DAMAS_Daily!C40*market_share_D*acceptance_rate*stack_activation,power_mw*hours_per_day,capacity_mwh),MIN(DAMAS_Daily!D40*market_share_D*acceptance_rate*stack_activation,power_mw*hours_per_day,capacity_mwh))</f>
        <v/>
      </c>
      <c r="L40" s="42">
        <f>IF(K40&gt;=capacity_mwh-0.01,"yes","no")</f>
        <v/>
      </c>
      <c r="M40" s="28">
        <f>IF(C40="aFRR+",(MIN(DAMAS_Daily!C40*market_share_D*acceptance_rate*stack_activation,power_mw*hours_per_day,capacity_mwh))*DAMAS_Daily!E40*activation_mult_D,(MIN(DAMAS_Daily!D40*market_share_D*acceptance_rate*stack_activation,power_mw*hours_per_day,capacity_mwh))*DAMAS_Daily!F40*activation_mult_D)</f>
        <v/>
      </c>
      <c r="N40" s="29">
        <f>F40+M40</f>
        <v/>
      </c>
    </row>
    <row r="41">
      <c r="A41" s="41">
        <f>DAMAS_Daily!A41</f>
        <v/>
      </c>
      <c r="B41" s="42">
        <f>DAMAS_Daily!B41</f>
        <v/>
      </c>
      <c r="C41" s="42">
        <f>IF((power_mw*hours_per_day*damas_afrr_up*capacity_mult_D*stack_capacity*acceptance_rate+(MIN(DAMAS_Daily!C41*market_share_D*acceptance_rate*stack_activation,power_mw*hours_per_day,capacity_mwh))*DAMAS_Daily!E41*activation_mult_D)&gt;=(power_mw*hours_per_day*damas_afrr_down*capacity_mult_D*stack_capacity*acceptance_rate+(MIN(DAMAS_Daily!D41*market_share_D*acceptance_rate*stack_activation,power_mw*hours_per_day,capacity_mwh))*DAMAS_Daily!F41*activation_mult_D),"aFRR+","aFRR-")</f>
        <v/>
      </c>
      <c r="D41" s="43">
        <f>IF(C41="aFRR+",damas_afrr_up*capacity_mult_D,damas_afrr_down*capacity_mult_D)</f>
        <v/>
      </c>
      <c r="E41" s="44">
        <f>acceptance_rate</f>
        <v/>
      </c>
      <c r="F41" s="28">
        <f>IF(C41="aFRR+",power_mw*hours_per_day*damas_afrr_up*capacity_mult_D*stack_capacity*acceptance_rate,power_mw*hours_per_day*damas_afrr_down*capacity_mult_D*stack_capacity*acceptance_rate)</f>
        <v/>
      </c>
      <c r="G41" s="42">
        <f>IF(C41="aFRR+",DAMAS_Daily!I41,DAMAS_Daily!J41)</f>
        <v/>
      </c>
      <c r="H41" s="43">
        <f>IF(C41="aFRR+",DAMAS_Daily!E41,DAMAS_Daily!F41)</f>
        <v/>
      </c>
      <c r="I41" s="43">
        <f>IF(C41="aFRR+",DAMAS_Daily!G41,DAMAS_Daily!H41)</f>
        <v/>
      </c>
      <c r="J41" s="45">
        <f>IF(C41="aFRR+",DAMAS_Daily!C41,DAMAS_Daily!D41)</f>
        <v/>
      </c>
      <c r="K41" s="45">
        <f>IF(C41="aFRR+",MIN(DAMAS_Daily!C41*market_share_D*acceptance_rate*stack_activation,power_mw*hours_per_day,capacity_mwh),MIN(DAMAS_Daily!D41*market_share_D*acceptance_rate*stack_activation,power_mw*hours_per_day,capacity_mwh))</f>
        <v/>
      </c>
      <c r="L41" s="42">
        <f>IF(K41&gt;=capacity_mwh-0.01,"yes","no")</f>
        <v/>
      </c>
      <c r="M41" s="28">
        <f>IF(C41="aFRR+",(MIN(DAMAS_Daily!C41*market_share_D*acceptance_rate*stack_activation,power_mw*hours_per_day,capacity_mwh))*DAMAS_Daily!E41*activation_mult_D,(MIN(DAMAS_Daily!D41*market_share_D*acceptance_rate*stack_activation,power_mw*hours_per_day,capacity_mwh))*DAMAS_Daily!F41*activation_mult_D)</f>
        <v/>
      </c>
      <c r="N41" s="29">
        <f>F41+M41</f>
        <v/>
      </c>
    </row>
    <row r="42">
      <c r="A42" s="41">
        <f>DAMAS_Daily!A42</f>
        <v/>
      </c>
      <c r="B42" s="42">
        <f>DAMAS_Daily!B42</f>
        <v/>
      </c>
      <c r="C42" s="42">
        <f>IF((power_mw*hours_per_day*damas_afrr_up*capacity_mult_D*stack_capacity*acceptance_rate+(MIN(DAMAS_Daily!C42*market_share_D*acceptance_rate*stack_activation,power_mw*hours_per_day,capacity_mwh))*DAMAS_Daily!E42*activation_mult_D)&gt;=(power_mw*hours_per_day*damas_afrr_down*capacity_mult_D*stack_capacity*acceptance_rate+(MIN(DAMAS_Daily!D42*market_share_D*acceptance_rate*stack_activation,power_mw*hours_per_day,capacity_mwh))*DAMAS_Daily!F42*activation_mult_D),"aFRR+","aFRR-")</f>
        <v/>
      </c>
      <c r="D42" s="43">
        <f>IF(C42="aFRR+",damas_afrr_up*capacity_mult_D,damas_afrr_down*capacity_mult_D)</f>
        <v/>
      </c>
      <c r="E42" s="44">
        <f>acceptance_rate</f>
        <v/>
      </c>
      <c r="F42" s="28">
        <f>IF(C42="aFRR+",power_mw*hours_per_day*damas_afrr_up*capacity_mult_D*stack_capacity*acceptance_rate,power_mw*hours_per_day*damas_afrr_down*capacity_mult_D*stack_capacity*acceptance_rate)</f>
        <v/>
      </c>
      <c r="G42" s="42">
        <f>IF(C42="aFRR+",DAMAS_Daily!I42,DAMAS_Daily!J42)</f>
        <v/>
      </c>
      <c r="H42" s="43">
        <f>IF(C42="aFRR+",DAMAS_Daily!E42,DAMAS_Daily!F42)</f>
        <v/>
      </c>
      <c r="I42" s="43">
        <f>IF(C42="aFRR+",DAMAS_Daily!G42,DAMAS_Daily!H42)</f>
        <v/>
      </c>
      <c r="J42" s="45">
        <f>IF(C42="aFRR+",DAMAS_Daily!C42,DAMAS_Daily!D42)</f>
        <v/>
      </c>
      <c r="K42" s="45">
        <f>IF(C42="aFRR+",MIN(DAMAS_Daily!C42*market_share_D*acceptance_rate*stack_activation,power_mw*hours_per_day,capacity_mwh),MIN(DAMAS_Daily!D42*market_share_D*acceptance_rate*stack_activation,power_mw*hours_per_day,capacity_mwh))</f>
        <v/>
      </c>
      <c r="L42" s="42">
        <f>IF(K42&gt;=capacity_mwh-0.01,"yes","no")</f>
        <v/>
      </c>
      <c r="M42" s="28">
        <f>IF(C42="aFRR+",(MIN(DAMAS_Daily!C42*market_share_D*acceptance_rate*stack_activation,power_mw*hours_per_day,capacity_mwh))*DAMAS_Daily!E42*activation_mult_D,(MIN(DAMAS_Daily!D42*market_share_D*acceptance_rate*stack_activation,power_mw*hours_per_day,capacity_mwh))*DAMAS_Daily!F42*activation_mult_D)</f>
        <v/>
      </c>
      <c r="N42" s="29">
        <f>F42+M42</f>
        <v/>
      </c>
    </row>
    <row r="43">
      <c r="A43" s="41">
        <f>DAMAS_Daily!A43</f>
        <v/>
      </c>
      <c r="B43" s="42">
        <f>DAMAS_Daily!B43</f>
        <v/>
      </c>
      <c r="C43" s="42">
        <f>IF((power_mw*hours_per_day*damas_afrr_up*capacity_mult_D*stack_capacity*acceptance_rate+(MIN(DAMAS_Daily!C43*market_share_D*acceptance_rate*stack_activation,power_mw*hours_per_day,capacity_mwh))*DAMAS_Daily!E43*activation_mult_D)&gt;=(power_mw*hours_per_day*damas_afrr_down*capacity_mult_D*stack_capacity*acceptance_rate+(MIN(DAMAS_Daily!D43*market_share_D*acceptance_rate*stack_activation,power_mw*hours_per_day,capacity_mwh))*DAMAS_Daily!F43*activation_mult_D),"aFRR+","aFRR-")</f>
        <v/>
      </c>
      <c r="D43" s="43">
        <f>IF(C43="aFRR+",damas_afrr_up*capacity_mult_D,damas_afrr_down*capacity_mult_D)</f>
        <v/>
      </c>
      <c r="E43" s="44">
        <f>acceptance_rate</f>
        <v/>
      </c>
      <c r="F43" s="28">
        <f>IF(C43="aFRR+",power_mw*hours_per_day*damas_afrr_up*capacity_mult_D*stack_capacity*acceptance_rate,power_mw*hours_per_day*damas_afrr_down*capacity_mult_D*stack_capacity*acceptance_rate)</f>
        <v/>
      </c>
      <c r="G43" s="42">
        <f>IF(C43="aFRR+",DAMAS_Daily!I43,DAMAS_Daily!J43)</f>
        <v/>
      </c>
      <c r="H43" s="43">
        <f>IF(C43="aFRR+",DAMAS_Daily!E43,DAMAS_Daily!F43)</f>
        <v/>
      </c>
      <c r="I43" s="43">
        <f>IF(C43="aFRR+",DAMAS_Daily!G43,DAMAS_Daily!H43)</f>
        <v/>
      </c>
      <c r="J43" s="45">
        <f>IF(C43="aFRR+",DAMAS_Daily!C43,DAMAS_Daily!D43)</f>
        <v/>
      </c>
      <c r="K43" s="45">
        <f>IF(C43="aFRR+",MIN(DAMAS_Daily!C43*market_share_D*acceptance_rate*stack_activation,power_mw*hours_per_day,capacity_mwh),MIN(DAMAS_Daily!D43*market_share_D*acceptance_rate*stack_activation,power_mw*hours_per_day,capacity_mwh))</f>
        <v/>
      </c>
      <c r="L43" s="42">
        <f>IF(K43&gt;=capacity_mwh-0.01,"yes","no")</f>
        <v/>
      </c>
      <c r="M43" s="28">
        <f>IF(C43="aFRR+",(MIN(DAMAS_Daily!C43*market_share_D*acceptance_rate*stack_activation,power_mw*hours_per_day,capacity_mwh))*DAMAS_Daily!E43*activation_mult_D,(MIN(DAMAS_Daily!D43*market_share_D*acceptance_rate*stack_activation,power_mw*hours_per_day,capacity_mwh))*DAMAS_Daily!F43*activation_mult_D)</f>
        <v/>
      </c>
      <c r="N43" s="29">
        <f>F43+M43</f>
        <v/>
      </c>
    </row>
    <row r="44">
      <c r="A44" s="41">
        <f>DAMAS_Daily!A44</f>
        <v/>
      </c>
      <c r="B44" s="42">
        <f>DAMAS_Daily!B44</f>
        <v/>
      </c>
      <c r="C44" s="42">
        <f>IF((power_mw*hours_per_day*damas_afrr_up*capacity_mult_D*stack_capacity*acceptance_rate+(MIN(DAMAS_Daily!C44*market_share_D*acceptance_rate*stack_activation,power_mw*hours_per_day,capacity_mwh))*DAMAS_Daily!E44*activation_mult_D)&gt;=(power_mw*hours_per_day*damas_afrr_down*capacity_mult_D*stack_capacity*acceptance_rate+(MIN(DAMAS_Daily!D44*market_share_D*acceptance_rate*stack_activation,power_mw*hours_per_day,capacity_mwh))*DAMAS_Daily!F44*activation_mult_D),"aFRR+","aFRR-")</f>
        <v/>
      </c>
      <c r="D44" s="43">
        <f>IF(C44="aFRR+",damas_afrr_up*capacity_mult_D,damas_afrr_down*capacity_mult_D)</f>
        <v/>
      </c>
      <c r="E44" s="44">
        <f>acceptance_rate</f>
        <v/>
      </c>
      <c r="F44" s="28">
        <f>IF(C44="aFRR+",power_mw*hours_per_day*damas_afrr_up*capacity_mult_D*stack_capacity*acceptance_rate,power_mw*hours_per_day*damas_afrr_down*capacity_mult_D*stack_capacity*acceptance_rate)</f>
        <v/>
      </c>
      <c r="G44" s="42">
        <f>IF(C44="aFRR+",DAMAS_Daily!I44,DAMAS_Daily!J44)</f>
        <v/>
      </c>
      <c r="H44" s="43">
        <f>IF(C44="aFRR+",DAMAS_Daily!E44,DAMAS_Daily!F44)</f>
        <v/>
      </c>
      <c r="I44" s="43">
        <f>IF(C44="aFRR+",DAMAS_Daily!G44,DAMAS_Daily!H44)</f>
        <v/>
      </c>
      <c r="J44" s="45">
        <f>IF(C44="aFRR+",DAMAS_Daily!C44,DAMAS_Daily!D44)</f>
        <v/>
      </c>
      <c r="K44" s="45">
        <f>IF(C44="aFRR+",MIN(DAMAS_Daily!C44*market_share_D*acceptance_rate*stack_activation,power_mw*hours_per_day,capacity_mwh),MIN(DAMAS_Daily!D44*market_share_D*acceptance_rate*stack_activation,power_mw*hours_per_day,capacity_mwh))</f>
        <v/>
      </c>
      <c r="L44" s="42">
        <f>IF(K44&gt;=capacity_mwh-0.01,"yes","no")</f>
        <v/>
      </c>
      <c r="M44" s="28">
        <f>IF(C44="aFRR+",(MIN(DAMAS_Daily!C44*market_share_D*acceptance_rate*stack_activation,power_mw*hours_per_day,capacity_mwh))*DAMAS_Daily!E44*activation_mult_D,(MIN(DAMAS_Daily!D44*market_share_D*acceptance_rate*stack_activation,power_mw*hours_per_day,capacity_mwh))*DAMAS_Daily!F44*activation_mult_D)</f>
        <v/>
      </c>
      <c r="N44" s="29">
        <f>F44+M44</f>
        <v/>
      </c>
    </row>
    <row r="45">
      <c r="A45" s="41">
        <f>DAMAS_Daily!A45</f>
        <v/>
      </c>
      <c r="B45" s="42">
        <f>DAMAS_Daily!B45</f>
        <v/>
      </c>
      <c r="C45" s="42">
        <f>IF((power_mw*hours_per_day*damas_afrr_up*capacity_mult_D*stack_capacity*acceptance_rate+(MIN(DAMAS_Daily!C45*market_share_D*acceptance_rate*stack_activation,power_mw*hours_per_day,capacity_mwh))*DAMAS_Daily!E45*activation_mult_D)&gt;=(power_mw*hours_per_day*damas_afrr_down*capacity_mult_D*stack_capacity*acceptance_rate+(MIN(DAMAS_Daily!D45*market_share_D*acceptance_rate*stack_activation,power_mw*hours_per_day,capacity_mwh))*DAMAS_Daily!F45*activation_mult_D),"aFRR+","aFRR-")</f>
        <v/>
      </c>
      <c r="D45" s="43">
        <f>IF(C45="aFRR+",damas_afrr_up*capacity_mult_D,damas_afrr_down*capacity_mult_D)</f>
        <v/>
      </c>
      <c r="E45" s="44">
        <f>acceptance_rate</f>
        <v/>
      </c>
      <c r="F45" s="28">
        <f>IF(C45="aFRR+",power_mw*hours_per_day*damas_afrr_up*capacity_mult_D*stack_capacity*acceptance_rate,power_mw*hours_per_day*damas_afrr_down*capacity_mult_D*stack_capacity*acceptance_rate)</f>
        <v/>
      </c>
      <c r="G45" s="42">
        <f>IF(C45="aFRR+",DAMAS_Daily!I45,DAMAS_Daily!J45)</f>
        <v/>
      </c>
      <c r="H45" s="43">
        <f>IF(C45="aFRR+",DAMAS_Daily!E45,DAMAS_Daily!F45)</f>
        <v/>
      </c>
      <c r="I45" s="43">
        <f>IF(C45="aFRR+",DAMAS_Daily!G45,DAMAS_Daily!H45)</f>
        <v/>
      </c>
      <c r="J45" s="45">
        <f>IF(C45="aFRR+",DAMAS_Daily!C45,DAMAS_Daily!D45)</f>
        <v/>
      </c>
      <c r="K45" s="45">
        <f>IF(C45="aFRR+",MIN(DAMAS_Daily!C45*market_share_D*acceptance_rate*stack_activation,power_mw*hours_per_day,capacity_mwh),MIN(DAMAS_Daily!D45*market_share_D*acceptance_rate*stack_activation,power_mw*hours_per_day,capacity_mwh))</f>
        <v/>
      </c>
      <c r="L45" s="42">
        <f>IF(K45&gt;=capacity_mwh-0.01,"yes","no")</f>
        <v/>
      </c>
      <c r="M45" s="28">
        <f>IF(C45="aFRR+",(MIN(DAMAS_Daily!C45*market_share_D*acceptance_rate*stack_activation,power_mw*hours_per_day,capacity_mwh))*DAMAS_Daily!E45*activation_mult_D,(MIN(DAMAS_Daily!D45*market_share_D*acceptance_rate*stack_activation,power_mw*hours_per_day,capacity_mwh))*DAMAS_Daily!F45*activation_mult_D)</f>
        <v/>
      </c>
      <c r="N45" s="29">
        <f>F45+M45</f>
        <v/>
      </c>
    </row>
    <row r="46">
      <c r="A46" s="41">
        <f>DAMAS_Daily!A46</f>
        <v/>
      </c>
      <c r="B46" s="42">
        <f>DAMAS_Daily!B46</f>
        <v/>
      </c>
      <c r="C46" s="42">
        <f>IF((power_mw*hours_per_day*damas_afrr_up*capacity_mult_D*stack_capacity*acceptance_rate+(MIN(DAMAS_Daily!C46*market_share_D*acceptance_rate*stack_activation,power_mw*hours_per_day,capacity_mwh))*DAMAS_Daily!E46*activation_mult_D)&gt;=(power_mw*hours_per_day*damas_afrr_down*capacity_mult_D*stack_capacity*acceptance_rate+(MIN(DAMAS_Daily!D46*market_share_D*acceptance_rate*stack_activation,power_mw*hours_per_day,capacity_mwh))*DAMAS_Daily!F46*activation_mult_D),"aFRR+","aFRR-")</f>
        <v/>
      </c>
      <c r="D46" s="43">
        <f>IF(C46="aFRR+",damas_afrr_up*capacity_mult_D,damas_afrr_down*capacity_mult_D)</f>
        <v/>
      </c>
      <c r="E46" s="44">
        <f>acceptance_rate</f>
        <v/>
      </c>
      <c r="F46" s="28">
        <f>IF(C46="aFRR+",power_mw*hours_per_day*damas_afrr_up*capacity_mult_D*stack_capacity*acceptance_rate,power_mw*hours_per_day*damas_afrr_down*capacity_mult_D*stack_capacity*acceptance_rate)</f>
        <v/>
      </c>
      <c r="G46" s="42">
        <f>IF(C46="aFRR+",DAMAS_Daily!I46,DAMAS_Daily!J46)</f>
        <v/>
      </c>
      <c r="H46" s="43">
        <f>IF(C46="aFRR+",DAMAS_Daily!E46,DAMAS_Daily!F46)</f>
        <v/>
      </c>
      <c r="I46" s="43">
        <f>IF(C46="aFRR+",DAMAS_Daily!G46,DAMAS_Daily!H46)</f>
        <v/>
      </c>
      <c r="J46" s="45">
        <f>IF(C46="aFRR+",DAMAS_Daily!C46,DAMAS_Daily!D46)</f>
        <v/>
      </c>
      <c r="K46" s="45">
        <f>IF(C46="aFRR+",MIN(DAMAS_Daily!C46*market_share_D*acceptance_rate*stack_activation,power_mw*hours_per_day,capacity_mwh),MIN(DAMAS_Daily!D46*market_share_D*acceptance_rate*stack_activation,power_mw*hours_per_day,capacity_mwh))</f>
        <v/>
      </c>
      <c r="L46" s="42">
        <f>IF(K46&gt;=capacity_mwh-0.01,"yes","no")</f>
        <v/>
      </c>
      <c r="M46" s="28">
        <f>IF(C46="aFRR+",(MIN(DAMAS_Daily!C46*market_share_D*acceptance_rate*stack_activation,power_mw*hours_per_day,capacity_mwh))*DAMAS_Daily!E46*activation_mult_D,(MIN(DAMAS_Daily!D46*market_share_D*acceptance_rate*stack_activation,power_mw*hours_per_day,capacity_mwh))*DAMAS_Daily!F46*activation_mult_D)</f>
        <v/>
      </c>
      <c r="N46" s="29">
        <f>F46+M46</f>
        <v/>
      </c>
    </row>
    <row r="47">
      <c r="A47" s="41">
        <f>DAMAS_Daily!A47</f>
        <v/>
      </c>
      <c r="B47" s="42">
        <f>DAMAS_Daily!B47</f>
        <v/>
      </c>
      <c r="C47" s="42">
        <f>IF((power_mw*hours_per_day*damas_afrr_up*capacity_mult_D*stack_capacity*acceptance_rate+(MIN(DAMAS_Daily!C47*market_share_D*acceptance_rate*stack_activation,power_mw*hours_per_day,capacity_mwh))*DAMAS_Daily!E47*activation_mult_D)&gt;=(power_mw*hours_per_day*damas_afrr_down*capacity_mult_D*stack_capacity*acceptance_rate+(MIN(DAMAS_Daily!D47*market_share_D*acceptance_rate*stack_activation,power_mw*hours_per_day,capacity_mwh))*DAMAS_Daily!F47*activation_mult_D),"aFRR+","aFRR-")</f>
        <v/>
      </c>
      <c r="D47" s="43">
        <f>IF(C47="aFRR+",damas_afrr_up*capacity_mult_D,damas_afrr_down*capacity_mult_D)</f>
        <v/>
      </c>
      <c r="E47" s="44">
        <f>acceptance_rate</f>
        <v/>
      </c>
      <c r="F47" s="28">
        <f>IF(C47="aFRR+",power_mw*hours_per_day*damas_afrr_up*capacity_mult_D*stack_capacity*acceptance_rate,power_mw*hours_per_day*damas_afrr_down*capacity_mult_D*stack_capacity*acceptance_rate)</f>
        <v/>
      </c>
      <c r="G47" s="42">
        <f>IF(C47="aFRR+",DAMAS_Daily!I47,DAMAS_Daily!J47)</f>
        <v/>
      </c>
      <c r="H47" s="43">
        <f>IF(C47="aFRR+",DAMAS_Daily!E47,DAMAS_Daily!F47)</f>
        <v/>
      </c>
      <c r="I47" s="43">
        <f>IF(C47="aFRR+",DAMAS_Daily!G47,DAMAS_Daily!H47)</f>
        <v/>
      </c>
      <c r="J47" s="45">
        <f>IF(C47="aFRR+",DAMAS_Daily!C47,DAMAS_Daily!D47)</f>
        <v/>
      </c>
      <c r="K47" s="45">
        <f>IF(C47="aFRR+",MIN(DAMAS_Daily!C47*market_share_D*acceptance_rate*stack_activation,power_mw*hours_per_day,capacity_mwh),MIN(DAMAS_Daily!D47*market_share_D*acceptance_rate*stack_activation,power_mw*hours_per_day,capacity_mwh))</f>
        <v/>
      </c>
      <c r="L47" s="42">
        <f>IF(K47&gt;=capacity_mwh-0.01,"yes","no")</f>
        <v/>
      </c>
      <c r="M47" s="28">
        <f>IF(C47="aFRR+",(MIN(DAMAS_Daily!C47*market_share_D*acceptance_rate*stack_activation,power_mw*hours_per_day,capacity_mwh))*DAMAS_Daily!E47*activation_mult_D,(MIN(DAMAS_Daily!D47*market_share_D*acceptance_rate*stack_activation,power_mw*hours_per_day,capacity_mwh))*DAMAS_Daily!F47*activation_mult_D)</f>
        <v/>
      </c>
      <c r="N47" s="29">
        <f>F47+M47</f>
        <v/>
      </c>
    </row>
    <row r="48">
      <c r="A48" s="41">
        <f>DAMAS_Daily!A48</f>
        <v/>
      </c>
      <c r="B48" s="42">
        <f>DAMAS_Daily!B48</f>
        <v/>
      </c>
      <c r="C48" s="42">
        <f>IF((power_mw*hours_per_day*damas_afrr_up*capacity_mult_D*stack_capacity*acceptance_rate+(MIN(DAMAS_Daily!C48*market_share_D*acceptance_rate*stack_activation,power_mw*hours_per_day,capacity_mwh))*DAMAS_Daily!E48*activation_mult_D)&gt;=(power_mw*hours_per_day*damas_afrr_down*capacity_mult_D*stack_capacity*acceptance_rate+(MIN(DAMAS_Daily!D48*market_share_D*acceptance_rate*stack_activation,power_mw*hours_per_day,capacity_mwh))*DAMAS_Daily!F48*activation_mult_D),"aFRR+","aFRR-")</f>
        <v/>
      </c>
      <c r="D48" s="43">
        <f>IF(C48="aFRR+",damas_afrr_up*capacity_mult_D,damas_afrr_down*capacity_mult_D)</f>
        <v/>
      </c>
      <c r="E48" s="44">
        <f>acceptance_rate</f>
        <v/>
      </c>
      <c r="F48" s="28">
        <f>IF(C48="aFRR+",power_mw*hours_per_day*damas_afrr_up*capacity_mult_D*stack_capacity*acceptance_rate,power_mw*hours_per_day*damas_afrr_down*capacity_mult_D*stack_capacity*acceptance_rate)</f>
        <v/>
      </c>
      <c r="G48" s="42">
        <f>IF(C48="aFRR+",DAMAS_Daily!I48,DAMAS_Daily!J48)</f>
        <v/>
      </c>
      <c r="H48" s="43">
        <f>IF(C48="aFRR+",DAMAS_Daily!E48,DAMAS_Daily!F48)</f>
        <v/>
      </c>
      <c r="I48" s="43">
        <f>IF(C48="aFRR+",DAMAS_Daily!G48,DAMAS_Daily!H48)</f>
        <v/>
      </c>
      <c r="J48" s="45">
        <f>IF(C48="aFRR+",DAMAS_Daily!C48,DAMAS_Daily!D48)</f>
        <v/>
      </c>
      <c r="K48" s="45">
        <f>IF(C48="aFRR+",MIN(DAMAS_Daily!C48*market_share_D*acceptance_rate*stack_activation,power_mw*hours_per_day,capacity_mwh),MIN(DAMAS_Daily!D48*market_share_D*acceptance_rate*stack_activation,power_mw*hours_per_day,capacity_mwh))</f>
        <v/>
      </c>
      <c r="L48" s="42">
        <f>IF(K48&gt;=capacity_mwh-0.01,"yes","no")</f>
        <v/>
      </c>
      <c r="M48" s="28">
        <f>IF(C48="aFRR+",(MIN(DAMAS_Daily!C48*market_share_D*acceptance_rate*stack_activation,power_mw*hours_per_day,capacity_mwh))*DAMAS_Daily!E48*activation_mult_D,(MIN(DAMAS_Daily!D48*market_share_D*acceptance_rate*stack_activation,power_mw*hours_per_day,capacity_mwh))*DAMAS_Daily!F48*activation_mult_D)</f>
        <v/>
      </c>
      <c r="N48" s="29">
        <f>F48+M48</f>
        <v/>
      </c>
    </row>
    <row r="49">
      <c r="A49" s="41">
        <f>DAMAS_Daily!A49</f>
        <v/>
      </c>
      <c r="B49" s="42">
        <f>DAMAS_Daily!B49</f>
        <v/>
      </c>
      <c r="C49" s="42">
        <f>IF((power_mw*hours_per_day*damas_afrr_up*capacity_mult_D*stack_capacity*acceptance_rate+(MIN(DAMAS_Daily!C49*market_share_D*acceptance_rate*stack_activation,power_mw*hours_per_day,capacity_mwh))*DAMAS_Daily!E49*activation_mult_D)&gt;=(power_mw*hours_per_day*damas_afrr_down*capacity_mult_D*stack_capacity*acceptance_rate+(MIN(DAMAS_Daily!D49*market_share_D*acceptance_rate*stack_activation,power_mw*hours_per_day,capacity_mwh))*DAMAS_Daily!F49*activation_mult_D),"aFRR+","aFRR-")</f>
        <v/>
      </c>
      <c r="D49" s="43">
        <f>IF(C49="aFRR+",damas_afrr_up*capacity_mult_D,damas_afrr_down*capacity_mult_D)</f>
        <v/>
      </c>
      <c r="E49" s="44">
        <f>acceptance_rate</f>
        <v/>
      </c>
      <c r="F49" s="28">
        <f>IF(C49="aFRR+",power_mw*hours_per_day*damas_afrr_up*capacity_mult_D*stack_capacity*acceptance_rate,power_mw*hours_per_day*damas_afrr_down*capacity_mult_D*stack_capacity*acceptance_rate)</f>
        <v/>
      </c>
      <c r="G49" s="42">
        <f>IF(C49="aFRR+",DAMAS_Daily!I49,DAMAS_Daily!J49)</f>
        <v/>
      </c>
      <c r="H49" s="43">
        <f>IF(C49="aFRR+",DAMAS_Daily!E49,DAMAS_Daily!F49)</f>
        <v/>
      </c>
      <c r="I49" s="43">
        <f>IF(C49="aFRR+",DAMAS_Daily!G49,DAMAS_Daily!H49)</f>
        <v/>
      </c>
      <c r="J49" s="45">
        <f>IF(C49="aFRR+",DAMAS_Daily!C49,DAMAS_Daily!D49)</f>
        <v/>
      </c>
      <c r="K49" s="45">
        <f>IF(C49="aFRR+",MIN(DAMAS_Daily!C49*market_share_D*acceptance_rate*stack_activation,power_mw*hours_per_day,capacity_mwh),MIN(DAMAS_Daily!D49*market_share_D*acceptance_rate*stack_activation,power_mw*hours_per_day,capacity_mwh))</f>
        <v/>
      </c>
      <c r="L49" s="42">
        <f>IF(K49&gt;=capacity_mwh-0.01,"yes","no")</f>
        <v/>
      </c>
      <c r="M49" s="28">
        <f>IF(C49="aFRR+",(MIN(DAMAS_Daily!C49*market_share_D*acceptance_rate*stack_activation,power_mw*hours_per_day,capacity_mwh))*DAMAS_Daily!E49*activation_mult_D,(MIN(DAMAS_Daily!D49*market_share_D*acceptance_rate*stack_activation,power_mw*hours_per_day,capacity_mwh))*DAMAS_Daily!F49*activation_mult_D)</f>
        <v/>
      </c>
      <c r="N49" s="29">
        <f>F49+M49</f>
        <v/>
      </c>
    </row>
    <row r="50">
      <c r="A50" s="41">
        <f>DAMAS_Daily!A50</f>
        <v/>
      </c>
      <c r="B50" s="42">
        <f>DAMAS_Daily!B50</f>
        <v/>
      </c>
      <c r="C50" s="42">
        <f>IF((power_mw*hours_per_day*damas_afrr_up*capacity_mult_D*stack_capacity*acceptance_rate+(MIN(DAMAS_Daily!C50*market_share_D*acceptance_rate*stack_activation,power_mw*hours_per_day,capacity_mwh))*DAMAS_Daily!E50*activation_mult_D)&gt;=(power_mw*hours_per_day*damas_afrr_down*capacity_mult_D*stack_capacity*acceptance_rate+(MIN(DAMAS_Daily!D50*market_share_D*acceptance_rate*stack_activation,power_mw*hours_per_day,capacity_mwh))*DAMAS_Daily!F50*activation_mult_D),"aFRR+","aFRR-")</f>
        <v/>
      </c>
      <c r="D50" s="43">
        <f>IF(C50="aFRR+",damas_afrr_up*capacity_mult_D,damas_afrr_down*capacity_mult_D)</f>
        <v/>
      </c>
      <c r="E50" s="44">
        <f>acceptance_rate</f>
        <v/>
      </c>
      <c r="F50" s="28">
        <f>IF(C50="aFRR+",power_mw*hours_per_day*damas_afrr_up*capacity_mult_D*stack_capacity*acceptance_rate,power_mw*hours_per_day*damas_afrr_down*capacity_mult_D*stack_capacity*acceptance_rate)</f>
        <v/>
      </c>
      <c r="G50" s="42">
        <f>IF(C50="aFRR+",DAMAS_Daily!I50,DAMAS_Daily!J50)</f>
        <v/>
      </c>
      <c r="H50" s="43">
        <f>IF(C50="aFRR+",DAMAS_Daily!E50,DAMAS_Daily!F50)</f>
        <v/>
      </c>
      <c r="I50" s="43">
        <f>IF(C50="aFRR+",DAMAS_Daily!G50,DAMAS_Daily!H50)</f>
        <v/>
      </c>
      <c r="J50" s="45">
        <f>IF(C50="aFRR+",DAMAS_Daily!C50,DAMAS_Daily!D50)</f>
        <v/>
      </c>
      <c r="K50" s="45">
        <f>IF(C50="aFRR+",MIN(DAMAS_Daily!C50*market_share_D*acceptance_rate*stack_activation,power_mw*hours_per_day,capacity_mwh),MIN(DAMAS_Daily!D50*market_share_D*acceptance_rate*stack_activation,power_mw*hours_per_day,capacity_mwh))</f>
        <v/>
      </c>
      <c r="L50" s="42">
        <f>IF(K50&gt;=capacity_mwh-0.01,"yes","no")</f>
        <v/>
      </c>
      <c r="M50" s="28">
        <f>IF(C50="aFRR+",(MIN(DAMAS_Daily!C50*market_share_D*acceptance_rate*stack_activation,power_mw*hours_per_day,capacity_mwh))*DAMAS_Daily!E50*activation_mult_D,(MIN(DAMAS_Daily!D50*market_share_D*acceptance_rate*stack_activation,power_mw*hours_per_day,capacity_mwh))*DAMAS_Daily!F50*activation_mult_D)</f>
        <v/>
      </c>
      <c r="N50" s="29">
        <f>F50+M50</f>
        <v/>
      </c>
    </row>
    <row r="51">
      <c r="A51" s="41">
        <f>DAMAS_Daily!A51</f>
        <v/>
      </c>
      <c r="B51" s="42">
        <f>DAMAS_Daily!B51</f>
        <v/>
      </c>
      <c r="C51" s="42">
        <f>IF((power_mw*hours_per_day*damas_afrr_up*capacity_mult_D*stack_capacity*acceptance_rate+(MIN(DAMAS_Daily!C51*market_share_D*acceptance_rate*stack_activation,power_mw*hours_per_day,capacity_mwh))*DAMAS_Daily!E51*activation_mult_D)&gt;=(power_mw*hours_per_day*damas_afrr_down*capacity_mult_D*stack_capacity*acceptance_rate+(MIN(DAMAS_Daily!D51*market_share_D*acceptance_rate*stack_activation,power_mw*hours_per_day,capacity_mwh))*DAMAS_Daily!F51*activation_mult_D),"aFRR+","aFRR-")</f>
        <v/>
      </c>
      <c r="D51" s="43">
        <f>IF(C51="aFRR+",damas_afrr_up*capacity_mult_D,damas_afrr_down*capacity_mult_D)</f>
        <v/>
      </c>
      <c r="E51" s="44">
        <f>acceptance_rate</f>
        <v/>
      </c>
      <c r="F51" s="28">
        <f>IF(C51="aFRR+",power_mw*hours_per_day*damas_afrr_up*capacity_mult_D*stack_capacity*acceptance_rate,power_mw*hours_per_day*damas_afrr_down*capacity_mult_D*stack_capacity*acceptance_rate)</f>
        <v/>
      </c>
      <c r="G51" s="42">
        <f>IF(C51="aFRR+",DAMAS_Daily!I51,DAMAS_Daily!J51)</f>
        <v/>
      </c>
      <c r="H51" s="43">
        <f>IF(C51="aFRR+",DAMAS_Daily!E51,DAMAS_Daily!F51)</f>
        <v/>
      </c>
      <c r="I51" s="43">
        <f>IF(C51="aFRR+",DAMAS_Daily!G51,DAMAS_Daily!H51)</f>
        <v/>
      </c>
      <c r="J51" s="45">
        <f>IF(C51="aFRR+",DAMAS_Daily!C51,DAMAS_Daily!D51)</f>
        <v/>
      </c>
      <c r="K51" s="45">
        <f>IF(C51="aFRR+",MIN(DAMAS_Daily!C51*market_share_D*acceptance_rate*stack_activation,power_mw*hours_per_day,capacity_mwh),MIN(DAMAS_Daily!D51*market_share_D*acceptance_rate*stack_activation,power_mw*hours_per_day,capacity_mwh))</f>
        <v/>
      </c>
      <c r="L51" s="42">
        <f>IF(K51&gt;=capacity_mwh-0.01,"yes","no")</f>
        <v/>
      </c>
      <c r="M51" s="28">
        <f>IF(C51="aFRR+",(MIN(DAMAS_Daily!C51*market_share_D*acceptance_rate*stack_activation,power_mw*hours_per_day,capacity_mwh))*DAMAS_Daily!E51*activation_mult_D,(MIN(DAMAS_Daily!D51*market_share_D*acceptance_rate*stack_activation,power_mw*hours_per_day,capacity_mwh))*DAMAS_Daily!F51*activation_mult_D)</f>
        <v/>
      </c>
      <c r="N51" s="29">
        <f>F51+M51</f>
        <v/>
      </c>
    </row>
    <row r="52">
      <c r="A52" s="41">
        <f>DAMAS_Daily!A52</f>
        <v/>
      </c>
      <c r="B52" s="42">
        <f>DAMAS_Daily!B52</f>
        <v/>
      </c>
      <c r="C52" s="42">
        <f>IF((power_mw*hours_per_day*damas_afrr_up*capacity_mult_D*stack_capacity*acceptance_rate+(MIN(DAMAS_Daily!C52*market_share_D*acceptance_rate*stack_activation,power_mw*hours_per_day,capacity_mwh))*DAMAS_Daily!E52*activation_mult_D)&gt;=(power_mw*hours_per_day*damas_afrr_down*capacity_mult_D*stack_capacity*acceptance_rate+(MIN(DAMAS_Daily!D52*market_share_D*acceptance_rate*stack_activation,power_mw*hours_per_day,capacity_mwh))*DAMAS_Daily!F52*activation_mult_D),"aFRR+","aFRR-")</f>
        <v/>
      </c>
      <c r="D52" s="43">
        <f>IF(C52="aFRR+",damas_afrr_up*capacity_mult_D,damas_afrr_down*capacity_mult_D)</f>
        <v/>
      </c>
      <c r="E52" s="44">
        <f>acceptance_rate</f>
        <v/>
      </c>
      <c r="F52" s="28">
        <f>IF(C52="aFRR+",power_mw*hours_per_day*damas_afrr_up*capacity_mult_D*stack_capacity*acceptance_rate,power_mw*hours_per_day*damas_afrr_down*capacity_mult_D*stack_capacity*acceptance_rate)</f>
        <v/>
      </c>
      <c r="G52" s="42">
        <f>IF(C52="aFRR+",DAMAS_Daily!I52,DAMAS_Daily!J52)</f>
        <v/>
      </c>
      <c r="H52" s="43">
        <f>IF(C52="aFRR+",DAMAS_Daily!E52,DAMAS_Daily!F52)</f>
        <v/>
      </c>
      <c r="I52" s="43">
        <f>IF(C52="aFRR+",DAMAS_Daily!G52,DAMAS_Daily!H52)</f>
        <v/>
      </c>
      <c r="J52" s="45">
        <f>IF(C52="aFRR+",DAMAS_Daily!C52,DAMAS_Daily!D52)</f>
        <v/>
      </c>
      <c r="K52" s="45">
        <f>IF(C52="aFRR+",MIN(DAMAS_Daily!C52*market_share_D*acceptance_rate*stack_activation,power_mw*hours_per_day,capacity_mwh),MIN(DAMAS_Daily!D52*market_share_D*acceptance_rate*stack_activation,power_mw*hours_per_day,capacity_mwh))</f>
        <v/>
      </c>
      <c r="L52" s="42">
        <f>IF(K52&gt;=capacity_mwh-0.01,"yes","no")</f>
        <v/>
      </c>
      <c r="M52" s="28">
        <f>IF(C52="aFRR+",(MIN(DAMAS_Daily!C52*market_share_D*acceptance_rate*stack_activation,power_mw*hours_per_day,capacity_mwh))*DAMAS_Daily!E52*activation_mult_D,(MIN(DAMAS_Daily!D52*market_share_D*acceptance_rate*stack_activation,power_mw*hours_per_day,capacity_mwh))*DAMAS_Daily!F52*activation_mult_D)</f>
        <v/>
      </c>
      <c r="N52" s="29">
        <f>F52+M52</f>
        <v/>
      </c>
    </row>
    <row r="53">
      <c r="A53" s="41">
        <f>DAMAS_Daily!A53</f>
        <v/>
      </c>
      <c r="B53" s="42">
        <f>DAMAS_Daily!B53</f>
        <v/>
      </c>
      <c r="C53" s="42">
        <f>IF((power_mw*hours_per_day*damas_afrr_up*capacity_mult_D*stack_capacity*acceptance_rate+(MIN(DAMAS_Daily!C53*market_share_D*acceptance_rate*stack_activation,power_mw*hours_per_day,capacity_mwh))*DAMAS_Daily!E53*activation_mult_D)&gt;=(power_mw*hours_per_day*damas_afrr_down*capacity_mult_D*stack_capacity*acceptance_rate+(MIN(DAMAS_Daily!D53*market_share_D*acceptance_rate*stack_activation,power_mw*hours_per_day,capacity_mwh))*DAMAS_Daily!F53*activation_mult_D),"aFRR+","aFRR-")</f>
        <v/>
      </c>
      <c r="D53" s="43">
        <f>IF(C53="aFRR+",damas_afrr_up*capacity_mult_D,damas_afrr_down*capacity_mult_D)</f>
        <v/>
      </c>
      <c r="E53" s="44">
        <f>acceptance_rate</f>
        <v/>
      </c>
      <c r="F53" s="28">
        <f>IF(C53="aFRR+",power_mw*hours_per_day*damas_afrr_up*capacity_mult_D*stack_capacity*acceptance_rate,power_mw*hours_per_day*damas_afrr_down*capacity_mult_D*stack_capacity*acceptance_rate)</f>
        <v/>
      </c>
      <c r="G53" s="42">
        <f>IF(C53="aFRR+",DAMAS_Daily!I53,DAMAS_Daily!J53)</f>
        <v/>
      </c>
      <c r="H53" s="43">
        <f>IF(C53="aFRR+",DAMAS_Daily!E53,DAMAS_Daily!F53)</f>
        <v/>
      </c>
      <c r="I53" s="43">
        <f>IF(C53="aFRR+",DAMAS_Daily!G53,DAMAS_Daily!H53)</f>
        <v/>
      </c>
      <c r="J53" s="45">
        <f>IF(C53="aFRR+",DAMAS_Daily!C53,DAMAS_Daily!D53)</f>
        <v/>
      </c>
      <c r="K53" s="45">
        <f>IF(C53="aFRR+",MIN(DAMAS_Daily!C53*market_share_D*acceptance_rate*stack_activation,power_mw*hours_per_day,capacity_mwh),MIN(DAMAS_Daily!D53*market_share_D*acceptance_rate*stack_activation,power_mw*hours_per_day,capacity_mwh))</f>
        <v/>
      </c>
      <c r="L53" s="42">
        <f>IF(K53&gt;=capacity_mwh-0.01,"yes","no")</f>
        <v/>
      </c>
      <c r="M53" s="28">
        <f>IF(C53="aFRR+",(MIN(DAMAS_Daily!C53*market_share_D*acceptance_rate*stack_activation,power_mw*hours_per_day,capacity_mwh))*DAMAS_Daily!E53*activation_mult_D,(MIN(DAMAS_Daily!D53*market_share_D*acceptance_rate*stack_activation,power_mw*hours_per_day,capacity_mwh))*DAMAS_Daily!F53*activation_mult_D)</f>
        <v/>
      </c>
      <c r="N53" s="29">
        <f>F53+M53</f>
        <v/>
      </c>
    </row>
    <row r="54">
      <c r="A54" s="41">
        <f>DAMAS_Daily!A54</f>
        <v/>
      </c>
      <c r="B54" s="42">
        <f>DAMAS_Daily!B54</f>
        <v/>
      </c>
      <c r="C54" s="42">
        <f>IF((power_mw*hours_per_day*damas_afrr_up*capacity_mult_D*stack_capacity*acceptance_rate+(MIN(DAMAS_Daily!C54*market_share_D*acceptance_rate*stack_activation,power_mw*hours_per_day,capacity_mwh))*DAMAS_Daily!E54*activation_mult_D)&gt;=(power_mw*hours_per_day*damas_afrr_down*capacity_mult_D*stack_capacity*acceptance_rate+(MIN(DAMAS_Daily!D54*market_share_D*acceptance_rate*stack_activation,power_mw*hours_per_day,capacity_mwh))*DAMAS_Daily!F54*activation_mult_D),"aFRR+","aFRR-")</f>
        <v/>
      </c>
      <c r="D54" s="43">
        <f>IF(C54="aFRR+",damas_afrr_up*capacity_mult_D,damas_afrr_down*capacity_mult_D)</f>
        <v/>
      </c>
      <c r="E54" s="44">
        <f>acceptance_rate</f>
        <v/>
      </c>
      <c r="F54" s="28">
        <f>IF(C54="aFRR+",power_mw*hours_per_day*damas_afrr_up*capacity_mult_D*stack_capacity*acceptance_rate,power_mw*hours_per_day*damas_afrr_down*capacity_mult_D*stack_capacity*acceptance_rate)</f>
        <v/>
      </c>
      <c r="G54" s="42">
        <f>IF(C54="aFRR+",DAMAS_Daily!I54,DAMAS_Daily!J54)</f>
        <v/>
      </c>
      <c r="H54" s="43">
        <f>IF(C54="aFRR+",DAMAS_Daily!E54,DAMAS_Daily!F54)</f>
        <v/>
      </c>
      <c r="I54" s="43">
        <f>IF(C54="aFRR+",DAMAS_Daily!G54,DAMAS_Daily!H54)</f>
        <v/>
      </c>
      <c r="J54" s="45">
        <f>IF(C54="aFRR+",DAMAS_Daily!C54,DAMAS_Daily!D54)</f>
        <v/>
      </c>
      <c r="K54" s="45">
        <f>IF(C54="aFRR+",MIN(DAMAS_Daily!C54*market_share_D*acceptance_rate*stack_activation,power_mw*hours_per_day,capacity_mwh),MIN(DAMAS_Daily!D54*market_share_D*acceptance_rate*stack_activation,power_mw*hours_per_day,capacity_mwh))</f>
        <v/>
      </c>
      <c r="L54" s="42">
        <f>IF(K54&gt;=capacity_mwh-0.01,"yes","no")</f>
        <v/>
      </c>
      <c r="M54" s="28">
        <f>IF(C54="aFRR+",(MIN(DAMAS_Daily!C54*market_share_D*acceptance_rate*stack_activation,power_mw*hours_per_day,capacity_mwh))*DAMAS_Daily!E54*activation_mult_D,(MIN(DAMAS_Daily!D54*market_share_D*acceptance_rate*stack_activation,power_mw*hours_per_day,capacity_mwh))*DAMAS_Daily!F54*activation_mult_D)</f>
        <v/>
      </c>
      <c r="N54" s="29">
        <f>F54+M54</f>
        <v/>
      </c>
    </row>
    <row r="55">
      <c r="A55" s="41">
        <f>DAMAS_Daily!A55</f>
        <v/>
      </c>
      <c r="B55" s="42">
        <f>DAMAS_Daily!B55</f>
        <v/>
      </c>
      <c r="C55" s="42">
        <f>IF((power_mw*hours_per_day*damas_afrr_up*capacity_mult_D*stack_capacity*acceptance_rate+(MIN(DAMAS_Daily!C55*market_share_D*acceptance_rate*stack_activation,power_mw*hours_per_day,capacity_mwh))*DAMAS_Daily!E55*activation_mult_D)&gt;=(power_mw*hours_per_day*damas_afrr_down*capacity_mult_D*stack_capacity*acceptance_rate+(MIN(DAMAS_Daily!D55*market_share_D*acceptance_rate*stack_activation,power_mw*hours_per_day,capacity_mwh))*DAMAS_Daily!F55*activation_mult_D),"aFRR+","aFRR-")</f>
        <v/>
      </c>
      <c r="D55" s="43">
        <f>IF(C55="aFRR+",damas_afrr_up*capacity_mult_D,damas_afrr_down*capacity_mult_D)</f>
        <v/>
      </c>
      <c r="E55" s="44">
        <f>acceptance_rate</f>
        <v/>
      </c>
      <c r="F55" s="28">
        <f>IF(C55="aFRR+",power_mw*hours_per_day*damas_afrr_up*capacity_mult_D*stack_capacity*acceptance_rate,power_mw*hours_per_day*damas_afrr_down*capacity_mult_D*stack_capacity*acceptance_rate)</f>
        <v/>
      </c>
      <c r="G55" s="42">
        <f>IF(C55="aFRR+",DAMAS_Daily!I55,DAMAS_Daily!J55)</f>
        <v/>
      </c>
      <c r="H55" s="43">
        <f>IF(C55="aFRR+",DAMAS_Daily!E55,DAMAS_Daily!F55)</f>
        <v/>
      </c>
      <c r="I55" s="43">
        <f>IF(C55="aFRR+",DAMAS_Daily!G55,DAMAS_Daily!H55)</f>
        <v/>
      </c>
      <c r="J55" s="45">
        <f>IF(C55="aFRR+",DAMAS_Daily!C55,DAMAS_Daily!D55)</f>
        <v/>
      </c>
      <c r="K55" s="45">
        <f>IF(C55="aFRR+",MIN(DAMAS_Daily!C55*market_share_D*acceptance_rate*stack_activation,power_mw*hours_per_day,capacity_mwh),MIN(DAMAS_Daily!D55*market_share_D*acceptance_rate*stack_activation,power_mw*hours_per_day,capacity_mwh))</f>
        <v/>
      </c>
      <c r="L55" s="42">
        <f>IF(K55&gt;=capacity_mwh-0.01,"yes","no")</f>
        <v/>
      </c>
      <c r="M55" s="28">
        <f>IF(C55="aFRR+",(MIN(DAMAS_Daily!C55*market_share_D*acceptance_rate*stack_activation,power_mw*hours_per_day,capacity_mwh))*DAMAS_Daily!E55*activation_mult_D,(MIN(DAMAS_Daily!D55*market_share_D*acceptance_rate*stack_activation,power_mw*hours_per_day,capacity_mwh))*DAMAS_Daily!F55*activation_mult_D)</f>
        <v/>
      </c>
      <c r="N55" s="29">
        <f>F55+M55</f>
        <v/>
      </c>
    </row>
    <row r="56">
      <c r="A56" s="41">
        <f>DAMAS_Daily!A56</f>
        <v/>
      </c>
      <c r="B56" s="42">
        <f>DAMAS_Daily!B56</f>
        <v/>
      </c>
      <c r="C56" s="42">
        <f>IF((power_mw*hours_per_day*damas_afrr_up*capacity_mult_D*stack_capacity*acceptance_rate+(MIN(DAMAS_Daily!C56*market_share_D*acceptance_rate*stack_activation,power_mw*hours_per_day,capacity_mwh))*DAMAS_Daily!E56*activation_mult_D)&gt;=(power_mw*hours_per_day*damas_afrr_down*capacity_mult_D*stack_capacity*acceptance_rate+(MIN(DAMAS_Daily!D56*market_share_D*acceptance_rate*stack_activation,power_mw*hours_per_day,capacity_mwh))*DAMAS_Daily!F56*activation_mult_D),"aFRR+","aFRR-")</f>
        <v/>
      </c>
      <c r="D56" s="43">
        <f>IF(C56="aFRR+",damas_afrr_up*capacity_mult_D,damas_afrr_down*capacity_mult_D)</f>
        <v/>
      </c>
      <c r="E56" s="44">
        <f>acceptance_rate</f>
        <v/>
      </c>
      <c r="F56" s="28">
        <f>IF(C56="aFRR+",power_mw*hours_per_day*damas_afrr_up*capacity_mult_D*stack_capacity*acceptance_rate,power_mw*hours_per_day*damas_afrr_down*capacity_mult_D*stack_capacity*acceptance_rate)</f>
        <v/>
      </c>
      <c r="G56" s="42">
        <f>IF(C56="aFRR+",DAMAS_Daily!I56,DAMAS_Daily!J56)</f>
        <v/>
      </c>
      <c r="H56" s="43">
        <f>IF(C56="aFRR+",DAMAS_Daily!E56,DAMAS_Daily!F56)</f>
        <v/>
      </c>
      <c r="I56" s="43">
        <f>IF(C56="aFRR+",DAMAS_Daily!G56,DAMAS_Daily!H56)</f>
        <v/>
      </c>
      <c r="J56" s="45">
        <f>IF(C56="aFRR+",DAMAS_Daily!C56,DAMAS_Daily!D56)</f>
        <v/>
      </c>
      <c r="K56" s="45">
        <f>IF(C56="aFRR+",MIN(DAMAS_Daily!C56*market_share_D*acceptance_rate*stack_activation,power_mw*hours_per_day,capacity_mwh),MIN(DAMAS_Daily!D56*market_share_D*acceptance_rate*stack_activation,power_mw*hours_per_day,capacity_mwh))</f>
        <v/>
      </c>
      <c r="L56" s="42">
        <f>IF(K56&gt;=capacity_mwh-0.01,"yes","no")</f>
        <v/>
      </c>
      <c r="M56" s="28">
        <f>IF(C56="aFRR+",(MIN(DAMAS_Daily!C56*market_share_D*acceptance_rate*stack_activation,power_mw*hours_per_day,capacity_mwh))*DAMAS_Daily!E56*activation_mult_D,(MIN(DAMAS_Daily!D56*market_share_D*acceptance_rate*stack_activation,power_mw*hours_per_day,capacity_mwh))*DAMAS_Daily!F56*activation_mult_D)</f>
        <v/>
      </c>
      <c r="N56" s="29">
        <f>F56+M56</f>
        <v/>
      </c>
    </row>
    <row r="57">
      <c r="A57" s="41">
        <f>DAMAS_Daily!A57</f>
        <v/>
      </c>
      <c r="B57" s="42">
        <f>DAMAS_Daily!B57</f>
        <v/>
      </c>
      <c r="C57" s="42">
        <f>IF((power_mw*hours_per_day*damas_afrr_up*capacity_mult_D*stack_capacity*acceptance_rate+(MIN(DAMAS_Daily!C57*market_share_D*acceptance_rate*stack_activation,power_mw*hours_per_day,capacity_mwh))*DAMAS_Daily!E57*activation_mult_D)&gt;=(power_mw*hours_per_day*damas_afrr_down*capacity_mult_D*stack_capacity*acceptance_rate+(MIN(DAMAS_Daily!D57*market_share_D*acceptance_rate*stack_activation,power_mw*hours_per_day,capacity_mwh))*DAMAS_Daily!F57*activation_mult_D),"aFRR+","aFRR-")</f>
        <v/>
      </c>
      <c r="D57" s="43">
        <f>IF(C57="aFRR+",damas_afrr_up*capacity_mult_D,damas_afrr_down*capacity_mult_D)</f>
        <v/>
      </c>
      <c r="E57" s="44">
        <f>acceptance_rate</f>
        <v/>
      </c>
      <c r="F57" s="28">
        <f>IF(C57="aFRR+",power_mw*hours_per_day*damas_afrr_up*capacity_mult_D*stack_capacity*acceptance_rate,power_mw*hours_per_day*damas_afrr_down*capacity_mult_D*stack_capacity*acceptance_rate)</f>
        <v/>
      </c>
      <c r="G57" s="42">
        <f>IF(C57="aFRR+",DAMAS_Daily!I57,DAMAS_Daily!J57)</f>
        <v/>
      </c>
      <c r="H57" s="43">
        <f>IF(C57="aFRR+",DAMAS_Daily!E57,DAMAS_Daily!F57)</f>
        <v/>
      </c>
      <c r="I57" s="43">
        <f>IF(C57="aFRR+",DAMAS_Daily!G57,DAMAS_Daily!H57)</f>
        <v/>
      </c>
      <c r="J57" s="45">
        <f>IF(C57="aFRR+",DAMAS_Daily!C57,DAMAS_Daily!D57)</f>
        <v/>
      </c>
      <c r="K57" s="45">
        <f>IF(C57="aFRR+",MIN(DAMAS_Daily!C57*market_share_D*acceptance_rate*stack_activation,power_mw*hours_per_day,capacity_mwh),MIN(DAMAS_Daily!D57*market_share_D*acceptance_rate*stack_activation,power_mw*hours_per_day,capacity_mwh))</f>
        <v/>
      </c>
      <c r="L57" s="42">
        <f>IF(K57&gt;=capacity_mwh-0.01,"yes","no")</f>
        <v/>
      </c>
      <c r="M57" s="28">
        <f>IF(C57="aFRR+",(MIN(DAMAS_Daily!C57*market_share_D*acceptance_rate*stack_activation,power_mw*hours_per_day,capacity_mwh))*DAMAS_Daily!E57*activation_mult_D,(MIN(DAMAS_Daily!D57*market_share_D*acceptance_rate*stack_activation,power_mw*hours_per_day,capacity_mwh))*DAMAS_Daily!F57*activation_mult_D)</f>
        <v/>
      </c>
      <c r="N57" s="29">
        <f>F57+M57</f>
        <v/>
      </c>
    </row>
    <row r="58">
      <c r="A58" s="41">
        <f>DAMAS_Daily!A58</f>
        <v/>
      </c>
      <c r="B58" s="42">
        <f>DAMAS_Daily!B58</f>
        <v/>
      </c>
      <c r="C58" s="42">
        <f>IF((power_mw*hours_per_day*damas_afrr_up*capacity_mult_D*stack_capacity*acceptance_rate+(MIN(DAMAS_Daily!C58*market_share_D*acceptance_rate*stack_activation,power_mw*hours_per_day,capacity_mwh))*DAMAS_Daily!E58*activation_mult_D)&gt;=(power_mw*hours_per_day*damas_afrr_down*capacity_mult_D*stack_capacity*acceptance_rate+(MIN(DAMAS_Daily!D58*market_share_D*acceptance_rate*stack_activation,power_mw*hours_per_day,capacity_mwh))*DAMAS_Daily!F58*activation_mult_D),"aFRR+","aFRR-")</f>
        <v/>
      </c>
      <c r="D58" s="43">
        <f>IF(C58="aFRR+",damas_afrr_up*capacity_mult_D,damas_afrr_down*capacity_mult_D)</f>
        <v/>
      </c>
      <c r="E58" s="44">
        <f>acceptance_rate</f>
        <v/>
      </c>
      <c r="F58" s="28">
        <f>IF(C58="aFRR+",power_mw*hours_per_day*damas_afrr_up*capacity_mult_D*stack_capacity*acceptance_rate,power_mw*hours_per_day*damas_afrr_down*capacity_mult_D*stack_capacity*acceptance_rate)</f>
        <v/>
      </c>
      <c r="G58" s="42">
        <f>IF(C58="aFRR+",DAMAS_Daily!I58,DAMAS_Daily!J58)</f>
        <v/>
      </c>
      <c r="H58" s="43">
        <f>IF(C58="aFRR+",DAMAS_Daily!E58,DAMAS_Daily!F58)</f>
        <v/>
      </c>
      <c r="I58" s="43">
        <f>IF(C58="aFRR+",DAMAS_Daily!G58,DAMAS_Daily!H58)</f>
        <v/>
      </c>
      <c r="J58" s="45">
        <f>IF(C58="aFRR+",DAMAS_Daily!C58,DAMAS_Daily!D58)</f>
        <v/>
      </c>
      <c r="K58" s="45">
        <f>IF(C58="aFRR+",MIN(DAMAS_Daily!C58*market_share_D*acceptance_rate*stack_activation,power_mw*hours_per_day,capacity_mwh),MIN(DAMAS_Daily!D58*market_share_D*acceptance_rate*stack_activation,power_mw*hours_per_day,capacity_mwh))</f>
        <v/>
      </c>
      <c r="L58" s="42">
        <f>IF(K58&gt;=capacity_mwh-0.01,"yes","no")</f>
        <v/>
      </c>
      <c r="M58" s="28">
        <f>IF(C58="aFRR+",(MIN(DAMAS_Daily!C58*market_share_D*acceptance_rate*stack_activation,power_mw*hours_per_day,capacity_mwh))*DAMAS_Daily!E58*activation_mult_D,(MIN(DAMAS_Daily!D58*market_share_D*acceptance_rate*stack_activation,power_mw*hours_per_day,capacity_mwh))*DAMAS_Daily!F58*activation_mult_D)</f>
        <v/>
      </c>
      <c r="N58" s="29">
        <f>F58+M58</f>
        <v/>
      </c>
    </row>
    <row r="59">
      <c r="A59" s="41">
        <f>DAMAS_Daily!A59</f>
        <v/>
      </c>
      <c r="B59" s="42">
        <f>DAMAS_Daily!B59</f>
        <v/>
      </c>
      <c r="C59" s="42">
        <f>IF((power_mw*hours_per_day*damas_afrr_up*capacity_mult_D*stack_capacity*acceptance_rate+(MIN(DAMAS_Daily!C59*market_share_D*acceptance_rate*stack_activation,power_mw*hours_per_day,capacity_mwh))*DAMAS_Daily!E59*activation_mult_D)&gt;=(power_mw*hours_per_day*damas_afrr_down*capacity_mult_D*stack_capacity*acceptance_rate+(MIN(DAMAS_Daily!D59*market_share_D*acceptance_rate*stack_activation,power_mw*hours_per_day,capacity_mwh))*DAMAS_Daily!F59*activation_mult_D),"aFRR+","aFRR-")</f>
        <v/>
      </c>
      <c r="D59" s="43">
        <f>IF(C59="aFRR+",damas_afrr_up*capacity_mult_D,damas_afrr_down*capacity_mult_D)</f>
        <v/>
      </c>
      <c r="E59" s="44">
        <f>acceptance_rate</f>
        <v/>
      </c>
      <c r="F59" s="28">
        <f>IF(C59="aFRR+",power_mw*hours_per_day*damas_afrr_up*capacity_mult_D*stack_capacity*acceptance_rate,power_mw*hours_per_day*damas_afrr_down*capacity_mult_D*stack_capacity*acceptance_rate)</f>
        <v/>
      </c>
      <c r="G59" s="42">
        <f>IF(C59="aFRR+",DAMAS_Daily!I59,DAMAS_Daily!J59)</f>
        <v/>
      </c>
      <c r="H59" s="43">
        <f>IF(C59="aFRR+",DAMAS_Daily!E59,DAMAS_Daily!F59)</f>
        <v/>
      </c>
      <c r="I59" s="43">
        <f>IF(C59="aFRR+",DAMAS_Daily!G59,DAMAS_Daily!H59)</f>
        <v/>
      </c>
      <c r="J59" s="45">
        <f>IF(C59="aFRR+",DAMAS_Daily!C59,DAMAS_Daily!D59)</f>
        <v/>
      </c>
      <c r="K59" s="45">
        <f>IF(C59="aFRR+",MIN(DAMAS_Daily!C59*market_share_D*acceptance_rate*stack_activation,power_mw*hours_per_day,capacity_mwh),MIN(DAMAS_Daily!D59*market_share_D*acceptance_rate*stack_activation,power_mw*hours_per_day,capacity_mwh))</f>
        <v/>
      </c>
      <c r="L59" s="42">
        <f>IF(K59&gt;=capacity_mwh-0.01,"yes","no")</f>
        <v/>
      </c>
      <c r="M59" s="28">
        <f>IF(C59="aFRR+",(MIN(DAMAS_Daily!C59*market_share_D*acceptance_rate*stack_activation,power_mw*hours_per_day,capacity_mwh))*DAMAS_Daily!E59*activation_mult_D,(MIN(DAMAS_Daily!D59*market_share_D*acceptance_rate*stack_activation,power_mw*hours_per_day,capacity_mwh))*DAMAS_Daily!F59*activation_mult_D)</f>
        <v/>
      </c>
      <c r="N59" s="29">
        <f>F59+M59</f>
        <v/>
      </c>
    </row>
    <row r="60">
      <c r="A60" s="41">
        <f>DAMAS_Daily!A60</f>
        <v/>
      </c>
      <c r="B60" s="42">
        <f>DAMAS_Daily!B60</f>
        <v/>
      </c>
      <c r="C60" s="42">
        <f>IF((power_mw*hours_per_day*damas_afrr_up*capacity_mult_D*stack_capacity*acceptance_rate+(MIN(DAMAS_Daily!C60*market_share_D*acceptance_rate*stack_activation,power_mw*hours_per_day,capacity_mwh))*DAMAS_Daily!E60*activation_mult_D)&gt;=(power_mw*hours_per_day*damas_afrr_down*capacity_mult_D*stack_capacity*acceptance_rate+(MIN(DAMAS_Daily!D60*market_share_D*acceptance_rate*stack_activation,power_mw*hours_per_day,capacity_mwh))*DAMAS_Daily!F60*activation_mult_D),"aFRR+","aFRR-")</f>
        <v/>
      </c>
      <c r="D60" s="43">
        <f>IF(C60="aFRR+",damas_afrr_up*capacity_mult_D,damas_afrr_down*capacity_mult_D)</f>
        <v/>
      </c>
      <c r="E60" s="44">
        <f>acceptance_rate</f>
        <v/>
      </c>
      <c r="F60" s="28">
        <f>IF(C60="aFRR+",power_mw*hours_per_day*damas_afrr_up*capacity_mult_D*stack_capacity*acceptance_rate,power_mw*hours_per_day*damas_afrr_down*capacity_mult_D*stack_capacity*acceptance_rate)</f>
        <v/>
      </c>
      <c r="G60" s="42">
        <f>IF(C60="aFRR+",DAMAS_Daily!I60,DAMAS_Daily!J60)</f>
        <v/>
      </c>
      <c r="H60" s="43">
        <f>IF(C60="aFRR+",DAMAS_Daily!E60,DAMAS_Daily!F60)</f>
        <v/>
      </c>
      <c r="I60" s="43">
        <f>IF(C60="aFRR+",DAMAS_Daily!G60,DAMAS_Daily!H60)</f>
        <v/>
      </c>
      <c r="J60" s="45">
        <f>IF(C60="aFRR+",DAMAS_Daily!C60,DAMAS_Daily!D60)</f>
        <v/>
      </c>
      <c r="K60" s="45">
        <f>IF(C60="aFRR+",MIN(DAMAS_Daily!C60*market_share_D*acceptance_rate*stack_activation,power_mw*hours_per_day,capacity_mwh),MIN(DAMAS_Daily!D60*market_share_D*acceptance_rate*stack_activation,power_mw*hours_per_day,capacity_mwh))</f>
        <v/>
      </c>
      <c r="L60" s="42">
        <f>IF(K60&gt;=capacity_mwh-0.01,"yes","no")</f>
        <v/>
      </c>
      <c r="M60" s="28">
        <f>IF(C60="aFRR+",(MIN(DAMAS_Daily!C60*market_share_D*acceptance_rate*stack_activation,power_mw*hours_per_day,capacity_mwh))*DAMAS_Daily!E60*activation_mult_D,(MIN(DAMAS_Daily!D60*market_share_D*acceptance_rate*stack_activation,power_mw*hours_per_day,capacity_mwh))*DAMAS_Daily!F60*activation_mult_D)</f>
        <v/>
      </c>
      <c r="N60" s="29">
        <f>F60+M60</f>
        <v/>
      </c>
    </row>
    <row r="61">
      <c r="A61" s="41">
        <f>DAMAS_Daily!A61</f>
        <v/>
      </c>
      <c r="B61" s="42">
        <f>DAMAS_Daily!B61</f>
        <v/>
      </c>
      <c r="C61" s="42">
        <f>IF((power_mw*hours_per_day*damas_afrr_up*capacity_mult_D*stack_capacity*acceptance_rate+(MIN(DAMAS_Daily!C61*market_share_D*acceptance_rate*stack_activation,power_mw*hours_per_day,capacity_mwh))*DAMAS_Daily!E61*activation_mult_D)&gt;=(power_mw*hours_per_day*damas_afrr_down*capacity_mult_D*stack_capacity*acceptance_rate+(MIN(DAMAS_Daily!D61*market_share_D*acceptance_rate*stack_activation,power_mw*hours_per_day,capacity_mwh))*DAMAS_Daily!F61*activation_mult_D),"aFRR+","aFRR-")</f>
        <v/>
      </c>
      <c r="D61" s="43">
        <f>IF(C61="aFRR+",damas_afrr_up*capacity_mult_D,damas_afrr_down*capacity_mult_D)</f>
        <v/>
      </c>
      <c r="E61" s="44">
        <f>acceptance_rate</f>
        <v/>
      </c>
      <c r="F61" s="28">
        <f>IF(C61="aFRR+",power_mw*hours_per_day*damas_afrr_up*capacity_mult_D*stack_capacity*acceptance_rate,power_mw*hours_per_day*damas_afrr_down*capacity_mult_D*stack_capacity*acceptance_rate)</f>
        <v/>
      </c>
      <c r="G61" s="42">
        <f>IF(C61="aFRR+",DAMAS_Daily!I61,DAMAS_Daily!J61)</f>
        <v/>
      </c>
      <c r="H61" s="43">
        <f>IF(C61="aFRR+",DAMAS_Daily!E61,DAMAS_Daily!F61)</f>
        <v/>
      </c>
      <c r="I61" s="43">
        <f>IF(C61="aFRR+",DAMAS_Daily!G61,DAMAS_Daily!H61)</f>
        <v/>
      </c>
      <c r="J61" s="45">
        <f>IF(C61="aFRR+",DAMAS_Daily!C61,DAMAS_Daily!D61)</f>
        <v/>
      </c>
      <c r="K61" s="45">
        <f>IF(C61="aFRR+",MIN(DAMAS_Daily!C61*market_share_D*acceptance_rate*stack_activation,power_mw*hours_per_day,capacity_mwh),MIN(DAMAS_Daily!D61*market_share_D*acceptance_rate*stack_activation,power_mw*hours_per_day,capacity_mwh))</f>
        <v/>
      </c>
      <c r="L61" s="42">
        <f>IF(K61&gt;=capacity_mwh-0.01,"yes","no")</f>
        <v/>
      </c>
      <c r="M61" s="28">
        <f>IF(C61="aFRR+",(MIN(DAMAS_Daily!C61*market_share_D*acceptance_rate*stack_activation,power_mw*hours_per_day,capacity_mwh))*DAMAS_Daily!E61*activation_mult_D,(MIN(DAMAS_Daily!D61*market_share_D*acceptance_rate*stack_activation,power_mw*hours_per_day,capacity_mwh))*DAMAS_Daily!F61*activation_mult_D)</f>
        <v/>
      </c>
      <c r="N61" s="29">
        <f>F61+M61</f>
        <v/>
      </c>
    </row>
    <row r="62">
      <c r="A62" s="41">
        <f>DAMAS_Daily!A62</f>
        <v/>
      </c>
      <c r="B62" s="42">
        <f>DAMAS_Daily!B62</f>
        <v/>
      </c>
      <c r="C62" s="42">
        <f>IF((power_mw*hours_per_day*damas_afrr_up*capacity_mult_D*stack_capacity*acceptance_rate+(MIN(DAMAS_Daily!C62*market_share_D*acceptance_rate*stack_activation,power_mw*hours_per_day,capacity_mwh))*DAMAS_Daily!E62*activation_mult_D)&gt;=(power_mw*hours_per_day*damas_afrr_down*capacity_mult_D*stack_capacity*acceptance_rate+(MIN(DAMAS_Daily!D62*market_share_D*acceptance_rate*stack_activation,power_mw*hours_per_day,capacity_mwh))*DAMAS_Daily!F62*activation_mult_D),"aFRR+","aFRR-")</f>
        <v/>
      </c>
      <c r="D62" s="43">
        <f>IF(C62="aFRR+",damas_afrr_up*capacity_mult_D,damas_afrr_down*capacity_mult_D)</f>
        <v/>
      </c>
      <c r="E62" s="44">
        <f>acceptance_rate</f>
        <v/>
      </c>
      <c r="F62" s="28">
        <f>IF(C62="aFRR+",power_mw*hours_per_day*damas_afrr_up*capacity_mult_D*stack_capacity*acceptance_rate,power_mw*hours_per_day*damas_afrr_down*capacity_mult_D*stack_capacity*acceptance_rate)</f>
        <v/>
      </c>
      <c r="G62" s="42">
        <f>IF(C62="aFRR+",DAMAS_Daily!I62,DAMAS_Daily!J62)</f>
        <v/>
      </c>
      <c r="H62" s="43">
        <f>IF(C62="aFRR+",DAMAS_Daily!E62,DAMAS_Daily!F62)</f>
        <v/>
      </c>
      <c r="I62" s="43">
        <f>IF(C62="aFRR+",DAMAS_Daily!G62,DAMAS_Daily!H62)</f>
        <v/>
      </c>
      <c r="J62" s="45">
        <f>IF(C62="aFRR+",DAMAS_Daily!C62,DAMAS_Daily!D62)</f>
        <v/>
      </c>
      <c r="K62" s="45">
        <f>IF(C62="aFRR+",MIN(DAMAS_Daily!C62*market_share_D*acceptance_rate*stack_activation,power_mw*hours_per_day,capacity_mwh),MIN(DAMAS_Daily!D62*market_share_D*acceptance_rate*stack_activation,power_mw*hours_per_day,capacity_mwh))</f>
        <v/>
      </c>
      <c r="L62" s="42">
        <f>IF(K62&gt;=capacity_mwh-0.01,"yes","no")</f>
        <v/>
      </c>
      <c r="M62" s="28">
        <f>IF(C62="aFRR+",(MIN(DAMAS_Daily!C62*market_share_D*acceptance_rate*stack_activation,power_mw*hours_per_day,capacity_mwh))*DAMAS_Daily!E62*activation_mult_D,(MIN(DAMAS_Daily!D62*market_share_D*acceptance_rate*stack_activation,power_mw*hours_per_day,capacity_mwh))*DAMAS_Daily!F62*activation_mult_D)</f>
        <v/>
      </c>
      <c r="N62" s="29">
        <f>F62+M62</f>
        <v/>
      </c>
    </row>
    <row r="63">
      <c r="A63" s="41">
        <f>DAMAS_Daily!A63</f>
        <v/>
      </c>
      <c r="B63" s="42">
        <f>DAMAS_Daily!B63</f>
        <v/>
      </c>
      <c r="C63" s="42">
        <f>IF((power_mw*hours_per_day*damas_afrr_up*capacity_mult_D*stack_capacity*acceptance_rate+(MIN(DAMAS_Daily!C63*market_share_D*acceptance_rate*stack_activation,power_mw*hours_per_day,capacity_mwh))*DAMAS_Daily!E63*activation_mult_D)&gt;=(power_mw*hours_per_day*damas_afrr_down*capacity_mult_D*stack_capacity*acceptance_rate+(MIN(DAMAS_Daily!D63*market_share_D*acceptance_rate*stack_activation,power_mw*hours_per_day,capacity_mwh))*DAMAS_Daily!F63*activation_mult_D),"aFRR+","aFRR-")</f>
        <v/>
      </c>
      <c r="D63" s="43">
        <f>IF(C63="aFRR+",damas_afrr_up*capacity_mult_D,damas_afrr_down*capacity_mult_D)</f>
        <v/>
      </c>
      <c r="E63" s="44">
        <f>acceptance_rate</f>
        <v/>
      </c>
      <c r="F63" s="28">
        <f>IF(C63="aFRR+",power_mw*hours_per_day*damas_afrr_up*capacity_mult_D*stack_capacity*acceptance_rate,power_mw*hours_per_day*damas_afrr_down*capacity_mult_D*stack_capacity*acceptance_rate)</f>
        <v/>
      </c>
      <c r="G63" s="42">
        <f>IF(C63="aFRR+",DAMAS_Daily!I63,DAMAS_Daily!J63)</f>
        <v/>
      </c>
      <c r="H63" s="43">
        <f>IF(C63="aFRR+",DAMAS_Daily!E63,DAMAS_Daily!F63)</f>
        <v/>
      </c>
      <c r="I63" s="43">
        <f>IF(C63="aFRR+",DAMAS_Daily!G63,DAMAS_Daily!H63)</f>
        <v/>
      </c>
      <c r="J63" s="45">
        <f>IF(C63="aFRR+",DAMAS_Daily!C63,DAMAS_Daily!D63)</f>
        <v/>
      </c>
      <c r="K63" s="45">
        <f>IF(C63="aFRR+",MIN(DAMAS_Daily!C63*market_share_D*acceptance_rate*stack_activation,power_mw*hours_per_day,capacity_mwh),MIN(DAMAS_Daily!D63*market_share_D*acceptance_rate*stack_activation,power_mw*hours_per_day,capacity_mwh))</f>
        <v/>
      </c>
      <c r="L63" s="42">
        <f>IF(K63&gt;=capacity_mwh-0.01,"yes","no")</f>
        <v/>
      </c>
      <c r="M63" s="28">
        <f>IF(C63="aFRR+",(MIN(DAMAS_Daily!C63*market_share_D*acceptance_rate*stack_activation,power_mw*hours_per_day,capacity_mwh))*DAMAS_Daily!E63*activation_mult_D,(MIN(DAMAS_Daily!D63*market_share_D*acceptance_rate*stack_activation,power_mw*hours_per_day,capacity_mwh))*DAMAS_Daily!F63*activation_mult_D)</f>
        <v/>
      </c>
      <c r="N63" s="29">
        <f>F63+M63</f>
        <v/>
      </c>
    </row>
    <row r="64">
      <c r="A64" s="41">
        <f>DAMAS_Daily!A64</f>
        <v/>
      </c>
      <c r="B64" s="42">
        <f>DAMAS_Daily!B64</f>
        <v/>
      </c>
      <c r="C64" s="42">
        <f>IF((power_mw*hours_per_day*damas_afrr_up*capacity_mult_D*stack_capacity*acceptance_rate+(MIN(DAMAS_Daily!C64*market_share_D*acceptance_rate*stack_activation,power_mw*hours_per_day,capacity_mwh))*DAMAS_Daily!E64*activation_mult_D)&gt;=(power_mw*hours_per_day*damas_afrr_down*capacity_mult_D*stack_capacity*acceptance_rate+(MIN(DAMAS_Daily!D64*market_share_D*acceptance_rate*stack_activation,power_mw*hours_per_day,capacity_mwh))*DAMAS_Daily!F64*activation_mult_D),"aFRR+","aFRR-")</f>
        <v/>
      </c>
      <c r="D64" s="43">
        <f>IF(C64="aFRR+",damas_afrr_up*capacity_mult_D,damas_afrr_down*capacity_mult_D)</f>
        <v/>
      </c>
      <c r="E64" s="44">
        <f>acceptance_rate</f>
        <v/>
      </c>
      <c r="F64" s="28">
        <f>IF(C64="aFRR+",power_mw*hours_per_day*damas_afrr_up*capacity_mult_D*stack_capacity*acceptance_rate,power_mw*hours_per_day*damas_afrr_down*capacity_mult_D*stack_capacity*acceptance_rate)</f>
        <v/>
      </c>
      <c r="G64" s="42">
        <f>IF(C64="aFRR+",DAMAS_Daily!I64,DAMAS_Daily!J64)</f>
        <v/>
      </c>
      <c r="H64" s="43">
        <f>IF(C64="aFRR+",DAMAS_Daily!E64,DAMAS_Daily!F64)</f>
        <v/>
      </c>
      <c r="I64" s="43">
        <f>IF(C64="aFRR+",DAMAS_Daily!G64,DAMAS_Daily!H64)</f>
        <v/>
      </c>
      <c r="J64" s="45">
        <f>IF(C64="aFRR+",DAMAS_Daily!C64,DAMAS_Daily!D64)</f>
        <v/>
      </c>
      <c r="K64" s="45">
        <f>IF(C64="aFRR+",MIN(DAMAS_Daily!C64*market_share_D*acceptance_rate*stack_activation,power_mw*hours_per_day,capacity_mwh),MIN(DAMAS_Daily!D64*market_share_D*acceptance_rate*stack_activation,power_mw*hours_per_day,capacity_mwh))</f>
        <v/>
      </c>
      <c r="L64" s="42">
        <f>IF(K64&gt;=capacity_mwh-0.01,"yes","no")</f>
        <v/>
      </c>
      <c r="M64" s="28">
        <f>IF(C64="aFRR+",(MIN(DAMAS_Daily!C64*market_share_D*acceptance_rate*stack_activation,power_mw*hours_per_day,capacity_mwh))*DAMAS_Daily!E64*activation_mult_D,(MIN(DAMAS_Daily!D64*market_share_D*acceptance_rate*stack_activation,power_mw*hours_per_day,capacity_mwh))*DAMAS_Daily!F64*activation_mult_D)</f>
        <v/>
      </c>
      <c r="N64" s="29">
        <f>F64+M64</f>
        <v/>
      </c>
    </row>
    <row r="65">
      <c r="A65" s="41">
        <f>DAMAS_Daily!A65</f>
        <v/>
      </c>
      <c r="B65" s="42">
        <f>DAMAS_Daily!B65</f>
        <v/>
      </c>
      <c r="C65" s="42">
        <f>IF((power_mw*hours_per_day*damas_afrr_up*capacity_mult_D*stack_capacity*acceptance_rate+(MIN(DAMAS_Daily!C65*market_share_D*acceptance_rate*stack_activation,power_mw*hours_per_day,capacity_mwh))*DAMAS_Daily!E65*activation_mult_D)&gt;=(power_mw*hours_per_day*damas_afrr_down*capacity_mult_D*stack_capacity*acceptance_rate+(MIN(DAMAS_Daily!D65*market_share_D*acceptance_rate*stack_activation,power_mw*hours_per_day,capacity_mwh))*DAMAS_Daily!F65*activation_mult_D),"aFRR+","aFRR-")</f>
        <v/>
      </c>
      <c r="D65" s="43">
        <f>IF(C65="aFRR+",damas_afrr_up*capacity_mult_D,damas_afrr_down*capacity_mult_D)</f>
        <v/>
      </c>
      <c r="E65" s="44">
        <f>acceptance_rate</f>
        <v/>
      </c>
      <c r="F65" s="28">
        <f>IF(C65="aFRR+",power_mw*hours_per_day*damas_afrr_up*capacity_mult_D*stack_capacity*acceptance_rate,power_mw*hours_per_day*damas_afrr_down*capacity_mult_D*stack_capacity*acceptance_rate)</f>
        <v/>
      </c>
      <c r="G65" s="42">
        <f>IF(C65="aFRR+",DAMAS_Daily!I65,DAMAS_Daily!J65)</f>
        <v/>
      </c>
      <c r="H65" s="43">
        <f>IF(C65="aFRR+",DAMAS_Daily!E65,DAMAS_Daily!F65)</f>
        <v/>
      </c>
      <c r="I65" s="43">
        <f>IF(C65="aFRR+",DAMAS_Daily!G65,DAMAS_Daily!H65)</f>
        <v/>
      </c>
      <c r="J65" s="45">
        <f>IF(C65="aFRR+",DAMAS_Daily!C65,DAMAS_Daily!D65)</f>
        <v/>
      </c>
      <c r="K65" s="45">
        <f>IF(C65="aFRR+",MIN(DAMAS_Daily!C65*market_share_D*acceptance_rate*stack_activation,power_mw*hours_per_day,capacity_mwh),MIN(DAMAS_Daily!D65*market_share_D*acceptance_rate*stack_activation,power_mw*hours_per_day,capacity_mwh))</f>
        <v/>
      </c>
      <c r="L65" s="42">
        <f>IF(K65&gt;=capacity_mwh-0.01,"yes","no")</f>
        <v/>
      </c>
      <c r="M65" s="28">
        <f>IF(C65="aFRR+",(MIN(DAMAS_Daily!C65*market_share_D*acceptance_rate*stack_activation,power_mw*hours_per_day,capacity_mwh))*DAMAS_Daily!E65*activation_mult_D,(MIN(DAMAS_Daily!D65*market_share_D*acceptance_rate*stack_activation,power_mw*hours_per_day,capacity_mwh))*DAMAS_Daily!F65*activation_mult_D)</f>
        <v/>
      </c>
      <c r="N65" s="29">
        <f>F65+M65</f>
        <v/>
      </c>
    </row>
    <row r="66">
      <c r="A66" s="41">
        <f>DAMAS_Daily!A66</f>
        <v/>
      </c>
      <c r="B66" s="42">
        <f>DAMAS_Daily!B66</f>
        <v/>
      </c>
      <c r="C66" s="42">
        <f>IF((power_mw*hours_per_day*damas_afrr_up*capacity_mult_D*stack_capacity*acceptance_rate+(MIN(DAMAS_Daily!C66*market_share_D*acceptance_rate*stack_activation,power_mw*hours_per_day,capacity_mwh))*DAMAS_Daily!E66*activation_mult_D)&gt;=(power_mw*hours_per_day*damas_afrr_down*capacity_mult_D*stack_capacity*acceptance_rate+(MIN(DAMAS_Daily!D66*market_share_D*acceptance_rate*stack_activation,power_mw*hours_per_day,capacity_mwh))*DAMAS_Daily!F66*activation_mult_D),"aFRR+","aFRR-")</f>
        <v/>
      </c>
      <c r="D66" s="43">
        <f>IF(C66="aFRR+",damas_afrr_up*capacity_mult_D,damas_afrr_down*capacity_mult_D)</f>
        <v/>
      </c>
      <c r="E66" s="44">
        <f>acceptance_rate</f>
        <v/>
      </c>
      <c r="F66" s="28">
        <f>IF(C66="aFRR+",power_mw*hours_per_day*damas_afrr_up*capacity_mult_D*stack_capacity*acceptance_rate,power_mw*hours_per_day*damas_afrr_down*capacity_mult_D*stack_capacity*acceptance_rate)</f>
        <v/>
      </c>
      <c r="G66" s="42">
        <f>IF(C66="aFRR+",DAMAS_Daily!I66,DAMAS_Daily!J66)</f>
        <v/>
      </c>
      <c r="H66" s="43">
        <f>IF(C66="aFRR+",DAMAS_Daily!E66,DAMAS_Daily!F66)</f>
        <v/>
      </c>
      <c r="I66" s="43">
        <f>IF(C66="aFRR+",DAMAS_Daily!G66,DAMAS_Daily!H66)</f>
        <v/>
      </c>
      <c r="J66" s="45">
        <f>IF(C66="aFRR+",DAMAS_Daily!C66,DAMAS_Daily!D66)</f>
        <v/>
      </c>
      <c r="K66" s="45">
        <f>IF(C66="aFRR+",MIN(DAMAS_Daily!C66*market_share_D*acceptance_rate*stack_activation,power_mw*hours_per_day,capacity_mwh),MIN(DAMAS_Daily!D66*market_share_D*acceptance_rate*stack_activation,power_mw*hours_per_day,capacity_mwh))</f>
        <v/>
      </c>
      <c r="L66" s="42">
        <f>IF(K66&gt;=capacity_mwh-0.01,"yes","no")</f>
        <v/>
      </c>
      <c r="M66" s="28">
        <f>IF(C66="aFRR+",(MIN(DAMAS_Daily!C66*market_share_D*acceptance_rate*stack_activation,power_mw*hours_per_day,capacity_mwh))*DAMAS_Daily!E66*activation_mult_D,(MIN(DAMAS_Daily!D66*market_share_D*acceptance_rate*stack_activation,power_mw*hours_per_day,capacity_mwh))*DAMAS_Daily!F66*activation_mult_D)</f>
        <v/>
      </c>
      <c r="N66" s="29">
        <f>F66+M66</f>
        <v/>
      </c>
    </row>
    <row r="67">
      <c r="A67" s="41">
        <f>DAMAS_Daily!A67</f>
        <v/>
      </c>
      <c r="B67" s="42">
        <f>DAMAS_Daily!B67</f>
        <v/>
      </c>
      <c r="C67" s="42">
        <f>IF((power_mw*hours_per_day*damas_afrr_up*capacity_mult_D*stack_capacity*acceptance_rate+(MIN(DAMAS_Daily!C67*market_share_D*acceptance_rate*stack_activation,power_mw*hours_per_day,capacity_mwh))*DAMAS_Daily!E67*activation_mult_D)&gt;=(power_mw*hours_per_day*damas_afrr_down*capacity_mult_D*stack_capacity*acceptance_rate+(MIN(DAMAS_Daily!D67*market_share_D*acceptance_rate*stack_activation,power_mw*hours_per_day,capacity_mwh))*DAMAS_Daily!F67*activation_mult_D),"aFRR+","aFRR-")</f>
        <v/>
      </c>
      <c r="D67" s="43">
        <f>IF(C67="aFRR+",damas_afrr_up*capacity_mult_D,damas_afrr_down*capacity_mult_D)</f>
        <v/>
      </c>
      <c r="E67" s="44">
        <f>acceptance_rate</f>
        <v/>
      </c>
      <c r="F67" s="28">
        <f>IF(C67="aFRR+",power_mw*hours_per_day*damas_afrr_up*capacity_mult_D*stack_capacity*acceptance_rate,power_mw*hours_per_day*damas_afrr_down*capacity_mult_D*stack_capacity*acceptance_rate)</f>
        <v/>
      </c>
      <c r="G67" s="42">
        <f>IF(C67="aFRR+",DAMAS_Daily!I67,DAMAS_Daily!J67)</f>
        <v/>
      </c>
      <c r="H67" s="43">
        <f>IF(C67="aFRR+",DAMAS_Daily!E67,DAMAS_Daily!F67)</f>
        <v/>
      </c>
      <c r="I67" s="43">
        <f>IF(C67="aFRR+",DAMAS_Daily!G67,DAMAS_Daily!H67)</f>
        <v/>
      </c>
      <c r="J67" s="45">
        <f>IF(C67="aFRR+",DAMAS_Daily!C67,DAMAS_Daily!D67)</f>
        <v/>
      </c>
      <c r="K67" s="45">
        <f>IF(C67="aFRR+",MIN(DAMAS_Daily!C67*market_share_D*acceptance_rate*stack_activation,power_mw*hours_per_day,capacity_mwh),MIN(DAMAS_Daily!D67*market_share_D*acceptance_rate*stack_activation,power_mw*hours_per_day,capacity_mwh))</f>
        <v/>
      </c>
      <c r="L67" s="42">
        <f>IF(K67&gt;=capacity_mwh-0.01,"yes","no")</f>
        <v/>
      </c>
      <c r="M67" s="28">
        <f>IF(C67="aFRR+",(MIN(DAMAS_Daily!C67*market_share_D*acceptance_rate*stack_activation,power_mw*hours_per_day,capacity_mwh))*DAMAS_Daily!E67*activation_mult_D,(MIN(DAMAS_Daily!D67*market_share_D*acceptance_rate*stack_activation,power_mw*hours_per_day,capacity_mwh))*DAMAS_Daily!F67*activation_mult_D)</f>
        <v/>
      </c>
      <c r="N67" s="29">
        <f>F67+M67</f>
        <v/>
      </c>
    </row>
    <row r="68">
      <c r="A68" s="41">
        <f>DAMAS_Daily!A68</f>
        <v/>
      </c>
      <c r="B68" s="42">
        <f>DAMAS_Daily!B68</f>
        <v/>
      </c>
      <c r="C68" s="42">
        <f>IF((power_mw*hours_per_day*damas_afrr_up*capacity_mult_D*stack_capacity*acceptance_rate+(MIN(DAMAS_Daily!C68*market_share_D*acceptance_rate*stack_activation,power_mw*hours_per_day,capacity_mwh))*DAMAS_Daily!E68*activation_mult_D)&gt;=(power_mw*hours_per_day*damas_afrr_down*capacity_mult_D*stack_capacity*acceptance_rate+(MIN(DAMAS_Daily!D68*market_share_D*acceptance_rate*stack_activation,power_mw*hours_per_day,capacity_mwh))*DAMAS_Daily!F68*activation_mult_D),"aFRR+","aFRR-")</f>
        <v/>
      </c>
      <c r="D68" s="43">
        <f>IF(C68="aFRR+",damas_afrr_up*capacity_mult_D,damas_afrr_down*capacity_mult_D)</f>
        <v/>
      </c>
      <c r="E68" s="44">
        <f>acceptance_rate</f>
        <v/>
      </c>
      <c r="F68" s="28">
        <f>IF(C68="aFRR+",power_mw*hours_per_day*damas_afrr_up*capacity_mult_D*stack_capacity*acceptance_rate,power_mw*hours_per_day*damas_afrr_down*capacity_mult_D*stack_capacity*acceptance_rate)</f>
        <v/>
      </c>
      <c r="G68" s="42">
        <f>IF(C68="aFRR+",DAMAS_Daily!I68,DAMAS_Daily!J68)</f>
        <v/>
      </c>
      <c r="H68" s="43">
        <f>IF(C68="aFRR+",DAMAS_Daily!E68,DAMAS_Daily!F68)</f>
        <v/>
      </c>
      <c r="I68" s="43">
        <f>IF(C68="aFRR+",DAMAS_Daily!G68,DAMAS_Daily!H68)</f>
        <v/>
      </c>
      <c r="J68" s="45">
        <f>IF(C68="aFRR+",DAMAS_Daily!C68,DAMAS_Daily!D68)</f>
        <v/>
      </c>
      <c r="K68" s="45">
        <f>IF(C68="aFRR+",MIN(DAMAS_Daily!C68*market_share_D*acceptance_rate*stack_activation,power_mw*hours_per_day,capacity_mwh),MIN(DAMAS_Daily!D68*market_share_D*acceptance_rate*stack_activation,power_mw*hours_per_day,capacity_mwh))</f>
        <v/>
      </c>
      <c r="L68" s="42">
        <f>IF(K68&gt;=capacity_mwh-0.01,"yes","no")</f>
        <v/>
      </c>
      <c r="M68" s="28">
        <f>IF(C68="aFRR+",(MIN(DAMAS_Daily!C68*market_share_D*acceptance_rate*stack_activation,power_mw*hours_per_day,capacity_mwh))*DAMAS_Daily!E68*activation_mult_D,(MIN(DAMAS_Daily!D68*market_share_D*acceptance_rate*stack_activation,power_mw*hours_per_day,capacity_mwh))*DAMAS_Daily!F68*activation_mult_D)</f>
        <v/>
      </c>
      <c r="N68" s="29">
        <f>F68+M68</f>
        <v/>
      </c>
    </row>
    <row r="69">
      <c r="A69" s="41">
        <f>DAMAS_Daily!A69</f>
        <v/>
      </c>
      <c r="B69" s="42">
        <f>DAMAS_Daily!B69</f>
        <v/>
      </c>
      <c r="C69" s="42">
        <f>IF((power_mw*hours_per_day*damas_afrr_up*capacity_mult_D*stack_capacity*acceptance_rate+(MIN(DAMAS_Daily!C69*market_share_D*acceptance_rate*stack_activation,power_mw*hours_per_day,capacity_mwh))*DAMAS_Daily!E69*activation_mult_D)&gt;=(power_mw*hours_per_day*damas_afrr_down*capacity_mult_D*stack_capacity*acceptance_rate+(MIN(DAMAS_Daily!D69*market_share_D*acceptance_rate*stack_activation,power_mw*hours_per_day,capacity_mwh))*DAMAS_Daily!F69*activation_mult_D),"aFRR+","aFRR-")</f>
        <v/>
      </c>
      <c r="D69" s="43">
        <f>IF(C69="aFRR+",damas_afrr_up*capacity_mult_D,damas_afrr_down*capacity_mult_D)</f>
        <v/>
      </c>
      <c r="E69" s="44">
        <f>acceptance_rate</f>
        <v/>
      </c>
      <c r="F69" s="28">
        <f>IF(C69="aFRR+",power_mw*hours_per_day*damas_afrr_up*capacity_mult_D*stack_capacity*acceptance_rate,power_mw*hours_per_day*damas_afrr_down*capacity_mult_D*stack_capacity*acceptance_rate)</f>
        <v/>
      </c>
      <c r="G69" s="42">
        <f>IF(C69="aFRR+",DAMAS_Daily!I69,DAMAS_Daily!J69)</f>
        <v/>
      </c>
      <c r="H69" s="43">
        <f>IF(C69="aFRR+",DAMAS_Daily!E69,DAMAS_Daily!F69)</f>
        <v/>
      </c>
      <c r="I69" s="43">
        <f>IF(C69="aFRR+",DAMAS_Daily!G69,DAMAS_Daily!H69)</f>
        <v/>
      </c>
      <c r="J69" s="45">
        <f>IF(C69="aFRR+",DAMAS_Daily!C69,DAMAS_Daily!D69)</f>
        <v/>
      </c>
      <c r="K69" s="45">
        <f>IF(C69="aFRR+",MIN(DAMAS_Daily!C69*market_share_D*acceptance_rate*stack_activation,power_mw*hours_per_day,capacity_mwh),MIN(DAMAS_Daily!D69*market_share_D*acceptance_rate*stack_activation,power_mw*hours_per_day,capacity_mwh))</f>
        <v/>
      </c>
      <c r="L69" s="42">
        <f>IF(K69&gt;=capacity_mwh-0.01,"yes","no")</f>
        <v/>
      </c>
      <c r="M69" s="28">
        <f>IF(C69="aFRR+",(MIN(DAMAS_Daily!C69*market_share_D*acceptance_rate*stack_activation,power_mw*hours_per_day,capacity_mwh))*DAMAS_Daily!E69*activation_mult_D,(MIN(DAMAS_Daily!D69*market_share_D*acceptance_rate*stack_activation,power_mw*hours_per_day,capacity_mwh))*DAMAS_Daily!F69*activation_mult_D)</f>
        <v/>
      </c>
      <c r="N69" s="29">
        <f>F69+M69</f>
        <v/>
      </c>
    </row>
    <row r="70">
      <c r="A70" s="41">
        <f>DAMAS_Daily!A70</f>
        <v/>
      </c>
      <c r="B70" s="42">
        <f>DAMAS_Daily!B70</f>
        <v/>
      </c>
      <c r="C70" s="42">
        <f>IF((power_mw*hours_per_day*damas_afrr_up*capacity_mult_D*stack_capacity*acceptance_rate+(MIN(DAMAS_Daily!C70*market_share_D*acceptance_rate*stack_activation,power_mw*hours_per_day,capacity_mwh))*DAMAS_Daily!E70*activation_mult_D)&gt;=(power_mw*hours_per_day*damas_afrr_down*capacity_mult_D*stack_capacity*acceptance_rate+(MIN(DAMAS_Daily!D70*market_share_D*acceptance_rate*stack_activation,power_mw*hours_per_day,capacity_mwh))*DAMAS_Daily!F70*activation_mult_D),"aFRR+","aFRR-")</f>
        <v/>
      </c>
      <c r="D70" s="43">
        <f>IF(C70="aFRR+",damas_afrr_up*capacity_mult_D,damas_afrr_down*capacity_mult_D)</f>
        <v/>
      </c>
      <c r="E70" s="44">
        <f>acceptance_rate</f>
        <v/>
      </c>
      <c r="F70" s="28">
        <f>IF(C70="aFRR+",power_mw*hours_per_day*damas_afrr_up*capacity_mult_D*stack_capacity*acceptance_rate,power_mw*hours_per_day*damas_afrr_down*capacity_mult_D*stack_capacity*acceptance_rate)</f>
        <v/>
      </c>
      <c r="G70" s="42">
        <f>IF(C70="aFRR+",DAMAS_Daily!I70,DAMAS_Daily!J70)</f>
        <v/>
      </c>
      <c r="H70" s="43">
        <f>IF(C70="aFRR+",DAMAS_Daily!E70,DAMAS_Daily!F70)</f>
        <v/>
      </c>
      <c r="I70" s="43">
        <f>IF(C70="aFRR+",DAMAS_Daily!G70,DAMAS_Daily!H70)</f>
        <v/>
      </c>
      <c r="J70" s="45">
        <f>IF(C70="aFRR+",DAMAS_Daily!C70,DAMAS_Daily!D70)</f>
        <v/>
      </c>
      <c r="K70" s="45">
        <f>IF(C70="aFRR+",MIN(DAMAS_Daily!C70*market_share_D*acceptance_rate*stack_activation,power_mw*hours_per_day,capacity_mwh),MIN(DAMAS_Daily!D70*market_share_D*acceptance_rate*stack_activation,power_mw*hours_per_day,capacity_mwh))</f>
        <v/>
      </c>
      <c r="L70" s="42">
        <f>IF(K70&gt;=capacity_mwh-0.01,"yes","no")</f>
        <v/>
      </c>
      <c r="M70" s="28">
        <f>IF(C70="aFRR+",(MIN(DAMAS_Daily!C70*market_share_D*acceptance_rate*stack_activation,power_mw*hours_per_day,capacity_mwh))*DAMAS_Daily!E70*activation_mult_D,(MIN(DAMAS_Daily!D70*market_share_D*acceptance_rate*stack_activation,power_mw*hours_per_day,capacity_mwh))*DAMAS_Daily!F70*activation_mult_D)</f>
        <v/>
      </c>
      <c r="N70" s="29">
        <f>F70+M70</f>
        <v/>
      </c>
    </row>
    <row r="71">
      <c r="A71" s="41">
        <f>DAMAS_Daily!A71</f>
        <v/>
      </c>
      <c r="B71" s="42">
        <f>DAMAS_Daily!B71</f>
        <v/>
      </c>
      <c r="C71" s="42">
        <f>IF((power_mw*hours_per_day*damas_afrr_up*capacity_mult_D*stack_capacity*acceptance_rate+(MIN(DAMAS_Daily!C71*market_share_D*acceptance_rate*stack_activation,power_mw*hours_per_day,capacity_mwh))*DAMAS_Daily!E71*activation_mult_D)&gt;=(power_mw*hours_per_day*damas_afrr_down*capacity_mult_D*stack_capacity*acceptance_rate+(MIN(DAMAS_Daily!D71*market_share_D*acceptance_rate*stack_activation,power_mw*hours_per_day,capacity_mwh))*DAMAS_Daily!F71*activation_mult_D),"aFRR+","aFRR-")</f>
        <v/>
      </c>
      <c r="D71" s="43">
        <f>IF(C71="aFRR+",damas_afrr_up*capacity_mult_D,damas_afrr_down*capacity_mult_D)</f>
        <v/>
      </c>
      <c r="E71" s="44">
        <f>acceptance_rate</f>
        <v/>
      </c>
      <c r="F71" s="28">
        <f>IF(C71="aFRR+",power_mw*hours_per_day*damas_afrr_up*capacity_mult_D*stack_capacity*acceptance_rate,power_mw*hours_per_day*damas_afrr_down*capacity_mult_D*stack_capacity*acceptance_rate)</f>
        <v/>
      </c>
      <c r="G71" s="42">
        <f>IF(C71="aFRR+",DAMAS_Daily!I71,DAMAS_Daily!J71)</f>
        <v/>
      </c>
      <c r="H71" s="43">
        <f>IF(C71="aFRR+",DAMAS_Daily!E71,DAMAS_Daily!F71)</f>
        <v/>
      </c>
      <c r="I71" s="43">
        <f>IF(C71="aFRR+",DAMAS_Daily!G71,DAMAS_Daily!H71)</f>
        <v/>
      </c>
      <c r="J71" s="45">
        <f>IF(C71="aFRR+",DAMAS_Daily!C71,DAMAS_Daily!D71)</f>
        <v/>
      </c>
      <c r="K71" s="45">
        <f>IF(C71="aFRR+",MIN(DAMAS_Daily!C71*market_share_D*acceptance_rate*stack_activation,power_mw*hours_per_day,capacity_mwh),MIN(DAMAS_Daily!D71*market_share_D*acceptance_rate*stack_activation,power_mw*hours_per_day,capacity_mwh))</f>
        <v/>
      </c>
      <c r="L71" s="42">
        <f>IF(K71&gt;=capacity_mwh-0.01,"yes","no")</f>
        <v/>
      </c>
      <c r="M71" s="28">
        <f>IF(C71="aFRR+",(MIN(DAMAS_Daily!C71*market_share_D*acceptance_rate*stack_activation,power_mw*hours_per_day,capacity_mwh))*DAMAS_Daily!E71*activation_mult_D,(MIN(DAMAS_Daily!D71*market_share_D*acceptance_rate*stack_activation,power_mw*hours_per_day,capacity_mwh))*DAMAS_Daily!F71*activation_mult_D)</f>
        <v/>
      </c>
      <c r="N71" s="29">
        <f>F71+M71</f>
        <v/>
      </c>
    </row>
    <row r="72">
      <c r="A72" s="41">
        <f>DAMAS_Daily!A72</f>
        <v/>
      </c>
      <c r="B72" s="42">
        <f>DAMAS_Daily!B72</f>
        <v/>
      </c>
      <c r="C72" s="42">
        <f>IF((power_mw*hours_per_day*damas_afrr_up*capacity_mult_D*stack_capacity*acceptance_rate+(MIN(DAMAS_Daily!C72*market_share_D*acceptance_rate*stack_activation,power_mw*hours_per_day,capacity_mwh))*DAMAS_Daily!E72*activation_mult_D)&gt;=(power_mw*hours_per_day*damas_afrr_down*capacity_mult_D*stack_capacity*acceptance_rate+(MIN(DAMAS_Daily!D72*market_share_D*acceptance_rate*stack_activation,power_mw*hours_per_day,capacity_mwh))*DAMAS_Daily!F72*activation_mult_D),"aFRR+","aFRR-")</f>
        <v/>
      </c>
      <c r="D72" s="43">
        <f>IF(C72="aFRR+",damas_afrr_up*capacity_mult_D,damas_afrr_down*capacity_mult_D)</f>
        <v/>
      </c>
      <c r="E72" s="44">
        <f>acceptance_rate</f>
        <v/>
      </c>
      <c r="F72" s="28">
        <f>IF(C72="aFRR+",power_mw*hours_per_day*damas_afrr_up*capacity_mult_D*stack_capacity*acceptance_rate,power_mw*hours_per_day*damas_afrr_down*capacity_mult_D*stack_capacity*acceptance_rate)</f>
        <v/>
      </c>
      <c r="G72" s="42">
        <f>IF(C72="aFRR+",DAMAS_Daily!I72,DAMAS_Daily!J72)</f>
        <v/>
      </c>
      <c r="H72" s="43">
        <f>IF(C72="aFRR+",DAMAS_Daily!E72,DAMAS_Daily!F72)</f>
        <v/>
      </c>
      <c r="I72" s="43">
        <f>IF(C72="aFRR+",DAMAS_Daily!G72,DAMAS_Daily!H72)</f>
        <v/>
      </c>
      <c r="J72" s="45">
        <f>IF(C72="aFRR+",DAMAS_Daily!C72,DAMAS_Daily!D72)</f>
        <v/>
      </c>
      <c r="K72" s="45">
        <f>IF(C72="aFRR+",MIN(DAMAS_Daily!C72*market_share_D*acceptance_rate*stack_activation,power_mw*hours_per_day,capacity_mwh),MIN(DAMAS_Daily!D72*market_share_D*acceptance_rate*stack_activation,power_mw*hours_per_day,capacity_mwh))</f>
        <v/>
      </c>
      <c r="L72" s="42">
        <f>IF(K72&gt;=capacity_mwh-0.01,"yes","no")</f>
        <v/>
      </c>
      <c r="M72" s="28">
        <f>IF(C72="aFRR+",(MIN(DAMAS_Daily!C72*market_share_D*acceptance_rate*stack_activation,power_mw*hours_per_day,capacity_mwh))*DAMAS_Daily!E72*activation_mult_D,(MIN(DAMAS_Daily!D72*market_share_D*acceptance_rate*stack_activation,power_mw*hours_per_day,capacity_mwh))*DAMAS_Daily!F72*activation_mult_D)</f>
        <v/>
      </c>
      <c r="N72" s="29">
        <f>F72+M72</f>
        <v/>
      </c>
    </row>
    <row r="73">
      <c r="A73" s="41">
        <f>DAMAS_Daily!A73</f>
        <v/>
      </c>
      <c r="B73" s="42">
        <f>DAMAS_Daily!B73</f>
        <v/>
      </c>
      <c r="C73" s="42">
        <f>IF((power_mw*hours_per_day*damas_afrr_up*capacity_mult_D*stack_capacity*acceptance_rate+(MIN(DAMAS_Daily!C73*market_share_D*acceptance_rate*stack_activation,power_mw*hours_per_day,capacity_mwh))*DAMAS_Daily!E73*activation_mult_D)&gt;=(power_mw*hours_per_day*damas_afrr_down*capacity_mult_D*stack_capacity*acceptance_rate+(MIN(DAMAS_Daily!D73*market_share_D*acceptance_rate*stack_activation,power_mw*hours_per_day,capacity_mwh))*DAMAS_Daily!F73*activation_mult_D),"aFRR+","aFRR-")</f>
        <v/>
      </c>
      <c r="D73" s="43">
        <f>IF(C73="aFRR+",damas_afrr_up*capacity_mult_D,damas_afrr_down*capacity_mult_D)</f>
        <v/>
      </c>
      <c r="E73" s="44">
        <f>acceptance_rate</f>
        <v/>
      </c>
      <c r="F73" s="28">
        <f>IF(C73="aFRR+",power_mw*hours_per_day*damas_afrr_up*capacity_mult_D*stack_capacity*acceptance_rate,power_mw*hours_per_day*damas_afrr_down*capacity_mult_D*stack_capacity*acceptance_rate)</f>
        <v/>
      </c>
      <c r="G73" s="42">
        <f>IF(C73="aFRR+",DAMAS_Daily!I73,DAMAS_Daily!J73)</f>
        <v/>
      </c>
      <c r="H73" s="43">
        <f>IF(C73="aFRR+",DAMAS_Daily!E73,DAMAS_Daily!F73)</f>
        <v/>
      </c>
      <c r="I73" s="43">
        <f>IF(C73="aFRR+",DAMAS_Daily!G73,DAMAS_Daily!H73)</f>
        <v/>
      </c>
      <c r="J73" s="45">
        <f>IF(C73="aFRR+",DAMAS_Daily!C73,DAMAS_Daily!D73)</f>
        <v/>
      </c>
      <c r="K73" s="45">
        <f>IF(C73="aFRR+",MIN(DAMAS_Daily!C73*market_share_D*acceptance_rate*stack_activation,power_mw*hours_per_day,capacity_mwh),MIN(DAMAS_Daily!D73*market_share_D*acceptance_rate*stack_activation,power_mw*hours_per_day,capacity_mwh))</f>
        <v/>
      </c>
      <c r="L73" s="42">
        <f>IF(K73&gt;=capacity_mwh-0.01,"yes","no")</f>
        <v/>
      </c>
      <c r="M73" s="28">
        <f>IF(C73="aFRR+",(MIN(DAMAS_Daily!C73*market_share_D*acceptance_rate*stack_activation,power_mw*hours_per_day,capacity_mwh))*DAMAS_Daily!E73*activation_mult_D,(MIN(DAMAS_Daily!D73*market_share_D*acceptance_rate*stack_activation,power_mw*hours_per_day,capacity_mwh))*DAMAS_Daily!F73*activation_mult_D)</f>
        <v/>
      </c>
      <c r="N73" s="29">
        <f>F73+M73</f>
        <v/>
      </c>
    </row>
    <row r="74">
      <c r="A74" s="41">
        <f>DAMAS_Daily!A74</f>
        <v/>
      </c>
      <c r="B74" s="42">
        <f>DAMAS_Daily!B74</f>
        <v/>
      </c>
      <c r="C74" s="42">
        <f>IF((power_mw*hours_per_day*damas_afrr_up*capacity_mult_D*stack_capacity*acceptance_rate+(MIN(DAMAS_Daily!C74*market_share_D*acceptance_rate*stack_activation,power_mw*hours_per_day,capacity_mwh))*DAMAS_Daily!E74*activation_mult_D)&gt;=(power_mw*hours_per_day*damas_afrr_down*capacity_mult_D*stack_capacity*acceptance_rate+(MIN(DAMAS_Daily!D74*market_share_D*acceptance_rate*stack_activation,power_mw*hours_per_day,capacity_mwh))*DAMAS_Daily!F74*activation_mult_D),"aFRR+","aFRR-")</f>
        <v/>
      </c>
      <c r="D74" s="43">
        <f>IF(C74="aFRR+",damas_afrr_up*capacity_mult_D,damas_afrr_down*capacity_mult_D)</f>
        <v/>
      </c>
      <c r="E74" s="44">
        <f>acceptance_rate</f>
        <v/>
      </c>
      <c r="F74" s="28">
        <f>IF(C74="aFRR+",power_mw*hours_per_day*damas_afrr_up*capacity_mult_D*stack_capacity*acceptance_rate,power_mw*hours_per_day*damas_afrr_down*capacity_mult_D*stack_capacity*acceptance_rate)</f>
        <v/>
      </c>
      <c r="G74" s="42">
        <f>IF(C74="aFRR+",DAMAS_Daily!I74,DAMAS_Daily!J74)</f>
        <v/>
      </c>
      <c r="H74" s="43">
        <f>IF(C74="aFRR+",DAMAS_Daily!E74,DAMAS_Daily!F74)</f>
        <v/>
      </c>
      <c r="I74" s="43">
        <f>IF(C74="aFRR+",DAMAS_Daily!G74,DAMAS_Daily!H74)</f>
        <v/>
      </c>
      <c r="J74" s="45">
        <f>IF(C74="aFRR+",DAMAS_Daily!C74,DAMAS_Daily!D74)</f>
        <v/>
      </c>
      <c r="K74" s="45">
        <f>IF(C74="aFRR+",MIN(DAMAS_Daily!C74*market_share_D*acceptance_rate*stack_activation,power_mw*hours_per_day,capacity_mwh),MIN(DAMAS_Daily!D74*market_share_D*acceptance_rate*stack_activation,power_mw*hours_per_day,capacity_mwh))</f>
        <v/>
      </c>
      <c r="L74" s="42">
        <f>IF(K74&gt;=capacity_mwh-0.01,"yes","no")</f>
        <v/>
      </c>
      <c r="M74" s="28">
        <f>IF(C74="aFRR+",(MIN(DAMAS_Daily!C74*market_share_D*acceptance_rate*stack_activation,power_mw*hours_per_day,capacity_mwh))*DAMAS_Daily!E74*activation_mult_D,(MIN(DAMAS_Daily!D74*market_share_D*acceptance_rate*stack_activation,power_mw*hours_per_day,capacity_mwh))*DAMAS_Daily!F74*activation_mult_D)</f>
        <v/>
      </c>
      <c r="N74" s="29">
        <f>F74+M74</f>
        <v/>
      </c>
    </row>
    <row r="75">
      <c r="A75" s="41">
        <f>DAMAS_Daily!A75</f>
        <v/>
      </c>
      <c r="B75" s="42">
        <f>DAMAS_Daily!B75</f>
        <v/>
      </c>
      <c r="C75" s="42">
        <f>IF((power_mw*hours_per_day*damas_afrr_up*capacity_mult_D*stack_capacity*acceptance_rate+(MIN(DAMAS_Daily!C75*market_share_D*acceptance_rate*stack_activation,power_mw*hours_per_day,capacity_mwh))*DAMAS_Daily!E75*activation_mult_D)&gt;=(power_mw*hours_per_day*damas_afrr_down*capacity_mult_D*stack_capacity*acceptance_rate+(MIN(DAMAS_Daily!D75*market_share_D*acceptance_rate*stack_activation,power_mw*hours_per_day,capacity_mwh))*DAMAS_Daily!F75*activation_mult_D),"aFRR+","aFRR-")</f>
        <v/>
      </c>
      <c r="D75" s="43">
        <f>IF(C75="aFRR+",damas_afrr_up*capacity_mult_D,damas_afrr_down*capacity_mult_D)</f>
        <v/>
      </c>
      <c r="E75" s="44">
        <f>acceptance_rate</f>
        <v/>
      </c>
      <c r="F75" s="28">
        <f>IF(C75="aFRR+",power_mw*hours_per_day*damas_afrr_up*capacity_mult_D*stack_capacity*acceptance_rate,power_mw*hours_per_day*damas_afrr_down*capacity_mult_D*stack_capacity*acceptance_rate)</f>
        <v/>
      </c>
      <c r="G75" s="42">
        <f>IF(C75="aFRR+",DAMAS_Daily!I75,DAMAS_Daily!J75)</f>
        <v/>
      </c>
      <c r="H75" s="43">
        <f>IF(C75="aFRR+",DAMAS_Daily!E75,DAMAS_Daily!F75)</f>
        <v/>
      </c>
      <c r="I75" s="43">
        <f>IF(C75="aFRR+",DAMAS_Daily!G75,DAMAS_Daily!H75)</f>
        <v/>
      </c>
      <c r="J75" s="45">
        <f>IF(C75="aFRR+",DAMAS_Daily!C75,DAMAS_Daily!D75)</f>
        <v/>
      </c>
      <c r="K75" s="45">
        <f>IF(C75="aFRR+",MIN(DAMAS_Daily!C75*market_share_D*acceptance_rate*stack_activation,power_mw*hours_per_day,capacity_mwh),MIN(DAMAS_Daily!D75*market_share_D*acceptance_rate*stack_activation,power_mw*hours_per_day,capacity_mwh))</f>
        <v/>
      </c>
      <c r="L75" s="42">
        <f>IF(K75&gt;=capacity_mwh-0.01,"yes","no")</f>
        <v/>
      </c>
      <c r="M75" s="28">
        <f>IF(C75="aFRR+",(MIN(DAMAS_Daily!C75*market_share_D*acceptance_rate*stack_activation,power_mw*hours_per_day,capacity_mwh))*DAMAS_Daily!E75*activation_mult_D,(MIN(DAMAS_Daily!D75*market_share_D*acceptance_rate*stack_activation,power_mw*hours_per_day,capacity_mwh))*DAMAS_Daily!F75*activation_mult_D)</f>
        <v/>
      </c>
      <c r="N75" s="29">
        <f>F75+M75</f>
        <v/>
      </c>
    </row>
    <row r="76">
      <c r="A76" s="41">
        <f>DAMAS_Daily!A76</f>
        <v/>
      </c>
      <c r="B76" s="42">
        <f>DAMAS_Daily!B76</f>
        <v/>
      </c>
      <c r="C76" s="42">
        <f>IF((power_mw*hours_per_day*damas_afrr_up*capacity_mult_D*stack_capacity*acceptance_rate+(MIN(DAMAS_Daily!C76*market_share_D*acceptance_rate*stack_activation,power_mw*hours_per_day,capacity_mwh))*DAMAS_Daily!E76*activation_mult_D)&gt;=(power_mw*hours_per_day*damas_afrr_down*capacity_mult_D*stack_capacity*acceptance_rate+(MIN(DAMAS_Daily!D76*market_share_D*acceptance_rate*stack_activation,power_mw*hours_per_day,capacity_mwh))*DAMAS_Daily!F76*activation_mult_D),"aFRR+","aFRR-")</f>
        <v/>
      </c>
      <c r="D76" s="43">
        <f>IF(C76="aFRR+",damas_afrr_up*capacity_mult_D,damas_afrr_down*capacity_mult_D)</f>
        <v/>
      </c>
      <c r="E76" s="44">
        <f>acceptance_rate</f>
        <v/>
      </c>
      <c r="F76" s="28">
        <f>IF(C76="aFRR+",power_mw*hours_per_day*damas_afrr_up*capacity_mult_D*stack_capacity*acceptance_rate,power_mw*hours_per_day*damas_afrr_down*capacity_mult_D*stack_capacity*acceptance_rate)</f>
        <v/>
      </c>
      <c r="G76" s="42">
        <f>IF(C76="aFRR+",DAMAS_Daily!I76,DAMAS_Daily!J76)</f>
        <v/>
      </c>
      <c r="H76" s="43">
        <f>IF(C76="aFRR+",DAMAS_Daily!E76,DAMAS_Daily!F76)</f>
        <v/>
      </c>
      <c r="I76" s="43">
        <f>IF(C76="aFRR+",DAMAS_Daily!G76,DAMAS_Daily!H76)</f>
        <v/>
      </c>
      <c r="J76" s="45">
        <f>IF(C76="aFRR+",DAMAS_Daily!C76,DAMAS_Daily!D76)</f>
        <v/>
      </c>
      <c r="K76" s="45">
        <f>IF(C76="aFRR+",MIN(DAMAS_Daily!C76*market_share_D*acceptance_rate*stack_activation,power_mw*hours_per_day,capacity_mwh),MIN(DAMAS_Daily!D76*market_share_D*acceptance_rate*stack_activation,power_mw*hours_per_day,capacity_mwh))</f>
        <v/>
      </c>
      <c r="L76" s="42">
        <f>IF(K76&gt;=capacity_mwh-0.01,"yes","no")</f>
        <v/>
      </c>
      <c r="M76" s="28">
        <f>IF(C76="aFRR+",(MIN(DAMAS_Daily!C76*market_share_D*acceptance_rate*stack_activation,power_mw*hours_per_day,capacity_mwh))*DAMAS_Daily!E76*activation_mult_D,(MIN(DAMAS_Daily!D76*market_share_D*acceptance_rate*stack_activation,power_mw*hours_per_day,capacity_mwh))*DAMAS_Daily!F76*activation_mult_D)</f>
        <v/>
      </c>
      <c r="N76" s="29">
        <f>F76+M76</f>
        <v/>
      </c>
    </row>
    <row r="77">
      <c r="A77" s="41">
        <f>DAMAS_Daily!A77</f>
        <v/>
      </c>
      <c r="B77" s="42">
        <f>DAMAS_Daily!B77</f>
        <v/>
      </c>
      <c r="C77" s="42">
        <f>IF((power_mw*hours_per_day*damas_afrr_up*capacity_mult_D*stack_capacity*acceptance_rate+(MIN(DAMAS_Daily!C77*market_share_D*acceptance_rate*stack_activation,power_mw*hours_per_day,capacity_mwh))*DAMAS_Daily!E77*activation_mult_D)&gt;=(power_mw*hours_per_day*damas_afrr_down*capacity_mult_D*stack_capacity*acceptance_rate+(MIN(DAMAS_Daily!D77*market_share_D*acceptance_rate*stack_activation,power_mw*hours_per_day,capacity_mwh))*DAMAS_Daily!F77*activation_mult_D),"aFRR+","aFRR-")</f>
        <v/>
      </c>
      <c r="D77" s="43">
        <f>IF(C77="aFRR+",damas_afrr_up*capacity_mult_D,damas_afrr_down*capacity_mult_D)</f>
        <v/>
      </c>
      <c r="E77" s="44">
        <f>acceptance_rate</f>
        <v/>
      </c>
      <c r="F77" s="28">
        <f>IF(C77="aFRR+",power_mw*hours_per_day*damas_afrr_up*capacity_mult_D*stack_capacity*acceptance_rate,power_mw*hours_per_day*damas_afrr_down*capacity_mult_D*stack_capacity*acceptance_rate)</f>
        <v/>
      </c>
      <c r="G77" s="42">
        <f>IF(C77="aFRR+",DAMAS_Daily!I77,DAMAS_Daily!J77)</f>
        <v/>
      </c>
      <c r="H77" s="43">
        <f>IF(C77="aFRR+",DAMAS_Daily!E77,DAMAS_Daily!F77)</f>
        <v/>
      </c>
      <c r="I77" s="43">
        <f>IF(C77="aFRR+",DAMAS_Daily!G77,DAMAS_Daily!H77)</f>
        <v/>
      </c>
      <c r="J77" s="45">
        <f>IF(C77="aFRR+",DAMAS_Daily!C77,DAMAS_Daily!D77)</f>
        <v/>
      </c>
      <c r="K77" s="45">
        <f>IF(C77="aFRR+",MIN(DAMAS_Daily!C77*market_share_D*acceptance_rate*stack_activation,power_mw*hours_per_day,capacity_mwh),MIN(DAMAS_Daily!D77*market_share_D*acceptance_rate*stack_activation,power_mw*hours_per_day,capacity_mwh))</f>
        <v/>
      </c>
      <c r="L77" s="42">
        <f>IF(K77&gt;=capacity_mwh-0.01,"yes","no")</f>
        <v/>
      </c>
      <c r="M77" s="28">
        <f>IF(C77="aFRR+",(MIN(DAMAS_Daily!C77*market_share_D*acceptance_rate*stack_activation,power_mw*hours_per_day,capacity_mwh))*DAMAS_Daily!E77*activation_mult_D,(MIN(DAMAS_Daily!D77*market_share_D*acceptance_rate*stack_activation,power_mw*hours_per_day,capacity_mwh))*DAMAS_Daily!F77*activation_mult_D)</f>
        <v/>
      </c>
      <c r="N77" s="29">
        <f>F77+M77</f>
        <v/>
      </c>
    </row>
    <row r="78">
      <c r="A78" s="41">
        <f>DAMAS_Daily!A78</f>
        <v/>
      </c>
      <c r="B78" s="42">
        <f>DAMAS_Daily!B78</f>
        <v/>
      </c>
      <c r="C78" s="42">
        <f>IF((power_mw*hours_per_day*damas_afrr_up*capacity_mult_D*stack_capacity*acceptance_rate+(MIN(DAMAS_Daily!C78*market_share_D*acceptance_rate*stack_activation,power_mw*hours_per_day,capacity_mwh))*DAMAS_Daily!E78*activation_mult_D)&gt;=(power_mw*hours_per_day*damas_afrr_down*capacity_mult_D*stack_capacity*acceptance_rate+(MIN(DAMAS_Daily!D78*market_share_D*acceptance_rate*stack_activation,power_mw*hours_per_day,capacity_mwh))*DAMAS_Daily!F78*activation_mult_D),"aFRR+","aFRR-")</f>
        <v/>
      </c>
      <c r="D78" s="43">
        <f>IF(C78="aFRR+",damas_afrr_up*capacity_mult_D,damas_afrr_down*capacity_mult_D)</f>
        <v/>
      </c>
      <c r="E78" s="44">
        <f>acceptance_rate</f>
        <v/>
      </c>
      <c r="F78" s="28">
        <f>IF(C78="aFRR+",power_mw*hours_per_day*damas_afrr_up*capacity_mult_D*stack_capacity*acceptance_rate,power_mw*hours_per_day*damas_afrr_down*capacity_mult_D*stack_capacity*acceptance_rate)</f>
        <v/>
      </c>
      <c r="G78" s="42">
        <f>IF(C78="aFRR+",DAMAS_Daily!I78,DAMAS_Daily!J78)</f>
        <v/>
      </c>
      <c r="H78" s="43">
        <f>IF(C78="aFRR+",DAMAS_Daily!E78,DAMAS_Daily!F78)</f>
        <v/>
      </c>
      <c r="I78" s="43">
        <f>IF(C78="aFRR+",DAMAS_Daily!G78,DAMAS_Daily!H78)</f>
        <v/>
      </c>
      <c r="J78" s="45">
        <f>IF(C78="aFRR+",DAMAS_Daily!C78,DAMAS_Daily!D78)</f>
        <v/>
      </c>
      <c r="K78" s="45">
        <f>IF(C78="aFRR+",MIN(DAMAS_Daily!C78*market_share_D*acceptance_rate*stack_activation,power_mw*hours_per_day,capacity_mwh),MIN(DAMAS_Daily!D78*market_share_D*acceptance_rate*stack_activation,power_mw*hours_per_day,capacity_mwh))</f>
        <v/>
      </c>
      <c r="L78" s="42">
        <f>IF(K78&gt;=capacity_mwh-0.01,"yes","no")</f>
        <v/>
      </c>
      <c r="M78" s="28">
        <f>IF(C78="aFRR+",(MIN(DAMAS_Daily!C78*market_share_D*acceptance_rate*stack_activation,power_mw*hours_per_day,capacity_mwh))*DAMAS_Daily!E78*activation_mult_D,(MIN(DAMAS_Daily!D78*market_share_D*acceptance_rate*stack_activation,power_mw*hours_per_day,capacity_mwh))*DAMAS_Daily!F78*activation_mult_D)</f>
        <v/>
      </c>
      <c r="N78" s="29">
        <f>F78+M78</f>
        <v/>
      </c>
    </row>
    <row r="79">
      <c r="A79" s="41">
        <f>DAMAS_Daily!A79</f>
        <v/>
      </c>
      <c r="B79" s="42">
        <f>DAMAS_Daily!B79</f>
        <v/>
      </c>
      <c r="C79" s="42">
        <f>IF((power_mw*hours_per_day*damas_afrr_up*capacity_mult_D*stack_capacity*acceptance_rate+(MIN(DAMAS_Daily!C79*market_share_D*acceptance_rate*stack_activation,power_mw*hours_per_day,capacity_mwh))*DAMAS_Daily!E79*activation_mult_D)&gt;=(power_mw*hours_per_day*damas_afrr_down*capacity_mult_D*stack_capacity*acceptance_rate+(MIN(DAMAS_Daily!D79*market_share_D*acceptance_rate*stack_activation,power_mw*hours_per_day,capacity_mwh))*DAMAS_Daily!F79*activation_mult_D),"aFRR+","aFRR-")</f>
        <v/>
      </c>
      <c r="D79" s="43">
        <f>IF(C79="aFRR+",damas_afrr_up*capacity_mult_D,damas_afrr_down*capacity_mult_D)</f>
        <v/>
      </c>
      <c r="E79" s="44">
        <f>acceptance_rate</f>
        <v/>
      </c>
      <c r="F79" s="28">
        <f>IF(C79="aFRR+",power_mw*hours_per_day*damas_afrr_up*capacity_mult_D*stack_capacity*acceptance_rate,power_mw*hours_per_day*damas_afrr_down*capacity_mult_D*stack_capacity*acceptance_rate)</f>
        <v/>
      </c>
      <c r="G79" s="42">
        <f>IF(C79="aFRR+",DAMAS_Daily!I79,DAMAS_Daily!J79)</f>
        <v/>
      </c>
      <c r="H79" s="43">
        <f>IF(C79="aFRR+",DAMAS_Daily!E79,DAMAS_Daily!F79)</f>
        <v/>
      </c>
      <c r="I79" s="43">
        <f>IF(C79="aFRR+",DAMAS_Daily!G79,DAMAS_Daily!H79)</f>
        <v/>
      </c>
      <c r="J79" s="45">
        <f>IF(C79="aFRR+",DAMAS_Daily!C79,DAMAS_Daily!D79)</f>
        <v/>
      </c>
      <c r="K79" s="45">
        <f>IF(C79="aFRR+",MIN(DAMAS_Daily!C79*market_share_D*acceptance_rate*stack_activation,power_mw*hours_per_day,capacity_mwh),MIN(DAMAS_Daily!D79*market_share_D*acceptance_rate*stack_activation,power_mw*hours_per_day,capacity_mwh))</f>
        <v/>
      </c>
      <c r="L79" s="42">
        <f>IF(K79&gt;=capacity_mwh-0.01,"yes","no")</f>
        <v/>
      </c>
      <c r="M79" s="28">
        <f>IF(C79="aFRR+",(MIN(DAMAS_Daily!C79*market_share_D*acceptance_rate*stack_activation,power_mw*hours_per_day,capacity_mwh))*DAMAS_Daily!E79*activation_mult_D,(MIN(DAMAS_Daily!D79*market_share_D*acceptance_rate*stack_activation,power_mw*hours_per_day,capacity_mwh))*DAMAS_Daily!F79*activation_mult_D)</f>
        <v/>
      </c>
      <c r="N79" s="29">
        <f>F79+M79</f>
        <v/>
      </c>
    </row>
    <row r="80">
      <c r="A80" s="41">
        <f>DAMAS_Daily!A80</f>
        <v/>
      </c>
      <c r="B80" s="42">
        <f>DAMAS_Daily!B80</f>
        <v/>
      </c>
      <c r="C80" s="42">
        <f>IF((power_mw*hours_per_day*damas_afrr_up*capacity_mult_D*stack_capacity*acceptance_rate+(MIN(DAMAS_Daily!C80*market_share_D*acceptance_rate*stack_activation,power_mw*hours_per_day,capacity_mwh))*DAMAS_Daily!E80*activation_mult_D)&gt;=(power_mw*hours_per_day*damas_afrr_down*capacity_mult_D*stack_capacity*acceptance_rate+(MIN(DAMAS_Daily!D80*market_share_D*acceptance_rate*stack_activation,power_mw*hours_per_day,capacity_mwh))*DAMAS_Daily!F80*activation_mult_D),"aFRR+","aFRR-")</f>
        <v/>
      </c>
      <c r="D80" s="43">
        <f>IF(C80="aFRR+",damas_afrr_up*capacity_mult_D,damas_afrr_down*capacity_mult_D)</f>
        <v/>
      </c>
      <c r="E80" s="44">
        <f>acceptance_rate</f>
        <v/>
      </c>
      <c r="F80" s="28">
        <f>IF(C80="aFRR+",power_mw*hours_per_day*damas_afrr_up*capacity_mult_D*stack_capacity*acceptance_rate,power_mw*hours_per_day*damas_afrr_down*capacity_mult_D*stack_capacity*acceptance_rate)</f>
        <v/>
      </c>
      <c r="G80" s="42">
        <f>IF(C80="aFRR+",DAMAS_Daily!I80,DAMAS_Daily!J80)</f>
        <v/>
      </c>
      <c r="H80" s="43">
        <f>IF(C80="aFRR+",DAMAS_Daily!E80,DAMAS_Daily!F80)</f>
        <v/>
      </c>
      <c r="I80" s="43">
        <f>IF(C80="aFRR+",DAMAS_Daily!G80,DAMAS_Daily!H80)</f>
        <v/>
      </c>
      <c r="J80" s="45">
        <f>IF(C80="aFRR+",DAMAS_Daily!C80,DAMAS_Daily!D80)</f>
        <v/>
      </c>
      <c r="K80" s="45">
        <f>IF(C80="aFRR+",MIN(DAMAS_Daily!C80*market_share_D*acceptance_rate*stack_activation,power_mw*hours_per_day,capacity_mwh),MIN(DAMAS_Daily!D80*market_share_D*acceptance_rate*stack_activation,power_mw*hours_per_day,capacity_mwh))</f>
        <v/>
      </c>
      <c r="L80" s="42">
        <f>IF(K80&gt;=capacity_mwh-0.01,"yes","no")</f>
        <v/>
      </c>
      <c r="M80" s="28">
        <f>IF(C80="aFRR+",(MIN(DAMAS_Daily!C80*market_share_D*acceptance_rate*stack_activation,power_mw*hours_per_day,capacity_mwh))*DAMAS_Daily!E80*activation_mult_D,(MIN(DAMAS_Daily!D80*market_share_D*acceptance_rate*stack_activation,power_mw*hours_per_day,capacity_mwh))*DAMAS_Daily!F80*activation_mult_D)</f>
        <v/>
      </c>
      <c r="N80" s="29">
        <f>F80+M80</f>
        <v/>
      </c>
    </row>
    <row r="81">
      <c r="A81" s="41">
        <f>DAMAS_Daily!A81</f>
        <v/>
      </c>
      <c r="B81" s="42">
        <f>DAMAS_Daily!B81</f>
        <v/>
      </c>
      <c r="C81" s="42">
        <f>IF((power_mw*hours_per_day*damas_afrr_up*capacity_mult_D*stack_capacity*acceptance_rate+(MIN(DAMAS_Daily!C81*market_share_D*acceptance_rate*stack_activation,power_mw*hours_per_day,capacity_mwh))*DAMAS_Daily!E81*activation_mult_D)&gt;=(power_mw*hours_per_day*damas_afrr_down*capacity_mult_D*stack_capacity*acceptance_rate+(MIN(DAMAS_Daily!D81*market_share_D*acceptance_rate*stack_activation,power_mw*hours_per_day,capacity_mwh))*DAMAS_Daily!F81*activation_mult_D),"aFRR+","aFRR-")</f>
        <v/>
      </c>
      <c r="D81" s="43">
        <f>IF(C81="aFRR+",damas_afrr_up*capacity_mult_D,damas_afrr_down*capacity_mult_D)</f>
        <v/>
      </c>
      <c r="E81" s="44">
        <f>acceptance_rate</f>
        <v/>
      </c>
      <c r="F81" s="28">
        <f>IF(C81="aFRR+",power_mw*hours_per_day*damas_afrr_up*capacity_mult_D*stack_capacity*acceptance_rate,power_mw*hours_per_day*damas_afrr_down*capacity_mult_D*stack_capacity*acceptance_rate)</f>
        <v/>
      </c>
      <c r="G81" s="42">
        <f>IF(C81="aFRR+",DAMAS_Daily!I81,DAMAS_Daily!J81)</f>
        <v/>
      </c>
      <c r="H81" s="43">
        <f>IF(C81="aFRR+",DAMAS_Daily!E81,DAMAS_Daily!F81)</f>
        <v/>
      </c>
      <c r="I81" s="43">
        <f>IF(C81="aFRR+",DAMAS_Daily!G81,DAMAS_Daily!H81)</f>
        <v/>
      </c>
      <c r="J81" s="45">
        <f>IF(C81="aFRR+",DAMAS_Daily!C81,DAMAS_Daily!D81)</f>
        <v/>
      </c>
      <c r="K81" s="45">
        <f>IF(C81="aFRR+",MIN(DAMAS_Daily!C81*market_share_D*acceptance_rate*stack_activation,power_mw*hours_per_day,capacity_mwh),MIN(DAMAS_Daily!D81*market_share_D*acceptance_rate*stack_activation,power_mw*hours_per_day,capacity_mwh))</f>
        <v/>
      </c>
      <c r="L81" s="42">
        <f>IF(K81&gt;=capacity_mwh-0.01,"yes","no")</f>
        <v/>
      </c>
      <c r="M81" s="28">
        <f>IF(C81="aFRR+",(MIN(DAMAS_Daily!C81*market_share_D*acceptance_rate*stack_activation,power_mw*hours_per_day,capacity_mwh))*DAMAS_Daily!E81*activation_mult_D,(MIN(DAMAS_Daily!D81*market_share_D*acceptance_rate*stack_activation,power_mw*hours_per_day,capacity_mwh))*DAMAS_Daily!F81*activation_mult_D)</f>
        <v/>
      </c>
      <c r="N81" s="29">
        <f>F81+M81</f>
        <v/>
      </c>
    </row>
    <row r="82">
      <c r="A82" s="41">
        <f>DAMAS_Daily!A82</f>
        <v/>
      </c>
      <c r="B82" s="42">
        <f>DAMAS_Daily!B82</f>
        <v/>
      </c>
      <c r="C82" s="42">
        <f>IF((power_mw*hours_per_day*damas_afrr_up*capacity_mult_D*stack_capacity*acceptance_rate+(MIN(DAMAS_Daily!C82*market_share_D*acceptance_rate*stack_activation,power_mw*hours_per_day,capacity_mwh))*DAMAS_Daily!E82*activation_mult_D)&gt;=(power_mw*hours_per_day*damas_afrr_down*capacity_mult_D*stack_capacity*acceptance_rate+(MIN(DAMAS_Daily!D82*market_share_D*acceptance_rate*stack_activation,power_mw*hours_per_day,capacity_mwh))*DAMAS_Daily!F82*activation_mult_D),"aFRR+","aFRR-")</f>
        <v/>
      </c>
      <c r="D82" s="43">
        <f>IF(C82="aFRR+",damas_afrr_up*capacity_mult_D,damas_afrr_down*capacity_mult_D)</f>
        <v/>
      </c>
      <c r="E82" s="44">
        <f>acceptance_rate</f>
        <v/>
      </c>
      <c r="F82" s="28">
        <f>IF(C82="aFRR+",power_mw*hours_per_day*damas_afrr_up*capacity_mult_D*stack_capacity*acceptance_rate,power_mw*hours_per_day*damas_afrr_down*capacity_mult_D*stack_capacity*acceptance_rate)</f>
        <v/>
      </c>
      <c r="G82" s="42">
        <f>IF(C82="aFRR+",DAMAS_Daily!I82,DAMAS_Daily!J82)</f>
        <v/>
      </c>
      <c r="H82" s="43">
        <f>IF(C82="aFRR+",DAMAS_Daily!E82,DAMAS_Daily!F82)</f>
        <v/>
      </c>
      <c r="I82" s="43">
        <f>IF(C82="aFRR+",DAMAS_Daily!G82,DAMAS_Daily!H82)</f>
        <v/>
      </c>
      <c r="J82" s="45">
        <f>IF(C82="aFRR+",DAMAS_Daily!C82,DAMAS_Daily!D82)</f>
        <v/>
      </c>
      <c r="K82" s="45">
        <f>IF(C82="aFRR+",MIN(DAMAS_Daily!C82*market_share_D*acceptance_rate*stack_activation,power_mw*hours_per_day,capacity_mwh),MIN(DAMAS_Daily!D82*market_share_D*acceptance_rate*stack_activation,power_mw*hours_per_day,capacity_mwh))</f>
        <v/>
      </c>
      <c r="L82" s="42">
        <f>IF(K82&gt;=capacity_mwh-0.01,"yes","no")</f>
        <v/>
      </c>
      <c r="M82" s="28">
        <f>IF(C82="aFRR+",(MIN(DAMAS_Daily!C82*market_share_D*acceptance_rate*stack_activation,power_mw*hours_per_day,capacity_mwh))*DAMAS_Daily!E82*activation_mult_D,(MIN(DAMAS_Daily!D82*market_share_D*acceptance_rate*stack_activation,power_mw*hours_per_day,capacity_mwh))*DAMAS_Daily!F82*activation_mult_D)</f>
        <v/>
      </c>
      <c r="N82" s="29">
        <f>F82+M82</f>
        <v/>
      </c>
    </row>
    <row r="83">
      <c r="A83" s="41">
        <f>DAMAS_Daily!A83</f>
        <v/>
      </c>
      <c r="B83" s="42">
        <f>DAMAS_Daily!B83</f>
        <v/>
      </c>
      <c r="C83" s="42">
        <f>IF((power_mw*hours_per_day*damas_afrr_up*capacity_mult_D*stack_capacity*acceptance_rate+(MIN(DAMAS_Daily!C83*market_share_D*acceptance_rate*stack_activation,power_mw*hours_per_day,capacity_mwh))*DAMAS_Daily!E83*activation_mult_D)&gt;=(power_mw*hours_per_day*damas_afrr_down*capacity_mult_D*stack_capacity*acceptance_rate+(MIN(DAMAS_Daily!D83*market_share_D*acceptance_rate*stack_activation,power_mw*hours_per_day,capacity_mwh))*DAMAS_Daily!F83*activation_mult_D),"aFRR+","aFRR-")</f>
        <v/>
      </c>
      <c r="D83" s="43">
        <f>IF(C83="aFRR+",damas_afrr_up*capacity_mult_D,damas_afrr_down*capacity_mult_D)</f>
        <v/>
      </c>
      <c r="E83" s="44">
        <f>acceptance_rate</f>
        <v/>
      </c>
      <c r="F83" s="28">
        <f>IF(C83="aFRR+",power_mw*hours_per_day*damas_afrr_up*capacity_mult_D*stack_capacity*acceptance_rate,power_mw*hours_per_day*damas_afrr_down*capacity_mult_D*stack_capacity*acceptance_rate)</f>
        <v/>
      </c>
      <c r="G83" s="42">
        <f>IF(C83="aFRR+",DAMAS_Daily!I83,DAMAS_Daily!J83)</f>
        <v/>
      </c>
      <c r="H83" s="43">
        <f>IF(C83="aFRR+",DAMAS_Daily!E83,DAMAS_Daily!F83)</f>
        <v/>
      </c>
      <c r="I83" s="43">
        <f>IF(C83="aFRR+",DAMAS_Daily!G83,DAMAS_Daily!H83)</f>
        <v/>
      </c>
      <c r="J83" s="45">
        <f>IF(C83="aFRR+",DAMAS_Daily!C83,DAMAS_Daily!D83)</f>
        <v/>
      </c>
      <c r="K83" s="45">
        <f>IF(C83="aFRR+",MIN(DAMAS_Daily!C83*market_share_D*acceptance_rate*stack_activation,power_mw*hours_per_day,capacity_mwh),MIN(DAMAS_Daily!D83*market_share_D*acceptance_rate*stack_activation,power_mw*hours_per_day,capacity_mwh))</f>
        <v/>
      </c>
      <c r="L83" s="42">
        <f>IF(K83&gt;=capacity_mwh-0.01,"yes","no")</f>
        <v/>
      </c>
      <c r="M83" s="28">
        <f>IF(C83="aFRR+",(MIN(DAMAS_Daily!C83*market_share_D*acceptance_rate*stack_activation,power_mw*hours_per_day,capacity_mwh))*DAMAS_Daily!E83*activation_mult_D,(MIN(DAMAS_Daily!D83*market_share_D*acceptance_rate*stack_activation,power_mw*hours_per_day,capacity_mwh))*DAMAS_Daily!F83*activation_mult_D)</f>
        <v/>
      </c>
      <c r="N83" s="29">
        <f>F83+M83</f>
        <v/>
      </c>
    </row>
    <row r="84">
      <c r="A84" s="41">
        <f>DAMAS_Daily!A84</f>
        <v/>
      </c>
      <c r="B84" s="42">
        <f>DAMAS_Daily!B84</f>
        <v/>
      </c>
      <c r="C84" s="42">
        <f>IF((power_mw*hours_per_day*damas_afrr_up*capacity_mult_D*stack_capacity*acceptance_rate+(MIN(DAMAS_Daily!C84*market_share_D*acceptance_rate*stack_activation,power_mw*hours_per_day,capacity_mwh))*DAMAS_Daily!E84*activation_mult_D)&gt;=(power_mw*hours_per_day*damas_afrr_down*capacity_mult_D*stack_capacity*acceptance_rate+(MIN(DAMAS_Daily!D84*market_share_D*acceptance_rate*stack_activation,power_mw*hours_per_day,capacity_mwh))*DAMAS_Daily!F84*activation_mult_D),"aFRR+","aFRR-")</f>
        <v/>
      </c>
      <c r="D84" s="43">
        <f>IF(C84="aFRR+",damas_afrr_up*capacity_mult_D,damas_afrr_down*capacity_mult_D)</f>
        <v/>
      </c>
      <c r="E84" s="44">
        <f>acceptance_rate</f>
        <v/>
      </c>
      <c r="F84" s="28">
        <f>IF(C84="aFRR+",power_mw*hours_per_day*damas_afrr_up*capacity_mult_D*stack_capacity*acceptance_rate,power_mw*hours_per_day*damas_afrr_down*capacity_mult_D*stack_capacity*acceptance_rate)</f>
        <v/>
      </c>
      <c r="G84" s="42">
        <f>IF(C84="aFRR+",DAMAS_Daily!I84,DAMAS_Daily!J84)</f>
        <v/>
      </c>
      <c r="H84" s="43">
        <f>IF(C84="aFRR+",DAMAS_Daily!E84,DAMAS_Daily!F84)</f>
        <v/>
      </c>
      <c r="I84" s="43">
        <f>IF(C84="aFRR+",DAMAS_Daily!G84,DAMAS_Daily!H84)</f>
        <v/>
      </c>
      <c r="J84" s="45">
        <f>IF(C84="aFRR+",DAMAS_Daily!C84,DAMAS_Daily!D84)</f>
        <v/>
      </c>
      <c r="K84" s="45">
        <f>IF(C84="aFRR+",MIN(DAMAS_Daily!C84*market_share_D*acceptance_rate*stack_activation,power_mw*hours_per_day,capacity_mwh),MIN(DAMAS_Daily!D84*market_share_D*acceptance_rate*stack_activation,power_mw*hours_per_day,capacity_mwh))</f>
        <v/>
      </c>
      <c r="L84" s="42">
        <f>IF(K84&gt;=capacity_mwh-0.01,"yes","no")</f>
        <v/>
      </c>
      <c r="M84" s="28">
        <f>IF(C84="aFRR+",(MIN(DAMAS_Daily!C84*market_share_D*acceptance_rate*stack_activation,power_mw*hours_per_day,capacity_mwh))*DAMAS_Daily!E84*activation_mult_D,(MIN(DAMAS_Daily!D84*market_share_D*acceptance_rate*stack_activation,power_mw*hours_per_day,capacity_mwh))*DAMAS_Daily!F84*activation_mult_D)</f>
        <v/>
      </c>
      <c r="N84" s="29">
        <f>F84+M84</f>
        <v/>
      </c>
    </row>
    <row r="85">
      <c r="A85" s="41">
        <f>DAMAS_Daily!A85</f>
        <v/>
      </c>
      <c r="B85" s="42">
        <f>DAMAS_Daily!B85</f>
        <v/>
      </c>
      <c r="C85" s="42">
        <f>IF((power_mw*hours_per_day*damas_afrr_up*capacity_mult_D*stack_capacity*acceptance_rate+(MIN(DAMAS_Daily!C85*market_share_D*acceptance_rate*stack_activation,power_mw*hours_per_day,capacity_mwh))*DAMAS_Daily!E85*activation_mult_D)&gt;=(power_mw*hours_per_day*damas_afrr_down*capacity_mult_D*stack_capacity*acceptance_rate+(MIN(DAMAS_Daily!D85*market_share_D*acceptance_rate*stack_activation,power_mw*hours_per_day,capacity_mwh))*DAMAS_Daily!F85*activation_mult_D),"aFRR+","aFRR-")</f>
        <v/>
      </c>
      <c r="D85" s="43">
        <f>IF(C85="aFRR+",damas_afrr_up*capacity_mult_D,damas_afrr_down*capacity_mult_D)</f>
        <v/>
      </c>
      <c r="E85" s="44">
        <f>acceptance_rate</f>
        <v/>
      </c>
      <c r="F85" s="28">
        <f>IF(C85="aFRR+",power_mw*hours_per_day*damas_afrr_up*capacity_mult_D*stack_capacity*acceptance_rate,power_mw*hours_per_day*damas_afrr_down*capacity_mult_D*stack_capacity*acceptance_rate)</f>
        <v/>
      </c>
      <c r="G85" s="42">
        <f>IF(C85="aFRR+",DAMAS_Daily!I85,DAMAS_Daily!J85)</f>
        <v/>
      </c>
      <c r="H85" s="43">
        <f>IF(C85="aFRR+",DAMAS_Daily!E85,DAMAS_Daily!F85)</f>
        <v/>
      </c>
      <c r="I85" s="43">
        <f>IF(C85="aFRR+",DAMAS_Daily!G85,DAMAS_Daily!H85)</f>
        <v/>
      </c>
      <c r="J85" s="45">
        <f>IF(C85="aFRR+",DAMAS_Daily!C85,DAMAS_Daily!D85)</f>
        <v/>
      </c>
      <c r="K85" s="45">
        <f>IF(C85="aFRR+",MIN(DAMAS_Daily!C85*market_share_D*acceptance_rate*stack_activation,power_mw*hours_per_day,capacity_mwh),MIN(DAMAS_Daily!D85*market_share_D*acceptance_rate*stack_activation,power_mw*hours_per_day,capacity_mwh))</f>
        <v/>
      </c>
      <c r="L85" s="42">
        <f>IF(K85&gt;=capacity_mwh-0.01,"yes","no")</f>
        <v/>
      </c>
      <c r="M85" s="28">
        <f>IF(C85="aFRR+",(MIN(DAMAS_Daily!C85*market_share_D*acceptance_rate*stack_activation,power_mw*hours_per_day,capacity_mwh))*DAMAS_Daily!E85*activation_mult_D,(MIN(DAMAS_Daily!D85*market_share_D*acceptance_rate*stack_activation,power_mw*hours_per_day,capacity_mwh))*DAMAS_Daily!F85*activation_mult_D)</f>
        <v/>
      </c>
      <c r="N85" s="29">
        <f>F85+M85</f>
        <v/>
      </c>
    </row>
    <row r="86">
      <c r="A86" s="41">
        <f>DAMAS_Daily!A86</f>
        <v/>
      </c>
      <c r="B86" s="42">
        <f>DAMAS_Daily!B86</f>
        <v/>
      </c>
      <c r="C86" s="42">
        <f>IF((power_mw*hours_per_day*damas_afrr_up*capacity_mult_D*stack_capacity*acceptance_rate+(MIN(DAMAS_Daily!C86*market_share_D*acceptance_rate*stack_activation,power_mw*hours_per_day,capacity_mwh))*DAMAS_Daily!E86*activation_mult_D)&gt;=(power_mw*hours_per_day*damas_afrr_down*capacity_mult_D*stack_capacity*acceptance_rate+(MIN(DAMAS_Daily!D86*market_share_D*acceptance_rate*stack_activation,power_mw*hours_per_day,capacity_mwh))*DAMAS_Daily!F86*activation_mult_D),"aFRR+","aFRR-")</f>
        <v/>
      </c>
      <c r="D86" s="43">
        <f>IF(C86="aFRR+",damas_afrr_up*capacity_mult_D,damas_afrr_down*capacity_mult_D)</f>
        <v/>
      </c>
      <c r="E86" s="44">
        <f>acceptance_rate</f>
        <v/>
      </c>
      <c r="F86" s="28">
        <f>IF(C86="aFRR+",power_mw*hours_per_day*damas_afrr_up*capacity_mult_D*stack_capacity*acceptance_rate,power_mw*hours_per_day*damas_afrr_down*capacity_mult_D*stack_capacity*acceptance_rate)</f>
        <v/>
      </c>
      <c r="G86" s="42">
        <f>IF(C86="aFRR+",DAMAS_Daily!I86,DAMAS_Daily!J86)</f>
        <v/>
      </c>
      <c r="H86" s="43">
        <f>IF(C86="aFRR+",DAMAS_Daily!E86,DAMAS_Daily!F86)</f>
        <v/>
      </c>
      <c r="I86" s="43">
        <f>IF(C86="aFRR+",DAMAS_Daily!G86,DAMAS_Daily!H86)</f>
        <v/>
      </c>
      <c r="J86" s="45">
        <f>IF(C86="aFRR+",DAMAS_Daily!C86,DAMAS_Daily!D86)</f>
        <v/>
      </c>
      <c r="K86" s="45">
        <f>IF(C86="aFRR+",MIN(DAMAS_Daily!C86*market_share_D*acceptance_rate*stack_activation,power_mw*hours_per_day,capacity_mwh),MIN(DAMAS_Daily!D86*market_share_D*acceptance_rate*stack_activation,power_mw*hours_per_day,capacity_mwh))</f>
        <v/>
      </c>
      <c r="L86" s="42">
        <f>IF(K86&gt;=capacity_mwh-0.01,"yes","no")</f>
        <v/>
      </c>
      <c r="M86" s="28">
        <f>IF(C86="aFRR+",(MIN(DAMAS_Daily!C86*market_share_D*acceptance_rate*stack_activation,power_mw*hours_per_day,capacity_mwh))*DAMAS_Daily!E86*activation_mult_D,(MIN(DAMAS_Daily!D86*market_share_D*acceptance_rate*stack_activation,power_mw*hours_per_day,capacity_mwh))*DAMAS_Daily!F86*activation_mult_D)</f>
        <v/>
      </c>
      <c r="N86" s="29">
        <f>F86+M86</f>
        <v/>
      </c>
    </row>
    <row r="87">
      <c r="A87" s="41">
        <f>DAMAS_Daily!A87</f>
        <v/>
      </c>
      <c r="B87" s="42">
        <f>DAMAS_Daily!B87</f>
        <v/>
      </c>
      <c r="C87" s="42">
        <f>IF((power_mw*hours_per_day*damas_afrr_up*capacity_mult_D*stack_capacity*acceptance_rate+(MIN(DAMAS_Daily!C87*market_share_D*acceptance_rate*stack_activation,power_mw*hours_per_day,capacity_mwh))*DAMAS_Daily!E87*activation_mult_D)&gt;=(power_mw*hours_per_day*damas_afrr_down*capacity_mult_D*stack_capacity*acceptance_rate+(MIN(DAMAS_Daily!D87*market_share_D*acceptance_rate*stack_activation,power_mw*hours_per_day,capacity_mwh))*DAMAS_Daily!F87*activation_mult_D),"aFRR+","aFRR-")</f>
        <v/>
      </c>
      <c r="D87" s="43">
        <f>IF(C87="aFRR+",damas_afrr_up*capacity_mult_D,damas_afrr_down*capacity_mult_D)</f>
        <v/>
      </c>
      <c r="E87" s="44">
        <f>acceptance_rate</f>
        <v/>
      </c>
      <c r="F87" s="28">
        <f>IF(C87="aFRR+",power_mw*hours_per_day*damas_afrr_up*capacity_mult_D*stack_capacity*acceptance_rate,power_mw*hours_per_day*damas_afrr_down*capacity_mult_D*stack_capacity*acceptance_rate)</f>
        <v/>
      </c>
      <c r="G87" s="42">
        <f>IF(C87="aFRR+",DAMAS_Daily!I87,DAMAS_Daily!J87)</f>
        <v/>
      </c>
      <c r="H87" s="43">
        <f>IF(C87="aFRR+",DAMAS_Daily!E87,DAMAS_Daily!F87)</f>
        <v/>
      </c>
      <c r="I87" s="43">
        <f>IF(C87="aFRR+",DAMAS_Daily!G87,DAMAS_Daily!H87)</f>
        <v/>
      </c>
      <c r="J87" s="45">
        <f>IF(C87="aFRR+",DAMAS_Daily!C87,DAMAS_Daily!D87)</f>
        <v/>
      </c>
      <c r="K87" s="45">
        <f>IF(C87="aFRR+",MIN(DAMAS_Daily!C87*market_share_D*acceptance_rate*stack_activation,power_mw*hours_per_day,capacity_mwh),MIN(DAMAS_Daily!D87*market_share_D*acceptance_rate*stack_activation,power_mw*hours_per_day,capacity_mwh))</f>
        <v/>
      </c>
      <c r="L87" s="42">
        <f>IF(K87&gt;=capacity_mwh-0.01,"yes","no")</f>
        <v/>
      </c>
      <c r="M87" s="28">
        <f>IF(C87="aFRR+",(MIN(DAMAS_Daily!C87*market_share_D*acceptance_rate*stack_activation,power_mw*hours_per_day,capacity_mwh))*DAMAS_Daily!E87*activation_mult_D,(MIN(DAMAS_Daily!D87*market_share_D*acceptance_rate*stack_activation,power_mw*hours_per_day,capacity_mwh))*DAMAS_Daily!F87*activation_mult_D)</f>
        <v/>
      </c>
      <c r="N87" s="29">
        <f>F87+M87</f>
        <v/>
      </c>
    </row>
    <row r="88">
      <c r="A88" s="41">
        <f>DAMAS_Daily!A88</f>
        <v/>
      </c>
      <c r="B88" s="42">
        <f>DAMAS_Daily!B88</f>
        <v/>
      </c>
      <c r="C88" s="42">
        <f>IF((power_mw*hours_per_day*damas_afrr_up*capacity_mult_D*stack_capacity*acceptance_rate+(MIN(DAMAS_Daily!C88*market_share_D*acceptance_rate*stack_activation,power_mw*hours_per_day,capacity_mwh))*DAMAS_Daily!E88*activation_mult_D)&gt;=(power_mw*hours_per_day*damas_afrr_down*capacity_mult_D*stack_capacity*acceptance_rate+(MIN(DAMAS_Daily!D88*market_share_D*acceptance_rate*stack_activation,power_mw*hours_per_day,capacity_mwh))*DAMAS_Daily!F88*activation_mult_D),"aFRR+","aFRR-")</f>
        <v/>
      </c>
      <c r="D88" s="43">
        <f>IF(C88="aFRR+",damas_afrr_up*capacity_mult_D,damas_afrr_down*capacity_mult_D)</f>
        <v/>
      </c>
      <c r="E88" s="44">
        <f>acceptance_rate</f>
        <v/>
      </c>
      <c r="F88" s="28">
        <f>IF(C88="aFRR+",power_mw*hours_per_day*damas_afrr_up*capacity_mult_D*stack_capacity*acceptance_rate,power_mw*hours_per_day*damas_afrr_down*capacity_mult_D*stack_capacity*acceptance_rate)</f>
        <v/>
      </c>
      <c r="G88" s="42">
        <f>IF(C88="aFRR+",DAMAS_Daily!I88,DAMAS_Daily!J88)</f>
        <v/>
      </c>
      <c r="H88" s="43">
        <f>IF(C88="aFRR+",DAMAS_Daily!E88,DAMAS_Daily!F88)</f>
        <v/>
      </c>
      <c r="I88" s="43">
        <f>IF(C88="aFRR+",DAMAS_Daily!G88,DAMAS_Daily!H88)</f>
        <v/>
      </c>
      <c r="J88" s="45">
        <f>IF(C88="aFRR+",DAMAS_Daily!C88,DAMAS_Daily!D88)</f>
        <v/>
      </c>
      <c r="K88" s="45">
        <f>IF(C88="aFRR+",MIN(DAMAS_Daily!C88*market_share_D*acceptance_rate*stack_activation,power_mw*hours_per_day,capacity_mwh),MIN(DAMAS_Daily!D88*market_share_D*acceptance_rate*stack_activation,power_mw*hours_per_day,capacity_mwh))</f>
        <v/>
      </c>
      <c r="L88" s="42">
        <f>IF(K88&gt;=capacity_mwh-0.01,"yes","no")</f>
        <v/>
      </c>
      <c r="M88" s="28">
        <f>IF(C88="aFRR+",(MIN(DAMAS_Daily!C88*market_share_D*acceptance_rate*stack_activation,power_mw*hours_per_day,capacity_mwh))*DAMAS_Daily!E88*activation_mult_D,(MIN(DAMAS_Daily!D88*market_share_D*acceptance_rate*stack_activation,power_mw*hours_per_day,capacity_mwh))*DAMAS_Daily!F88*activation_mult_D)</f>
        <v/>
      </c>
      <c r="N88" s="29">
        <f>F88+M88</f>
        <v/>
      </c>
    </row>
    <row r="89">
      <c r="A89" s="41">
        <f>DAMAS_Daily!A89</f>
        <v/>
      </c>
      <c r="B89" s="42">
        <f>DAMAS_Daily!B89</f>
        <v/>
      </c>
      <c r="C89" s="42">
        <f>IF((power_mw*hours_per_day*damas_afrr_up*capacity_mult_D*stack_capacity*acceptance_rate+(MIN(DAMAS_Daily!C89*market_share_D*acceptance_rate*stack_activation,power_mw*hours_per_day,capacity_mwh))*DAMAS_Daily!E89*activation_mult_D)&gt;=(power_mw*hours_per_day*damas_afrr_down*capacity_mult_D*stack_capacity*acceptance_rate+(MIN(DAMAS_Daily!D89*market_share_D*acceptance_rate*stack_activation,power_mw*hours_per_day,capacity_mwh))*DAMAS_Daily!F89*activation_mult_D),"aFRR+","aFRR-")</f>
        <v/>
      </c>
      <c r="D89" s="43">
        <f>IF(C89="aFRR+",damas_afrr_up*capacity_mult_D,damas_afrr_down*capacity_mult_D)</f>
        <v/>
      </c>
      <c r="E89" s="44">
        <f>acceptance_rate</f>
        <v/>
      </c>
      <c r="F89" s="28">
        <f>IF(C89="aFRR+",power_mw*hours_per_day*damas_afrr_up*capacity_mult_D*stack_capacity*acceptance_rate,power_mw*hours_per_day*damas_afrr_down*capacity_mult_D*stack_capacity*acceptance_rate)</f>
        <v/>
      </c>
      <c r="G89" s="42">
        <f>IF(C89="aFRR+",DAMAS_Daily!I89,DAMAS_Daily!J89)</f>
        <v/>
      </c>
      <c r="H89" s="43">
        <f>IF(C89="aFRR+",DAMAS_Daily!E89,DAMAS_Daily!F89)</f>
        <v/>
      </c>
      <c r="I89" s="43">
        <f>IF(C89="aFRR+",DAMAS_Daily!G89,DAMAS_Daily!H89)</f>
        <v/>
      </c>
      <c r="J89" s="45">
        <f>IF(C89="aFRR+",DAMAS_Daily!C89,DAMAS_Daily!D89)</f>
        <v/>
      </c>
      <c r="K89" s="45">
        <f>IF(C89="aFRR+",MIN(DAMAS_Daily!C89*market_share_D*acceptance_rate*stack_activation,power_mw*hours_per_day,capacity_mwh),MIN(DAMAS_Daily!D89*market_share_D*acceptance_rate*stack_activation,power_mw*hours_per_day,capacity_mwh))</f>
        <v/>
      </c>
      <c r="L89" s="42">
        <f>IF(K89&gt;=capacity_mwh-0.01,"yes","no")</f>
        <v/>
      </c>
      <c r="M89" s="28">
        <f>IF(C89="aFRR+",(MIN(DAMAS_Daily!C89*market_share_D*acceptance_rate*stack_activation,power_mw*hours_per_day,capacity_mwh))*DAMAS_Daily!E89*activation_mult_D,(MIN(DAMAS_Daily!D89*market_share_D*acceptance_rate*stack_activation,power_mw*hours_per_day,capacity_mwh))*DAMAS_Daily!F89*activation_mult_D)</f>
        <v/>
      </c>
      <c r="N89" s="29">
        <f>F89+M89</f>
        <v/>
      </c>
    </row>
    <row r="90">
      <c r="A90" s="41">
        <f>DAMAS_Daily!A90</f>
        <v/>
      </c>
      <c r="B90" s="42">
        <f>DAMAS_Daily!B90</f>
        <v/>
      </c>
      <c r="C90" s="42">
        <f>IF((power_mw*hours_per_day*damas_afrr_up*capacity_mult_D*stack_capacity*acceptance_rate+(MIN(DAMAS_Daily!C90*market_share_D*acceptance_rate*stack_activation,power_mw*hours_per_day,capacity_mwh))*DAMAS_Daily!E90*activation_mult_D)&gt;=(power_mw*hours_per_day*damas_afrr_down*capacity_mult_D*stack_capacity*acceptance_rate+(MIN(DAMAS_Daily!D90*market_share_D*acceptance_rate*stack_activation,power_mw*hours_per_day,capacity_mwh))*DAMAS_Daily!F90*activation_mult_D),"aFRR+","aFRR-")</f>
        <v/>
      </c>
      <c r="D90" s="43">
        <f>IF(C90="aFRR+",damas_afrr_up*capacity_mult_D,damas_afrr_down*capacity_mult_D)</f>
        <v/>
      </c>
      <c r="E90" s="44">
        <f>acceptance_rate</f>
        <v/>
      </c>
      <c r="F90" s="28">
        <f>IF(C90="aFRR+",power_mw*hours_per_day*damas_afrr_up*capacity_mult_D*stack_capacity*acceptance_rate,power_mw*hours_per_day*damas_afrr_down*capacity_mult_D*stack_capacity*acceptance_rate)</f>
        <v/>
      </c>
      <c r="G90" s="42">
        <f>IF(C90="aFRR+",DAMAS_Daily!I90,DAMAS_Daily!J90)</f>
        <v/>
      </c>
      <c r="H90" s="43">
        <f>IF(C90="aFRR+",DAMAS_Daily!E90,DAMAS_Daily!F90)</f>
        <v/>
      </c>
      <c r="I90" s="43">
        <f>IF(C90="aFRR+",DAMAS_Daily!G90,DAMAS_Daily!H90)</f>
        <v/>
      </c>
      <c r="J90" s="45">
        <f>IF(C90="aFRR+",DAMAS_Daily!C90,DAMAS_Daily!D90)</f>
        <v/>
      </c>
      <c r="K90" s="45">
        <f>IF(C90="aFRR+",MIN(DAMAS_Daily!C90*market_share_D*acceptance_rate*stack_activation,power_mw*hours_per_day,capacity_mwh),MIN(DAMAS_Daily!D90*market_share_D*acceptance_rate*stack_activation,power_mw*hours_per_day,capacity_mwh))</f>
        <v/>
      </c>
      <c r="L90" s="42">
        <f>IF(K90&gt;=capacity_mwh-0.01,"yes","no")</f>
        <v/>
      </c>
      <c r="M90" s="28">
        <f>IF(C90="aFRR+",(MIN(DAMAS_Daily!C90*market_share_D*acceptance_rate*stack_activation,power_mw*hours_per_day,capacity_mwh))*DAMAS_Daily!E90*activation_mult_D,(MIN(DAMAS_Daily!D90*market_share_D*acceptance_rate*stack_activation,power_mw*hours_per_day,capacity_mwh))*DAMAS_Daily!F90*activation_mult_D)</f>
        <v/>
      </c>
      <c r="N90" s="29">
        <f>F90+M90</f>
        <v/>
      </c>
    </row>
    <row r="91">
      <c r="A91" s="41">
        <f>DAMAS_Daily!A91</f>
        <v/>
      </c>
      <c r="B91" s="42">
        <f>DAMAS_Daily!B91</f>
        <v/>
      </c>
      <c r="C91" s="42">
        <f>IF((power_mw*hours_per_day*damas_afrr_up*capacity_mult_D*stack_capacity*acceptance_rate+(MIN(DAMAS_Daily!C91*market_share_D*acceptance_rate*stack_activation,power_mw*hours_per_day,capacity_mwh))*DAMAS_Daily!E91*activation_mult_D)&gt;=(power_mw*hours_per_day*damas_afrr_down*capacity_mult_D*stack_capacity*acceptance_rate+(MIN(DAMAS_Daily!D91*market_share_D*acceptance_rate*stack_activation,power_mw*hours_per_day,capacity_mwh))*DAMAS_Daily!F91*activation_mult_D),"aFRR+","aFRR-")</f>
        <v/>
      </c>
      <c r="D91" s="43">
        <f>IF(C91="aFRR+",damas_afrr_up*capacity_mult_D,damas_afrr_down*capacity_mult_D)</f>
        <v/>
      </c>
      <c r="E91" s="44">
        <f>acceptance_rate</f>
        <v/>
      </c>
      <c r="F91" s="28">
        <f>IF(C91="aFRR+",power_mw*hours_per_day*damas_afrr_up*capacity_mult_D*stack_capacity*acceptance_rate,power_mw*hours_per_day*damas_afrr_down*capacity_mult_D*stack_capacity*acceptance_rate)</f>
        <v/>
      </c>
      <c r="G91" s="42">
        <f>IF(C91="aFRR+",DAMAS_Daily!I91,DAMAS_Daily!J91)</f>
        <v/>
      </c>
      <c r="H91" s="43">
        <f>IF(C91="aFRR+",DAMAS_Daily!E91,DAMAS_Daily!F91)</f>
        <v/>
      </c>
      <c r="I91" s="43">
        <f>IF(C91="aFRR+",DAMAS_Daily!G91,DAMAS_Daily!H91)</f>
        <v/>
      </c>
      <c r="J91" s="45">
        <f>IF(C91="aFRR+",DAMAS_Daily!C91,DAMAS_Daily!D91)</f>
        <v/>
      </c>
      <c r="K91" s="45">
        <f>IF(C91="aFRR+",MIN(DAMAS_Daily!C91*market_share_D*acceptance_rate*stack_activation,power_mw*hours_per_day,capacity_mwh),MIN(DAMAS_Daily!D91*market_share_D*acceptance_rate*stack_activation,power_mw*hours_per_day,capacity_mwh))</f>
        <v/>
      </c>
      <c r="L91" s="42">
        <f>IF(K91&gt;=capacity_mwh-0.01,"yes","no")</f>
        <v/>
      </c>
      <c r="M91" s="28">
        <f>IF(C91="aFRR+",(MIN(DAMAS_Daily!C91*market_share_D*acceptance_rate*stack_activation,power_mw*hours_per_day,capacity_mwh))*DAMAS_Daily!E91*activation_mult_D,(MIN(DAMAS_Daily!D91*market_share_D*acceptance_rate*stack_activation,power_mw*hours_per_day,capacity_mwh))*DAMAS_Daily!F91*activation_mult_D)</f>
        <v/>
      </c>
      <c r="N91" s="29">
        <f>F91+M91</f>
        <v/>
      </c>
    </row>
    <row r="92">
      <c r="A92" s="41">
        <f>DAMAS_Daily!A92</f>
        <v/>
      </c>
      <c r="B92" s="42">
        <f>DAMAS_Daily!B92</f>
        <v/>
      </c>
      <c r="C92" s="42">
        <f>IF((power_mw*hours_per_day*damas_afrr_up*capacity_mult_D*stack_capacity*acceptance_rate+(MIN(DAMAS_Daily!C92*market_share_D*acceptance_rate*stack_activation,power_mw*hours_per_day,capacity_mwh))*DAMAS_Daily!E92*activation_mult_D)&gt;=(power_mw*hours_per_day*damas_afrr_down*capacity_mult_D*stack_capacity*acceptance_rate+(MIN(DAMAS_Daily!D92*market_share_D*acceptance_rate*stack_activation,power_mw*hours_per_day,capacity_mwh))*DAMAS_Daily!F92*activation_mult_D),"aFRR+","aFRR-")</f>
        <v/>
      </c>
      <c r="D92" s="43">
        <f>IF(C92="aFRR+",damas_afrr_up*capacity_mult_D,damas_afrr_down*capacity_mult_D)</f>
        <v/>
      </c>
      <c r="E92" s="44">
        <f>acceptance_rate</f>
        <v/>
      </c>
      <c r="F92" s="28">
        <f>IF(C92="aFRR+",power_mw*hours_per_day*damas_afrr_up*capacity_mult_D*stack_capacity*acceptance_rate,power_mw*hours_per_day*damas_afrr_down*capacity_mult_D*stack_capacity*acceptance_rate)</f>
        <v/>
      </c>
      <c r="G92" s="42">
        <f>IF(C92="aFRR+",DAMAS_Daily!I92,DAMAS_Daily!J92)</f>
        <v/>
      </c>
      <c r="H92" s="43">
        <f>IF(C92="aFRR+",DAMAS_Daily!E92,DAMAS_Daily!F92)</f>
        <v/>
      </c>
      <c r="I92" s="43">
        <f>IF(C92="aFRR+",DAMAS_Daily!G92,DAMAS_Daily!H92)</f>
        <v/>
      </c>
      <c r="J92" s="45">
        <f>IF(C92="aFRR+",DAMAS_Daily!C92,DAMAS_Daily!D92)</f>
        <v/>
      </c>
      <c r="K92" s="45">
        <f>IF(C92="aFRR+",MIN(DAMAS_Daily!C92*market_share_D*acceptance_rate*stack_activation,power_mw*hours_per_day,capacity_mwh),MIN(DAMAS_Daily!D92*market_share_D*acceptance_rate*stack_activation,power_mw*hours_per_day,capacity_mwh))</f>
        <v/>
      </c>
      <c r="L92" s="42">
        <f>IF(K92&gt;=capacity_mwh-0.01,"yes","no")</f>
        <v/>
      </c>
      <c r="M92" s="28">
        <f>IF(C92="aFRR+",(MIN(DAMAS_Daily!C92*market_share_D*acceptance_rate*stack_activation,power_mw*hours_per_day,capacity_mwh))*DAMAS_Daily!E92*activation_mult_D,(MIN(DAMAS_Daily!D92*market_share_D*acceptance_rate*stack_activation,power_mw*hours_per_day,capacity_mwh))*DAMAS_Daily!F92*activation_mult_D)</f>
        <v/>
      </c>
      <c r="N92" s="29">
        <f>F92+M92</f>
        <v/>
      </c>
    </row>
    <row r="93">
      <c r="A93" s="41">
        <f>DAMAS_Daily!A93</f>
        <v/>
      </c>
      <c r="B93" s="42">
        <f>DAMAS_Daily!B93</f>
        <v/>
      </c>
      <c r="C93" s="42">
        <f>IF((power_mw*hours_per_day*damas_afrr_up*capacity_mult_D*stack_capacity*acceptance_rate+(MIN(DAMAS_Daily!C93*market_share_D*acceptance_rate*stack_activation,power_mw*hours_per_day,capacity_mwh))*DAMAS_Daily!E93*activation_mult_D)&gt;=(power_mw*hours_per_day*damas_afrr_down*capacity_mult_D*stack_capacity*acceptance_rate+(MIN(DAMAS_Daily!D93*market_share_D*acceptance_rate*stack_activation,power_mw*hours_per_day,capacity_mwh))*DAMAS_Daily!F93*activation_mult_D),"aFRR+","aFRR-")</f>
        <v/>
      </c>
      <c r="D93" s="43">
        <f>IF(C93="aFRR+",damas_afrr_up*capacity_mult_D,damas_afrr_down*capacity_mult_D)</f>
        <v/>
      </c>
      <c r="E93" s="44">
        <f>acceptance_rate</f>
        <v/>
      </c>
      <c r="F93" s="28">
        <f>IF(C93="aFRR+",power_mw*hours_per_day*damas_afrr_up*capacity_mult_D*stack_capacity*acceptance_rate,power_mw*hours_per_day*damas_afrr_down*capacity_mult_D*stack_capacity*acceptance_rate)</f>
        <v/>
      </c>
      <c r="G93" s="42">
        <f>IF(C93="aFRR+",DAMAS_Daily!I93,DAMAS_Daily!J93)</f>
        <v/>
      </c>
      <c r="H93" s="43">
        <f>IF(C93="aFRR+",DAMAS_Daily!E93,DAMAS_Daily!F93)</f>
        <v/>
      </c>
      <c r="I93" s="43">
        <f>IF(C93="aFRR+",DAMAS_Daily!G93,DAMAS_Daily!H93)</f>
        <v/>
      </c>
      <c r="J93" s="45">
        <f>IF(C93="aFRR+",DAMAS_Daily!C93,DAMAS_Daily!D93)</f>
        <v/>
      </c>
      <c r="K93" s="45">
        <f>IF(C93="aFRR+",MIN(DAMAS_Daily!C93*market_share_D*acceptance_rate*stack_activation,power_mw*hours_per_day,capacity_mwh),MIN(DAMAS_Daily!D93*market_share_D*acceptance_rate*stack_activation,power_mw*hours_per_day,capacity_mwh))</f>
        <v/>
      </c>
      <c r="L93" s="42">
        <f>IF(K93&gt;=capacity_mwh-0.01,"yes","no")</f>
        <v/>
      </c>
      <c r="M93" s="28">
        <f>IF(C93="aFRR+",(MIN(DAMAS_Daily!C93*market_share_D*acceptance_rate*stack_activation,power_mw*hours_per_day,capacity_mwh))*DAMAS_Daily!E93*activation_mult_D,(MIN(DAMAS_Daily!D93*market_share_D*acceptance_rate*stack_activation,power_mw*hours_per_day,capacity_mwh))*DAMAS_Daily!F93*activation_mult_D)</f>
        <v/>
      </c>
      <c r="N93" s="29">
        <f>F93+M93</f>
        <v/>
      </c>
    </row>
    <row r="94">
      <c r="A94" s="41">
        <f>DAMAS_Daily!A94</f>
        <v/>
      </c>
      <c r="B94" s="42">
        <f>DAMAS_Daily!B94</f>
        <v/>
      </c>
      <c r="C94" s="42">
        <f>IF((power_mw*hours_per_day*damas_afrr_up*capacity_mult_D*stack_capacity*acceptance_rate+(MIN(DAMAS_Daily!C94*market_share_D*acceptance_rate*stack_activation,power_mw*hours_per_day,capacity_mwh))*DAMAS_Daily!E94*activation_mult_D)&gt;=(power_mw*hours_per_day*damas_afrr_down*capacity_mult_D*stack_capacity*acceptance_rate+(MIN(DAMAS_Daily!D94*market_share_D*acceptance_rate*stack_activation,power_mw*hours_per_day,capacity_mwh))*DAMAS_Daily!F94*activation_mult_D),"aFRR+","aFRR-")</f>
        <v/>
      </c>
      <c r="D94" s="43">
        <f>IF(C94="aFRR+",damas_afrr_up*capacity_mult_D,damas_afrr_down*capacity_mult_D)</f>
        <v/>
      </c>
      <c r="E94" s="44">
        <f>acceptance_rate</f>
        <v/>
      </c>
      <c r="F94" s="28">
        <f>IF(C94="aFRR+",power_mw*hours_per_day*damas_afrr_up*capacity_mult_D*stack_capacity*acceptance_rate,power_mw*hours_per_day*damas_afrr_down*capacity_mult_D*stack_capacity*acceptance_rate)</f>
        <v/>
      </c>
      <c r="G94" s="42">
        <f>IF(C94="aFRR+",DAMAS_Daily!I94,DAMAS_Daily!J94)</f>
        <v/>
      </c>
      <c r="H94" s="43">
        <f>IF(C94="aFRR+",DAMAS_Daily!E94,DAMAS_Daily!F94)</f>
        <v/>
      </c>
      <c r="I94" s="43">
        <f>IF(C94="aFRR+",DAMAS_Daily!G94,DAMAS_Daily!H94)</f>
        <v/>
      </c>
      <c r="J94" s="45">
        <f>IF(C94="aFRR+",DAMAS_Daily!C94,DAMAS_Daily!D94)</f>
        <v/>
      </c>
      <c r="K94" s="45">
        <f>IF(C94="aFRR+",MIN(DAMAS_Daily!C94*market_share_D*acceptance_rate*stack_activation,power_mw*hours_per_day,capacity_mwh),MIN(DAMAS_Daily!D94*market_share_D*acceptance_rate*stack_activation,power_mw*hours_per_day,capacity_mwh))</f>
        <v/>
      </c>
      <c r="L94" s="42">
        <f>IF(K94&gt;=capacity_mwh-0.01,"yes","no")</f>
        <v/>
      </c>
      <c r="M94" s="28">
        <f>IF(C94="aFRR+",(MIN(DAMAS_Daily!C94*market_share_D*acceptance_rate*stack_activation,power_mw*hours_per_day,capacity_mwh))*DAMAS_Daily!E94*activation_mult_D,(MIN(DAMAS_Daily!D94*market_share_D*acceptance_rate*stack_activation,power_mw*hours_per_day,capacity_mwh))*DAMAS_Daily!F94*activation_mult_D)</f>
        <v/>
      </c>
      <c r="N94" s="29">
        <f>F94+M94</f>
        <v/>
      </c>
    </row>
    <row r="95">
      <c r="A95" s="41">
        <f>DAMAS_Daily!A95</f>
        <v/>
      </c>
      <c r="B95" s="42">
        <f>DAMAS_Daily!B95</f>
        <v/>
      </c>
      <c r="C95" s="42">
        <f>IF((power_mw*hours_per_day*damas_afrr_up*capacity_mult_D*stack_capacity*acceptance_rate+(MIN(DAMAS_Daily!C95*market_share_D*acceptance_rate*stack_activation,power_mw*hours_per_day,capacity_mwh))*DAMAS_Daily!E95*activation_mult_D)&gt;=(power_mw*hours_per_day*damas_afrr_down*capacity_mult_D*stack_capacity*acceptance_rate+(MIN(DAMAS_Daily!D95*market_share_D*acceptance_rate*stack_activation,power_mw*hours_per_day,capacity_mwh))*DAMAS_Daily!F95*activation_mult_D),"aFRR+","aFRR-")</f>
        <v/>
      </c>
      <c r="D95" s="43">
        <f>IF(C95="aFRR+",damas_afrr_up*capacity_mult_D,damas_afrr_down*capacity_mult_D)</f>
        <v/>
      </c>
      <c r="E95" s="44">
        <f>acceptance_rate</f>
        <v/>
      </c>
      <c r="F95" s="28">
        <f>IF(C95="aFRR+",power_mw*hours_per_day*damas_afrr_up*capacity_mult_D*stack_capacity*acceptance_rate,power_mw*hours_per_day*damas_afrr_down*capacity_mult_D*stack_capacity*acceptance_rate)</f>
        <v/>
      </c>
      <c r="G95" s="42">
        <f>IF(C95="aFRR+",DAMAS_Daily!I95,DAMAS_Daily!J95)</f>
        <v/>
      </c>
      <c r="H95" s="43">
        <f>IF(C95="aFRR+",DAMAS_Daily!E95,DAMAS_Daily!F95)</f>
        <v/>
      </c>
      <c r="I95" s="43">
        <f>IF(C95="aFRR+",DAMAS_Daily!G95,DAMAS_Daily!H95)</f>
        <v/>
      </c>
      <c r="J95" s="45">
        <f>IF(C95="aFRR+",DAMAS_Daily!C95,DAMAS_Daily!D95)</f>
        <v/>
      </c>
      <c r="K95" s="45">
        <f>IF(C95="aFRR+",MIN(DAMAS_Daily!C95*market_share_D*acceptance_rate*stack_activation,power_mw*hours_per_day,capacity_mwh),MIN(DAMAS_Daily!D95*market_share_D*acceptance_rate*stack_activation,power_mw*hours_per_day,capacity_mwh))</f>
        <v/>
      </c>
      <c r="L95" s="42">
        <f>IF(K95&gt;=capacity_mwh-0.01,"yes","no")</f>
        <v/>
      </c>
      <c r="M95" s="28">
        <f>IF(C95="aFRR+",(MIN(DAMAS_Daily!C95*market_share_D*acceptance_rate*stack_activation,power_mw*hours_per_day,capacity_mwh))*DAMAS_Daily!E95*activation_mult_D,(MIN(DAMAS_Daily!D95*market_share_D*acceptance_rate*stack_activation,power_mw*hours_per_day,capacity_mwh))*DAMAS_Daily!F95*activation_mult_D)</f>
        <v/>
      </c>
      <c r="N95" s="29">
        <f>F95+M95</f>
        <v/>
      </c>
    </row>
    <row r="96">
      <c r="A96" s="41">
        <f>DAMAS_Daily!A96</f>
        <v/>
      </c>
      <c r="B96" s="42">
        <f>DAMAS_Daily!B96</f>
        <v/>
      </c>
      <c r="C96" s="42">
        <f>IF((power_mw*hours_per_day*damas_afrr_up*capacity_mult_D*stack_capacity*acceptance_rate+(MIN(DAMAS_Daily!C96*market_share_D*acceptance_rate*stack_activation,power_mw*hours_per_day,capacity_mwh))*DAMAS_Daily!E96*activation_mult_D)&gt;=(power_mw*hours_per_day*damas_afrr_down*capacity_mult_D*stack_capacity*acceptance_rate+(MIN(DAMAS_Daily!D96*market_share_D*acceptance_rate*stack_activation,power_mw*hours_per_day,capacity_mwh))*DAMAS_Daily!F96*activation_mult_D),"aFRR+","aFRR-")</f>
        <v/>
      </c>
      <c r="D96" s="43">
        <f>IF(C96="aFRR+",damas_afrr_up*capacity_mult_D,damas_afrr_down*capacity_mult_D)</f>
        <v/>
      </c>
      <c r="E96" s="44">
        <f>acceptance_rate</f>
        <v/>
      </c>
      <c r="F96" s="28">
        <f>IF(C96="aFRR+",power_mw*hours_per_day*damas_afrr_up*capacity_mult_D*stack_capacity*acceptance_rate,power_mw*hours_per_day*damas_afrr_down*capacity_mult_D*stack_capacity*acceptance_rate)</f>
        <v/>
      </c>
      <c r="G96" s="42">
        <f>IF(C96="aFRR+",DAMAS_Daily!I96,DAMAS_Daily!J96)</f>
        <v/>
      </c>
      <c r="H96" s="43">
        <f>IF(C96="aFRR+",DAMAS_Daily!E96,DAMAS_Daily!F96)</f>
        <v/>
      </c>
      <c r="I96" s="43">
        <f>IF(C96="aFRR+",DAMAS_Daily!G96,DAMAS_Daily!H96)</f>
        <v/>
      </c>
      <c r="J96" s="45">
        <f>IF(C96="aFRR+",DAMAS_Daily!C96,DAMAS_Daily!D96)</f>
        <v/>
      </c>
      <c r="K96" s="45">
        <f>IF(C96="aFRR+",MIN(DAMAS_Daily!C96*market_share_D*acceptance_rate*stack_activation,power_mw*hours_per_day,capacity_mwh),MIN(DAMAS_Daily!D96*market_share_D*acceptance_rate*stack_activation,power_mw*hours_per_day,capacity_mwh))</f>
        <v/>
      </c>
      <c r="L96" s="42">
        <f>IF(K96&gt;=capacity_mwh-0.01,"yes","no")</f>
        <v/>
      </c>
      <c r="M96" s="28">
        <f>IF(C96="aFRR+",(MIN(DAMAS_Daily!C96*market_share_D*acceptance_rate*stack_activation,power_mw*hours_per_day,capacity_mwh))*DAMAS_Daily!E96*activation_mult_D,(MIN(DAMAS_Daily!D96*market_share_D*acceptance_rate*stack_activation,power_mw*hours_per_day,capacity_mwh))*DAMAS_Daily!F96*activation_mult_D)</f>
        <v/>
      </c>
      <c r="N96" s="29">
        <f>F96+M96</f>
        <v/>
      </c>
    </row>
    <row r="97">
      <c r="A97" s="41">
        <f>DAMAS_Daily!A97</f>
        <v/>
      </c>
      <c r="B97" s="42">
        <f>DAMAS_Daily!B97</f>
        <v/>
      </c>
      <c r="C97" s="42">
        <f>IF((power_mw*hours_per_day*damas_afrr_up*capacity_mult_D*stack_capacity*acceptance_rate+(MIN(DAMAS_Daily!C97*market_share_D*acceptance_rate*stack_activation,power_mw*hours_per_day,capacity_mwh))*DAMAS_Daily!E97*activation_mult_D)&gt;=(power_mw*hours_per_day*damas_afrr_down*capacity_mult_D*stack_capacity*acceptance_rate+(MIN(DAMAS_Daily!D97*market_share_D*acceptance_rate*stack_activation,power_mw*hours_per_day,capacity_mwh))*DAMAS_Daily!F97*activation_mult_D),"aFRR+","aFRR-")</f>
        <v/>
      </c>
      <c r="D97" s="43">
        <f>IF(C97="aFRR+",damas_afrr_up*capacity_mult_D,damas_afrr_down*capacity_mult_D)</f>
        <v/>
      </c>
      <c r="E97" s="44">
        <f>acceptance_rate</f>
        <v/>
      </c>
      <c r="F97" s="28">
        <f>IF(C97="aFRR+",power_mw*hours_per_day*damas_afrr_up*capacity_mult_D*stack_capacity*acceptance_rate,power_mw*hours_per_day*damas_afrr_down*capacity_mult_D*stack_capacity*acceptance_rate)</f>
        <v/>
      </c>
      <c r="G97" s="42">
        <f>IF(C97="aFRR+",DAMAS_Daily!I97,DAMAS_Daily!J97)</f>
        <v/>
      </c>
      <c r="H97" s="43">
        <f>IF(C97="aFRR+",DAMAS_Daily!E97,DAMAS_Daily!F97)</f>
        <v/>
      </c>
      <c r="I97" s="43">
        <f>IF(C97="aFRR+",DAMAS_Daily!G97,DAMAS_Daily!H97)</f>
        <v/>
      </c>
      <c r="J97" s="45">
        <f>IF(C97="aFRR+",DAMAS_Daily!C97,DAMAS_Daily!D97)</f>
        <v/>
      </c>
      <c r="K97" s="45">
        <f>IF(C97="aFRR+",MIN(DAMAS_Daily!C97*market_share_D*acceptance_rate*stack_activation,power_mw*hours_per_day,capacity_mwh),MIN(DAMAS_Daily!D97*market_share_D*acceptance_rate*stack_activation,power_mw*hours_per_day,capacity_mwh))</f>
        <v/>
      </c>
      <c r="L97" s="42">
        <f>IF(K97&gt;=capacity_mwh-0.01,"yes","no")</f>
        <v/>
      </c>
      <c r="M97" s="28">
        <f>IF(C97="aFRR+",(MIN(DAMAS_Daily!C97*market_share_D*acceptance_rate*stack_activation,power_mw*hours_per_day,capacity_mwh))*DAMAS_Daily!E97*activation_mult_D,(MIN(DAMAS_Daily!D97*market_share_D*acceptance_rate*stack_activation,power_mw*hours_per_day,capacity_mwh))*DAMAS_Daily!F97*activation_mult_D)</f>
        <v/>
      </c>
      <c r="N97" s="29">
        <f>F97+M97</f>
        <v/>
      </c>
    </row>
    <row r="98">
      <c r="A98" s="41">
        <f>DAMAS_Daily!A98</f>
        <v/>
      </c>
      <c r="B98" s="42">
        <f>DAMAS_Daily!B98</f>
        <v/>
      </c>
      <c r="C98" s="42">
        <f>IF((power_mw*hours_per_day*damas_afrr_up*capacity_mult_D*stack_capacity*acceptance_rate+(MIN(DAMAS_Daily!C98*market_share_D*acceptance_rate*stack_activation,power_mw*hours_per_day,capacity_mwh))*DAMAS_Daily!E98*activation_mult_D)&gt;=(power_mw*hours_per_day*damas_afrr_down*capacity_mult_D*stack_capacity*acceptance_rate+(MIN(DAMAS_Daily!D98*market_share_D*acceptance_rate*stack_activation,power_mw*hours_per_day,capacity_mwh))*DAMAS_Daily!F98*activation_mult_D),"aFRR+","aFRR-")</f>
        <v/>
      </c>
      <c r="D98" s="43">
        <f>IF(C98="aFRR+",damas_afrr_up*capacity_mult_D,damas_afrr_down*capacity_mult_D)</f>
        <v/>
      </c>
      <c r="E98" s="44">
        <f>acceptance_rate</f>
        <v/>
      </c>
      <c r="F98" s="28">
        <f>IF(C98="aFRR+",power_mw*hours_per_day*damas_afrr_up*capacity_mult_D*stack_capacity*acceptance_rate,power_mw*hours_per_day*damas_afrr_down*capacity_mult_D*stack_capacity*acceptance_rate)</f>
        <v/>
      </c>
      <c r="G98" s="42">
        <f>IF(C98="aFRR+",DAMAS_Daily!I98,DAMAS_Daily!J98)</f>
        <v/>
      </c>
      <c r="H98" s="43">
        <f>IF(C98="aFRR+",DAMAS_Daily!E98,DAMAS_Daily!F98)</f>
        <v/>
      </c>
      <c r="I98" s="43">
        <f>IF(C98="aFRR+",DAMAS_Daily!G98,DAMAS_Daily!H98)</f>
        <v/>
      </c>
      <c r="J98" s="45">
        <f>IF(C98="aFRR+",DAMAS_Daily!C98,DAMAS_Daily!D98)</f>
        <v/>
      </c>
      <c r="K98" s="45">
        <f>IF(C98="aFRR+",MIN(DAMAS_Daily!C98*market_share_D*acceptance_rate*stack_activation,power_mw*hours_per_day,capacity_mwh),MIN(DAMAS_Daily!D98*market_share_D*acceptance_rate*stack_activation,power_mw*hours_per_day,capacity_mwh))</f>
        <v/>
      </c>
      <c r="L98" s="42">
        <f>IF(K98&gt;=capacity_mwh-0.01,"yes","no")</f>
        <v/>
      </c>
      <c r="M98" s="28">
        <f>IF(C98="aFRR+",(MIN(DAMAS_Daily!C98*market_share_D*acceptance_rate*stack_activation,power_mw*hours_per_day,capacity_mwh))*DAMAS_Daily!E98*activation_mult_D,(MIN(DAMAS_Daily!D98*market_share_D*acceptance_rate*stack_activation,power_mw*hours_per_day,capacity_mwh))*DAMAS_Daily!F98*activation_mult_D)</f>
        <v/>
      </c>
      <c r="N98" s="29">
        <f>F98+M98</f>
        <v/>
      </c>
    </row>
    <row r="99">
      <c r="A99" s="41">
        <f>DAMAS_Daily!A99</f>
        <v/>
      </c>
      <c r="B99" s="42">
        <f>DAMAS_Daily!B99</f>
        <v/>
      </c>
      <c r="C99" s="42">
        <f>IF((power_mw*hours_per_day*damas_afrr_up*capacity_mult_D*stack_capacity*acceptance_rate+(MIN(DAMAS_Daily!C99*market_share_D*acceptance_rate*stack_activation,power_mw*hours_per_day,capacity_mwh))*DAMAS_Daily!E99*activation_mult_D)&gt;=(power_mw*hours_per_day*damas_afrr_down*capacity_mult_D*stack_capacity*acceptance_rate+(MIN(DAMAS_Daily!D99*market_share_D*acceptance_rate*stack_activation,power_mw*hours_per_day,capacity_mwh))*DAMAS_Daily!F99*activation_mult_D),"aFRR+","aFRR-")</f>
        <v/>
      </c>
      <c r="D99" s="43">
        <f>IF(C99="aFRR+",damas_afrr_up*capacity_mult_D,damas_afrr_down*capacity_mult_D)</f>
        <v/>
      </c>
      <c r="E99" s="44">
        <f>acceptance_rate</f>
        <v/>
      </c>
      <c r="F99" s="28">
        <f>IF(C99="aFRR+",power_mw*hours_per_day*damas_afrr_up*capacity_mult_D*stack_capacity*acceptance_rate,power_mw*hours_per_day*damas_afrr_down*capacity_mult_D*stack_capacity*acceptance_rate)</f>
        <v/>
      </c>
      <c r="G99" s="42">
        <f>IF(C99="aFRR+",DAMAS_Daily!I99,DAMAS_Daily!J99)</f>
        <v/>
      </c>
      <c r="H99" s="43">
        <f>IF(C99="aFRR+",DAMAS_Daily!E99,DAMAS_Daily!F99)</f>
        <v/>
      </c>
      <c r="I99" s="43">
        <f>IF(C99="aFRR+",DAMAS_Daily!G99,DAMAS_Daily!H99)</f>
        <v/>
      </c>
      <c r="J99" s="45">
        <f>IF(C99="aFRR+",DAMAS_Daily!C99,DAMAS_Daily!D99)</f>
        <v/>
      </c>
      <c r="K99" s="45">
        <f>IF(C99="aFRR+",MIN(DAMAS_Daily!C99*market_share_D*acceptance_rate*stack_activation,power_mw*hours_per_day,capacity_mwh),MIN(DAMAS_Daily!D99*market_share_D*acceptance_rate*stack_activation,power_mw*hours_per_day,capacity_mwh))</f>
        <v/>
      </c>
      <c r="L99" s="42">
        <f>IF(K99&gt;=capacity_mwh-0.01,"yes","no")</f>
        <v/>
      </c>
      <c r="M99" s="28">
        <f>IF(C99="aFRR+",(MIN(DAMAS_Daily!C99*market_share_D*acceptance_rate*stack_activation,power_mw*hours_per_day,capacity_mwh))*DAMAS_Daily!E99*activation_mult_D,(MIN(DAMAS_Daily!D99*market_share_D*acceptance_rate*stack_activation,power_mw*hours_per_day,capacity_mwh))*DAMAS_Daily!F99*activation_mult_D)</f>
        <v/>
      </c>
      <c r="N99" s="29">
        <f>F99+M99</f>
        <v/>
      </c>
    </row>
    <row r="100">
      <c r="A100" s="41">
        <f>DAMAS_Daily!A100</f>
        <v/>
      </c>
      <c r="B100" s="42">
        <f>DAMAS_Daily!B100</f>
        <v/>
      </c>
      <c r="C100" s="42">
        <f>IF((power_mw*hours_per_day*damas_afrr_up*capacity_mult_D*stack_capacity*acceptance_rate+(MIN(DAMAS_Daily!C100*market_share_D*acceptance_rate*stack_activation,power_mw*hours_per_day,capacity_mwh))*DAMAS_Daily!E100*activation_mult_D)&gt;=(power_mw*hours_per_day*damas_afrr_down*capacity_mult_D*stack_capacity*acceptance_rate+(MIN(DAMAS_Daily!D100*market_share_D*acceptance_rate*stack_activation,power_mw*hours_per_day,capacity_mwh))*DAMAS_Daily!F100*activation_mult_D),"aFRR+","aFRR-")</f>
        <v/>
      </c>
      <c r="D100" s="43">
        <f>IF(C100="aFRR+",damas_afrr_up*capacity_mult_D,damas_afrr_down*capacity_mult_D)</f>
        <v/>
      </c>
      <c r="E100" s="44">
        <f>acceptance_rate</f>
        <v/>
      </c>
      <c r="F100" s="28">
        <f>IF(C100="aFRR+",power_mw*hours_per_day*damas_afrr_up*capacity_mult_D*stack_capacity*acceptance_rate,power_mw*hours_per_day*damas_afrr_down*capacity_mult_D*stack_capacity*acceptance_rate)</f>
        <v/>
      </c>
      <c r="G100" s="42">
        <f>IF(C100="aFRR+",DAMAS_Daily!I100,DAMAS_Daily!J100)</f>
        <v/>
      </c>
      <c r="H100" s="43">
        <f>IF(C100="aFRR+",DAMAS_Daily!E100,DAMAS_Daily!F100)</f>
        <v/>
      </c>
      <c r="I100" s="43">
        <f>IF(C100="aFRR+",DAMAS_Daily!G100,DAMAS_Daily!H100)</f>
        <v/>
      </c>
      <c r="J100" s="45">
        <f>IF(C100="aFRR+",DAMAS_Daily!C100,DAMAS_Daily!D100)</f>
        <v/>
      </c>
      <c r="K100" s="45">
        <f>IF(C100="aFRR+",MIN(DAMAS_Daily!C100*market_share_D*acceptance_rate*stack_activation,power_mw*hours_per_day,capacity_mwh),MIN(DAMAS_Daily!D100*market_share_D*acceptance_rate*stack_activation,power_mw*hours_per_day,capacity_mwh))</f>
        <v/>
      </c>
      <c r="L100" s="42">
        <f>IF(K100&gt;=capacity_mwh-0.01,"yes","no")</f>
        <v/>
      </c>
      <c r="M100" s="28">
        <f>IF(C100="aFRR+",(MIN(DAMAS_Daily!C100*market_share_D*acceptance_rate*stack_activation,power_mw*hours_per_day,capacity_mwh))*DAMAS_Daily!E100*activation_mult_D,(MIN(DAMAS_Daily!D100*market_share_D*acceptance_rate*stack_activation,power_mw*hours_per_day,capacity_mwh))*DAMAS_Daily!F100*activation_mult_D)</f>
        <v/>
      </c>
      <c r="N100" s="29">
        <f>F100+M100</f>
        <v/>
      </c>
    </row>
    <row r="101">
      <c r="A101" s="41">
        <f>DAMAS_Daily!A101</f>
        <v/>
      </c>
      <c r="B101" s="42">
        <f>DAMAS_Daily!B101</f>
        <v/>
      </c>
      <c r="C101" s="42">
        <f>IF((power_mw*hours_per_day*damas_afrr_up*capacity_mult_D*stack_capacity*acceptance_rate+(MIN(DAMAS_Daily!C101*market_share_D*acceptance_rate*stack_activation,power_mw*hours_per_day,capacity_mwh))*DAMAS_Daily!E101*activation_mult_D)&gt;=(power_mw*hours_per_day*damas_afrr_down*capacity_mult_D*stack_capacity*acceptance_rate+(MIN(DAMAS_Daily!D101*market_share_D*acceptance_rate*stack_activation,power_mw*hours_per_day,capacity_mwh))*DAMAS_Daily!F101*activation_mult_D),"aFRR+","aFRR-")</f>
        <v/>
      </c>
      <c r="D101" s="43">
        <f>IF(C101="aFRR+",damas_afrr_up*capacity_mult_D,damas_afrr_down*capacity_mult_D)</f>
        <v/>
      </c>
      <c r="E101" s="44">
        <f>acceptance_rate</f>
        <v/>
      </c>
      <c r="F101" s="28">
        <f>IF(C101="aFRR+",power_mw*hours_per_day*damas_afrr_up*capacity_mult_D*stack_capacity*acceptance_rate,power_mw*hours_per_day*damas_afrr_down*capacity_mult_D*stack_capacity*acceptance_rate)</f>
        <v/>
      </c>
      <c r="G101" s="42">
        <f>IF(C101="aFRR+",DAMAS_Daily!I101,DAMAS_Daily!J101)</f>
        <v/>
      </c>
      <c r="H101" s="43">
        <f>IF(C101="aFRR+",DAMAS_Daily!E101,DAMAS_Daily!F101)</f>
        <v/>
      </c>
      <c r="I101" s="43">
        <f>IF(C101="aFRR+",DAMAS_Daily!G101,DAMAS_Daily!H101)</f>
        <v/>
      </c>
      <c r="J101" s="45">
        <f>IF(C101="aFRR+",DAMAS_Daily!C101,DAMAS_Daily!D101)</f>
        <v/>
      </c>
      <c r="K101" s="45">
        <f>IF(C101="aFRR+",MIN(DAMAS_Daily!C101*market_share_D*acceptance_rate*stack_activation,power_mw*hours_per_day,capacity_mwh),MIN(DAMAS_Daily!D101*market_share_D*acceptance_rate*stack_activation,power_mw*hours_per_day,capacity_mwh))</f>
        <v/>
      </c>
      <c r="L101" s="42">
        <f>IF(K101&gt;=capacity_mwh-0.01,"yes","no")</f>
        <v/>
      </c>
      <c r="M101" s="28">
        <f>IF(C101="aFRR+",(MIN(DAMAS_Daily!C101*market_share_D*acceptance_rate*stack_activation,power_mw*hours_per_day,capacity_mwh))*DAMAS_Daily!E101*activation_mult_D,(MIN(DAMAS_Daily!D101*market_share_D*acceptance_rate*stack_activation,power_mw*hours_per_day,capacity_mwh))*DAMAS_Daily!F101*activation_mult_D)</f>
        <v/>
      </c>
      <c r="N101" s="29">
        <f>F101+M101</f>
        <v/>
      </c>
    </row>
    <row r="102">
      <c r="A102" s="41">
        <f>DAMAS_Daily!A102</f>
        <v/>
      </c>
      <c r="B102" s="42">
        <f>DAMAS_Daily!B102</f>
        <v/>
      </c>
      <c r="C102" s="42">
        <f>IF((power_mw*hours_per_day*damas_afrr_up*capacity_mult_D*stack_capacity*acceptance_rate+(MIN(DAMAS_Daily!C102*market_share_D*acceptance_rate*stack_activation,power_mw*hours_per_day,capacity_mwh))*DAMAS_Daily!E102*activation_mult_D)&gt;=(power_mw*hours_per_day*damas_afrr_down*capacity_mult_D*stack_capacity*acceptance_rate+(MIN(DAMAS_Daily!D102*market_share_D*acceptance_rate*stack_activation,power_mw*hours_per_day,capacity_mwh))*DAMAS_Daily!F102*activation_mult_D),"aFRR+","aFRR-")</f>
        <v/>
      </c>
      <c r="D102" s="43">
        <f>IF(C102="aFRR+",damas_afrr_up*capacity_mult_D,damas_afrr_down*capacity_mult_D)</f>
        <v/>
      </c>
      <c r="E102" s="44">
        <f>acceptance_rate</f>
        <v/>
      </c>
      <c r="F102" s="28">
        <f>IF(C102="aFRR+",power_mw*hours_per_day*damas_afrr_up*capacity_mult_D*stack_capacity*acceptance_rate,power_mw*hours_per_day*damas_afrr_down*capacity_mult_D*stack_capacity*acceptance_rate)</f>
        <v/>
      </c>
      <c r="G102" s="42">
        <f>IF(C102="aFRR+",DAMAS_Daily!I102,DAMAS_Daily!J102)</f>
        <v/>
      </c>
      <c r="H102" s="43">
        <f>IF(C102="aFRR+",DAMAS_Daily!E102,DAMAS_Daily!F102)</f>
        <v/>
      </c>
      <c r="I102" s="43">
        <f>IF(C102="aFRR+",DAMAS_Daily!G102,DAMAS_Daily!H102)</f>
        <v/>
      </c>
      <c r="J102" s="45">
        <f>IF(C102="aFRR+",DAMAS_Daily!C102,DAMAS_Daily!D102)</f>
        <v/>
      </c>
      <c r="K102" s="45">
        <f>IF(C102="aFRR+",MIN(DAMAS_Daily!C102*market_share_D*acceptance_rate*stack_activation,power_mw*hours_per_day,capacity_mwh),MIN(DAMAS_Daily!D102*market_share_D*acceptance_rate*stack_activation,power_mw*hours_per_day,capacity_mwh))</f>
        <v/>
      </c>
      <c r="L102" s="42">
        <f>IF(K102&gt;=capacity_mwh-0.01,"yes","no")</f>
        <v/>
      </c>
      <c r="M102" s="28">
        <f>IF(C102="aFRR+",(MIN(DAMAS_Daily!C102*market_share_D*acceptance_rate*stack_activation,power_mw*hours_per_day,capacity_mwh))*DAMAS_Daily!E102*activation_mult_D,(MIN(DAMAS_Daily!D102*market_share_D*acceptance_rate*stack_activation,power_mw*hours_per_day,capacity_mwh))*DAMAS_Daily!F102*activation_mult_D)</f>
        <v/>
      </c>
      <c r="N102" s="29">
        <f>F102+M102</f>
        <v/>
      </c>
    </row>
    <row r="103">
      <c r="A103" s="41">
        <f>DAMAS_Daily!A103</f>
        <v/>
      </c>
      <c r="B103" s="42">
        <f>DAMAS_Daily!B103</f>
        <v/>
      </c>
      <c r="C103" s="42">
        <f>IF((power_mw*hours_per_day*damas_afrr_up*capacity_mult_D*stack_capacity*acceptance_rate+(MIN(DAMAS_Daily!C103*market_share_D*acceptance_rate*stack_activation,power_mw*hours_per_day,capacity_mwh))*DAMAS_Daily!E103*activation_mult_D)&gt;=(power_mw*hours_per_day*damas_afrr_down*capacity_mult_D*stack_capacity*acceptance_rate+(MIN(DAMAS_Daily!D103*market_share_D*acceptance_rate*stack_activation,power_mw*hours_per_day,capacity_mwh))*DAMAS_Daily!F103*activation_mult_D),"aFRR+","aFRR-")</f>
        <v/>
      </c>
      <c r="D103" s="43">
        <f>IF(C103="aFRR+",damas_afrr_up*capacity_mult_D,damas_afrr_down*capacity_mult_D)</f>
        <v/>
      </c>
      <c r="E103" s="44">
        <f>acceptance_rate</f>
        <v/>
      </c>
      <c r="F103" s="28">
        <f>IF(C103="aFRR+",power_mw*hours_per_day*damas_afrr_up*capacity_mult_D*stack_capacity*acceptance_rate,power_mw*hours_per_day*damas_afrr_down*capacity_mult_D*stack_capacity*acceptance_rate)</f>
        <v/>
      </c>
      <c r="G103" s="42">
        <f>IF(C103="aFRR+",DAMAS_Daily!I103,DAMAS_Daily!J103)</f>
        <v/>
      </c>
      <c r="H103" s="43">
        <f>IF(C103="aFRR+",DAMAS_Daily!E103,DAMAS_Daily!F103)</f>
        <v/>
      </c>
      <c r="I103" s="43">
        <f>IF(C103="aFRR+",DAMAS_Daily!G103,DAMAS_Daily!H103)</f>
        <v/>
      </c>
      <c r="J103" s="45">
        <f>IF(C103="aFRR+",DAMAS_Daily!C103,DAMAS_Daily!D103)</f>
        <v/>
      </c>
      <c r="K103" s="45">
        <f>IF(C103="aFRR+",MIN(DAMAS_Daily!C103*market_share_D*acceptance_rate*stack_activation,power_mw*hours_per_day,capacity_mwh),MIN(DAMAS_Daily!D103*market_share_D*acceptance_rate*stack_activation,power_mw*hours_per_day,capacity_mwh))</f>
        <v/>
      </c>
      <c r="L103" s="42">
        <f>IF(K103&gt;=capacity_mwh-0.01,"yes","no")</f>
        <v/>
      </c>
      <c r="M103" s="28">
        <f>IF(C103="aFRR+",(MIN(DAMAS_Daily!C103*market_share_D*acceptance_rate*stack_activation,power_mw*hours_per_day,capacity_mwh))*DAMAS_Daily!E103*activation_mult_D,(MIN(DAMAS_Daily!D103*market_share_D*acceptance_rate*stack_activation,power_mw*hours_per_day,capacity_mwh))*DAMAS_Daily!F103*activation_mult_D)</f>
        <v/>
      </c>
      <c r="N103" s="29">
        <f>F103+M103</f>
        <v/>
      </c>
    </row>
    <row r="104">
      <c r="A104" s="41">
        <f>DAMAS_Daily!A104</f>
        <v/>
      </c>
      <c r="B104" s="42">
        <f>DAMAS_Daily!B104</f>
        <v/>
      </c>
      <c r="C104" s="42">
        <f>IF((power_mw*hours_per_day*damas_afrr_up*capacity_mult_D*stack_capacity*acceptance_rate+(MIN(DAMAS_Daily!C104*market_share_D*acceptance_rate*stack_activation,power_mw*hours_per_day,capacity_mwh))*DAMAS_Daily!E104*activation_mult_D)&gt;=(power_mw*hours_per_day*damas_afrr_down*capacity_mult_D*stack_capacity*acceptance_rate+(MIN(DAMAS_Daily!D104*market_share_D*acceptance_rate*stack_activation,power_mw*hours_per_day,capacity_mwh))*DAMAS_Daily!F104*activation_mult_D),"aFRR+","aFRR-")</f>
        <v/>
      </c>
      <c r="D104" s="43">
        <f>IF(C104="aFRR+",damas_afrr_up*capacity_mult_D,damas_afrr_down*capacity_mult_D)</f>
        <v/>
      </c>
      <c r="E104" s="44">
        <f>acceptance_rate</f>
        <v/>
      </c>
      <c r="F104" s="28">
        <f>IF(C104="aFRR+",power_mw*hours_per_day*damas_afrr_up*capacity_mult_D*stack_capacity*acceptance_rate,power_mw*hours_per_day*damas_afrr_down*capacity_mult_D*stack_capacity*acceptance_rate)</f>
        <v/>
      </c>
      <c r="G104" s="42">
        <f>IF(C104="aFRR+",DAMAS_Daily!I104,DAMAS_Daily!J104)</f>
        <v/>
      </c>
      <c r="H104" s="43">
        <f>IF(C104="aFRR+",DAMAS_Daily!E104,DAMAS_Daily!F104)</f>
        <v/>
      </c>
      <c r="I104" s="43">
        <f>IF(C104="aFRR+",DAMAS_Daily!G104,DAMAS_Daily!H104)</f>
        <v/>
      </c>
      <c r="J104" s="45">
        <f>IF(C104="aFRR+",DAMAS_Daily!C104,DAMAS_Daily!D104)</f>
        <v/>
      </c>
      <c r="K104" s="45">
        <f>IF(C104="aFRR+",MIN(DAMAS_Daily!C104*market_share_D*acceptance_rate*stack_activation,power_mw*hours_per_day,capacity_mwh),MIN(DAMAS_Daily!D104*market_share_D*acceptance_rate*stack_activation,power_mw*hours_per_day,capacity_mwh))</f>
        <v/>
      </c>
      <c r="L104" s="42">
        <f>IF(K104&gt;=capacity_mwh-0.01,"yes","no")</f>
        <v/>
      </c>
      <c r="M104" s="28">
        <f>IF(C104="aFRR+",(MIN(DAMAS_Daily!C104*market_share_D*acceptance_rate*stack_activation,power_mw*hours_per_day,capacity_mwh))*DAMAS_Daily!E104*activation_mult_D,(MIN(DAMAS_Daily!D104*market_share_D*acceptance_rate*stack_activation,power_mw*hours_per_day,capacity_mwh))*DAMAS_Daily!F104*activation_mult_D)</f>
        <v/>
      </c>
      <c r="N104" s="29">
        <f>F104+M104</f>
        <v/>
      </c>
    </row>
    <row r="105">
      <c r="A105" s="41">
        <f>DAMAS_Daily!A105</f>
        <v/>
      </c>
      <c r="B105" s="42">
        <f>DAMAS_Daily!B105</f>
        <v/>
      </c>
      <c r="C105" s="42">
        <f>IF((power_mw*hours_per_day*damas_afrr_up*capacity_mult_D*stack_capacity*acceptance_rate+(MIN(DAMAS_Daily!C105*market_share_D*acceptance_rate*stack_activation,power_mw*hours_per_day,capacity_mwh))*DAMAS_Daily!E105*activation_mult_D)&gt;=(power_mw*hours_per_day*damas_afrr_down*capacity_mult_D*stack_capacity*acceptance_rate+(MIN(DAMAS_Daily!D105*market_share_D*acceptance_rate*stack_activation,power_mw*hours_per_day,capacity_mwh))*DAMAS_Daily!F105*activation_mult_D),"aFRR+","aFRR-")</f>
        <v/>
      </c>
      <c r="D105" s="43">
        <f>IF(C105="aFRR+",damas_afrr_up*capacity_mult_D,damas_afrr_down*capacity_mult_D)</f>
        <v/>
      </c>
      <c r="E105" s="44">
        <f>acceptance_rate</f>
        <v/>
      </c>
      <c r="F105" s="28">
        <f>IF(C105="aFRR+",power_mw*hours_per_day*damas_afrr_up*capacity_mult_D*stack_capacity*acceptance_rate,power_mw*hours_per_day*damas_afrr_down*capacity_mult_D*stack_capacity*acceptance_rate)</f>
        <v/>
      </c>
      <c r="G105" s="42">
        <f>IF(C105="aFRR+",DAMAS_Daily!I105,DAMAS_Daily!J105)</f>
        <v/>
      </c>
      <c r="H105" s="43">
        <f>IF(C105="aFRR+",DAMAS_Daily!E105,DAMAS_Daily!F105)</f>
        <v/>
      </c>
      <c r="I105" s="43">
        <f>IF(C105="aFRR+",DAMAS_Daily!G105,DAMAS_Daily!H105)</f>
        <v/>
      </c>
      <c r="J105" s="45">
        <f>IF(C105="aFRR+",DAMAS_Daily!C105,DAMAS_Daily!D105)</f>
        <v/>
      </c>
      <c r="K105" s="45">
        <f>IF(C105="aFRR+",MIN(DAMAS_Daily!C105*market_share_D*acceptance_rate*stack_activation,power_mw*hours_per_day,capacity_mwh),MIN(DAMAS_Daily!D105*market_share_D*acceptance_rate*stack_activation,power_mw*hours_per_day,capacity_mwh))</f>
        <v/>
      </c>
      <c r="L105" s="42">
        <f>IF(K105&gt;=capacity_mwh-0.01,"yes","no")</f>
        <v/>
      </c>
      <c r="M105" s="28">
        <f>IF(C105="aFRR+",(MIN(DAMAS_Daily!C105*market_share_D*acceptance_rate*stack_activation,power_mw*hours_per_day,capacity_mwh))*DAMAS_Daily!E105*activation_mult_D,(MIN(DAMAS_Daily!D105*market_share_D*acceptance_rate*stack_activation,power_mw*hours_per_day,capacity_mwh))*DAMAS_Daily!F105*activation_mult_D)</f>
        <v/>
      </c>
      <c r="N105" s="29">
        <f>F105+M105</f>
        <v/>
      </c>
    </row>
    <row r="106">
      <c r="A106" s="41">
        <f>DAMAS_Daily!A106</f>
        <v/>
      </c>
      <c r="B106" s="42">
        <f>DAMAS_Daily!B106</f>
        <v/>
      </c>
      <c r="C106" s="42">
        <f>IF((power_mw*hours_per_day*damas_afrr_up*capacity_mult_D*stack_capacity*acceptance_rate+(MIN(DAMAS_Daily!C106*market_share_D*acceptance_rate*stack_activation,power_mw*hours_per_day,capacity_mwh))*DAMAS_Daily!E106*activation_mult_D)&gt;=(power_mw*hours_per_day*damas_afrr_down*capacity_mult_D*stack_capacity*acceptance_rate+(MIN(DAMAS_Daily!D106*market_share_D*acceptance_rate*stack_activation,power_mw*hours_per_day,capacity_mwh))*DAMAS_Daily!F106*activation_mult_D),"aFRR+","aFRR-")</f>
        <v/>
      </c>
      <c r="D106" s="43">
        <f>IF(C106="aFRR+",damas_afrr_up*capacity_mult_D,damas_afrr_down*capacity_mult_D)</f>
        <v/>
      </c>
      <c r="E106" s="44">
        <f>acceptance_rate</f>
        <v/>
      </c>
      <c r="F106" s="28">
        <f>IF(C106="aFRR+",power_mw*hours_per_day*damas_afrr_up*capacity_mult_D*stack_capacity*acceptance_rate,power_mw*hours_per_day*damas_afrr_down*capacity_mult_D*stack_capacity*acceptance_rate)</f>
        <v/>
      </c>
      <c r="G106" s="42">
        <f>IF(C106="aFRR+",DAMAS_Daily!I106,DAMAS_Daily!J106)</f>
        <v/>
      </c>
      <c r="H106" s="43">
        <f>IF(C106="aFRR+",DAMAS_Daily!E106,DAMAS_Daily!F106)</f>
        <v/>
      </c>
      <c r="I106" s="43">
        <f>IF(C106="aFRR+",DAMAS_Daily!G106,DAMAS_Daily!H106)</f>
        <v/>
      </c>
      <c r="J106" s="45">
        <f>IF(C106="aFRR+",DAMAS_Daily!C106,DAMAS_Daily!D106)</f>
        <v/>
      </c>
      <c r="K106" s="45">
        <f>IF(C106="aFRR+",MIN(DAMAS_Daily!C106*market_share_D*acceptance_rate*stack_activation,power_mw*hours_per_day,capacity_mwh),MIN(DAMAS_Daily!D106*market_share_D*acceptance_rate*stack_activation,power_mw*hours_per_day,capacity_mwh))</f>
        <v/>
      </c>
      <c r="L106" s="42">
        <f>IF(K106&gt;=capacity_mwh-0.01,"yes","no")</f>
        <v/>
      </c>
      <c r="M106" s="28">
        <f>IF(C106="aFRR+",(MIN(DAMAS_Daily!C106*market_share_D*acceptance_rate*stack_activation,power_mw*hours_per_day,capacity_mwh))*DAMAS_Daily!E106*activation_mult_D,(MIN(DAMAS_Daily!D106*market_share_D*acceptance_rate*stack_activation,power_mw*hours_per_day,capacity_mwh))*DAMAS_Daily!F106*activation_mult_D)</f>
        <v/>
      </c>
      <c r="N106" s="29">
        <f>F106+M106</f>
        <v/>
      </c>
    </row>
    <row r="107">
      <c r="A107" s="41">
        <f>DAMAS_Daily!A107</f>
        <v/>
      </c>
      <c r="B107" s="42">
        <f>DAMAS_Daily!B107</f>
        <v/>
      </c>
      <c r="C107" s="42">
        <f>IF((power_mw*hours_per_day*damas_afrr_up*capacity_mult_D*stack_capacity*acceptance_rate+(MIN(DAMAS_Daily!C107*market_share_D*acceptance_rate*stack_activation,power_mw*hours_per_day,capacity_mwh))*DAMAS_Daily!E107*activation_mult_D)&gt;=(power_mw*hours_per_day*damas_afrr_down*capacity_mult_D*stack_capacity*acceptance_rate+(MIN(DAMAS_Daily!D107*market_share_D*acceptance_rate*stack_activation,power_mw*hours_per_day,capacity_mwh))*DAMAS_Daily!F107*activation_mult_D),"aFRR+","aFRR-")</f>
        <v/>
      </c>
      <c r="D107" s="43">
        <f>IF(C107="aFRR+",damas_afrr_up*capacity_mult_D,damas_afrr_down*capacity_mult_D)</f>
        <v/>
      </c>
      <c r="E107" s="44">
        <f>acceptance_rate</f>
        <v/>
      </c>
      <c r="F107" s="28">
        <f>IF(C107="aFRR+",power_mw*hours_per_day*damas_afrr_up*capacity_mult_D*stack_capacity*acceptance_rate,power_mw*hours_per_day*damas_afrr_down*capacity_mult_D*stack_capacity*acceptance_rate)</f>
        <v/>
      </c>
      <c r="G107" s="42">
        <f>IF(C107="aFRR+",DAMAS_Daily!I107,DAMAS_Daily!J107)</f>
        <v/>
      </c>
      <c r="H107" s="43">
        <f>IF(C107="aFRR+",DAMAS_Daily!E107,DAMAS_Daily!F107)</f>
        <v/>
      </c>
      <c r="I107" s="43">
        <f>IF(C107="aFRR+",DAMAS_Daily!G107,DAMAS_Daily!H107)</f>
        <v/>
      </c>
      <c r="J107" s="45">
        <f>IF(C107="aFRR+",DAMAS_Daily!C107,DAMAS_Daily!D107)</f>
        <v/>
      </c>
      <c r="K107" s="45">
        <f>IF(C107="aFRR+",MIN(DAMAS_Daily!C107*market_share_D*acceptance_rate*stack_activation,power_mw*hours_per_day,capacity_mwh),MIN(DAMAS_Daily!D107*market_share_D*acceptance_rate*stack_activation,power_mw*hours_per_day,capacity_mwh))</f>
        <v/>
      </c>
      <c r="L107" s="42">
        <f>IF(K107&gt;=capacity_mwh-0.01,"yes","no")</f>
        <v/>
      </c>
      <c r="M107" s="28">
        <f>IF(C107="aFRR+",(MIN(DAMAS_Daily!C107*market_share_D*acceptance_rate*stack_activation,power_mw*hours_per_day,capacity_mwh))*DAMAS_Daily!E107*activation_mult_D,(MIN(DAMAS_Daily!D107*market_share_D*acceptance_rate*stack_activation,power_mw*hours_per_day,capacity_mwh))*DAMAS_Daily!F107*activation_mult_D)</f>
        <v/>
      </c>
      <c r="N107" s="29">
        <f>F107+M107</f>
        <v/>
      </c>
    </row>
    <row r="108">
      <c r="A108" s="41">
        <f>DAMAS_Daily!A108</f>
        <v/>
      </c>
      <c r="B108" s="42">
        <f>DAMAS_Daily!B108</f>
        <v/>
      </c>
      <c r="C108" s="42">
        <f>IF((power_mw*hours_per_day*damas_afrr_up*capacity_mult_D*stack_capacity*acceptance_rate+(MIN(DAMAS_Daily!C108*market_share_D*acceptance_rate*stack_activation,power_mw*hours_per_day,capacity_mwh))*DAMAS_Daily!E108*activation_mult_D)&gt;=(power_mw*hours_per_day*damas_afrr_down*capacity_mult_D*stack_capacity*acceptance_rate+(MIN(DAMAS_Daily!D108*market_share_D*acceptance_rate*stack_activation,power_mw*hours_per_day,capacity_mwh))*DAMAS_Daily!F108*activation_mult_D),"aFRR+","aFRR-")</f>
        <v/>
      </c>
      <c r="D108" s="43">
        <f>IF(C108="aFRR+",damas_afrr_up*capacity_mult_D,damas_afrr_down*capacity_mult_D)</f>
        <v/>
      </c>
      <c r="E108" s="44">
        <f>acceptance_rate</f>
        <v/>
      </c>
      <c r="F108" s="28">
        <f>IF(C108="aFRR+",power_mw*hours_per_day*damas_afrr_up*capacity_mult_D*stack_capacity*acceptance_rate,power_mw*hours_per_day*damas_afrr_down*capacity_mult_D*stack_capacity*acceptance_rate)</f>
        <v/>
      </c>
      <c r="G108" s="42">
        <f>IF(C108="aFRR+",DAMAS_Daily!I108,DAMAS_Daily!J108)</f>
        <v/>
      </c>
      <c r="H108" s="43">
        <f>IF(C108="aFRR+",DAMAS_Daily!E108,DAMAS_Daily!F108)</f>
        <v/>
      </c>
      <c r="I108" s="43">
        <f>IF(C108="aFRR+",DAMAS_Daily!G108,DAMAS_Daily!H108)</f>
        <v/>
      </c>
      <c r="J108" s="45">
        <f>IF(C108="aFRR+",DAMAS_Daily!C108,DAMAS_Daily!D108)</f>
        <v/>
      </c>
      <c r="K108" s="45">
        <f>IF(C108="aFRR+",MIN(DAMAS_Daily!C108*market_share_D*acceptance_rate*stack_activation,power_mw*hours_per_day,capacity_mwh),MIN(DAMAS_Daily!D108*market_share_D*acceptance_rate*stack_activation,power_mw*hours_per_day,capacity_mwh))</f>
        <v/>
      </c>
      <c r="L108" s="42">
        <f>IF(K108&gt;=capacity_mwh-0.01,"yes","no")</f>
        <v/>
      </c>
      <c r="M108" s="28">
        <f>IF(C108="aFRR+",(MIN(DAMAS_Daily!C108*market_share_D*acceptance_rate*stack_activation,power_mw*hours_per_day,capacity_mwh))*DAMAS_Daily!E108*activation_mult_D,(MIN(DAMAS_Daily!D108*market_share_D*acceptance_rate*stack_activation,power_mw*hours_per_day,capacity_mwh))*DAMAS_Daily!F108*activation_mult_D)</f>
        <v/>
      </c>
      <c r="N108" s="29">
        <f>F108+M108</f>
        <v/>
      </c>
    </row>
    <row r="109">
      <c r="A109" s="41">
        <f>DAMAS_Daily!A109</f>
        <v/>
      </c>
      <c r="B109" s="42">
        <f>DAMAS_Daily!B109</f>
        <v/>
      </c>
      <c r="C109" s="42">
        <f>IF((power_mw*hours_per_day*damas_afrr_up*capacity_mult_D*stack_capacity*acceptance_rate+(MIN(DAMAS_Daily!C109*market_share_D*acceptance_rate*stack_activation,power_mw*hours_per_day,capacity_mwh))*DAMAS_Daily!E109*activation_mult_D)&gt;=(power_mw*hours_per_day*damas_afrr_down*capacity_mult_D*stack_capacity*acceptance_rate+(MIN(DAMAS_Daily!D109*market_share_D*acceptance_rate*stack_activation,power_mw*hours_per_day,capacity_mwh))*DAMAS_Daily!F109*activation_mult_D),"aFRR+","aFRR-")</f>
        <v/>
      </c>
      <c r="D109" s="43">
        <f>IF(C109="aFRR+",damas_afrr_up*capacity_mult_D,damas_afrr_down*capacity_mult_D)</f>
        <v/>
      </c>
      <c r="E109" s="44">
        <f>acceptance_rate</f>
        <v/>
      </c>
      <c r="F109" s="28">
        <f>IF(C109="aFRR+",power_mw*hours_per_day*damas_afrr_up*capacity_mult_D*stack_capacity*acceptance_rate,power_mw*hours_per_day*damas_afrr_down*capacity_mult_D*stack_capacity*acceptance_rate)</f>
        <v/>
      </c>
      <c r="G109" s="42">
        <f>IF(C109="aFRR+",DAMAS_Daily!I109,DAMAS_Daily!J109)</f>
        <v/>
      </c>
      <c r="H109" s="43">
        <f>IF(C109="aFRR+",DAMAS_Daily!E109,DAMAS_Daily!F109)</f>
        <v/>
      </c>
      <c r="I109" s="43">
        <f>IF(C109="aFRR+",DAMAS_Daily!G109,DAMAS_Daily!H109)</f>
        <v/>
      </c>
      <c r="J109" s="45">
        <f>IF(C109="aFRR+",DAMAS_Daily!C109,DAMAS_Daily!D109)</f>
        <v/>
      </c>
      <c r="K109" s="45">
        <f>IF(C109="aFRR+",MIN(DAMAS_Daily!C109*market_share_D*acceptance_rate*stack_activation,power_mw*hours_per_day,capacity_mwh),MIN(DAMAS_Daily!D109*market_share_D*acceptance_rate*stack_activation,power_mw*hours_per_day,capacity_mwh))</f>
        <v/>
      </c>
      <c r="L109" s="42">
        <f>IF(K109&gt;=capacity_mwh-0.01,"yes","no")</f>
        <v/>
      </c>
      <c r="M109" s="28">
        <f>IF(C109="aFRR+",(MIN(DAMAS_Daily!C109*market_share_D*acceptance_rate*stack_activation,power_mw*hours_per_day,capacity_mwh))*DAMAS_Daily!E109*activation_mult_D,(MIN(DAMAS_Daily!D109*market_share_D*acceptance_rate*stack_activation,power_mw*hours_per_day,capacity_mwh))*DAMAS_Daily!F109*activation_mult_D)</f>
        <v/>
      </c>
      <c r="N109" s="29">
        <f>F109+M109</f>
        <v/>
      </c>
    </row>
    <row r="110">
      <c r="A110" s="41">
        <f>DAMAS_Daily!A110</f>
        <v/>
      </c>
      <c r="B110" s="42">
        <f>DAMAS_Daily!B110</f>
        <v/>
      </c>
      <c r="C110" s="42">
        <f>IF((power_mw*hours_per_day*damas_afrr_up*capacity_mult_D*stack_capacity*acceptance_rate+(MIN(DAMAS_Daily!C110*market_share_D*acceptance_rate*stack_activation,power_mw*hours_per_day,capacity_mwh))*DAMAS_Daily!E110*activation_mult_D)&gt;=(power_mw*hours_per_day*damas_afrr_down*capacity_mult_D*stack_capacity*acceptance_rate+(MIN(DAMAS_Daily!D110*market_share_D*acceptance_rate*stack_activation,power_mw*hours_per_day,capacity_mwh))*DAMAS_Daily!F110*activation_mult_D),"aFRR+","aFRR-")</f>
        <v/>
      </c>
      <c r="D110" s="43">
        <f>IF(C110="aFRR+",damas_afrr_up*capacity_mult_D,damas_afrr_down*capacity_mult_D)</f>
        <v/>
      </c>
      <c r="E110" s="44">
        <f>acceptance_rate</f>
        <v/>
      </c>
      <c r="F110" s="28">
        <f>IF(C110="aFRR+",power_mw*hours_per_day*damas_afrr_up*capacity_mult_D*stack_capacity*acceptance_rate,power_mw*hours_per_day*damas_afrr_down*capacity_mult_D*stack_capacity*acceptance_rate)</f>
        <v/>
      </c>
      <c r="G110" s="42">
        <f>IF(C110="aFRR+",DAMAS_Daily!I110,DAMAS_Daily!J110)</f>
        <v/>
      </c>
      <c r="H110" s="43">
        <f>IF(C110="aFRR+",DAMAS_Daily!E110,DAMAS_Daily!F110)</f>
        <v/>
      </c>
      <c r="I110" s="43">
        <f>IF(C110="aFRR+",DAMAS_Daily!G110,DAMAS_Daily!H110)</f>
        <v/>
      </c>
      <c r="J110" s="45">
        <f>IF(C110="aFRR+",DAMAS_Daily!C110,DAMAS_Daily!D110)</f>
        <v/>
      </c>
      <c r="K110" s="45">
        <f>IF(C110="aFRR+",MIN(DAMAS_Daily!C110*market_share_D*acceptance_rate*stack_activation,power_mw*hours_per_day,capacity_mwh),MIN(DAMAS_Daily!D110*market_share_D*acceptance_rate*stack_activation,power_mw*hours_per_day,capacity_mwh))</f>
        <v/>
      </c>
      <c r="L110" s="42">
        <f>IF(K110&gt;=capacity_mwh-0.01,"yes","no")</f>
        <v/>
      </c>
      <c r="M110" s="28">
        <f>IF(C110="aFRR+",(MIN(DAMAS_Daily!C110*market_share_D*acceptance_rate*stack_activation,power_mw*hours_per_day,capacity_mwh))*DAMAS_Daily!E110*activation_mult_D,(MIN(DAMAS_Daily!D110*market_share_D*acceptance_rate*stack_activation,power_mw*hours_per_day,capacity_mwh))*DAMAS_Daily!F110*activation_mult_D)</f>
        <v/>
      </c>
      <c r="N110" s="29">
        <f>F110+M110</f>
        <v/>
      </c>
    </row>
    <row r="111">
      <c r="A111" s="41">
        <f>DAMAS_Daily!A111</f>
        <v/>
      </c>
      <c r="B111" s="42">
        <f>DAMAS_Daily!B111</f>
        <v/>
      </c>
      <c r="C111" s="42">
        <f>IF((power_mw*hours_per_day*damas_afrr_up*capacity_mult_D*stack_capacity*acceptance_rate+(MIN(DAMAS_Daily!C111*market_share_D*acceptance_rate*stack_activation,power_mw*hours_per_day,capacity_mwh))*DAMAS_Daily!E111*activation_mult_D)&gt;=(power_mw*hours_per_day*damas_afrr_down*capacity_mult_D*stack_capacity*acceptance_rate+(MIN(DAMAS_Daily!D111*market_share_D*acceptance_rate*stack_activation,power_mw*hours_per_day,capacity_mwh))*DAMAS_Daily!F111*activation_mult_D),"aFRR+","aFRR-")</f>
        <v/>
      </c>
      <c r="D111" s="43">
        <f>IF(C111="aFRR+",damas_afrr_up*capacity_mult_D,damas_afrr_down*capacity_mult_D)</f>
        <v/>
      </c>
      <c r="E111" s="44">
        <f>acceptance_rate</f>
        <v/>
      </c>
      <c r="F111" s="28">
        <f>IF(C111="aFRR+",power_mw*hours_per_day*damas_afrr_up*capacity_mult_D*stack_capacity*acceptance_rate,power_mw*hours_per_day*damas_afrr_down*capacity_mult_D*stack_capacity*acceptance_rate)</f>
        <v/>
      </c>
      <c r="G111" s="42">
        <f>IF(C111="aFRR+",DAMAS_Daily!I111,DAMAS_Daily!J111)</f>
        <v/>
      </c>
      <c r="H111" s="43">
        <f>IF(C111="aFRR+",DAMAS_Daily!E111,DAMAS_Daily!F111)</f>
        <v/>
      </c>
      <c r="I111" s="43">
        <f>IF(C111="aFRR+",DAMAS_Daily!G111,DAMAS_Daily!H111)</f>
        <v/>
      </c>
      <c r="J111" s="45">
        <f>IF(C111="aFRR+",DAMAS_Daily!C111,DAMAS_Daily!D111)</f>
        <v/>
      </c>
      <c r="K111" s="45">
        <f>IF(C111="aFRR+",MIN(DAMAS_Daily!C111*market_share_D*acceptance_rate*stack_activation,power_mw*hours_per_day,capacity_mwh),MIN(DAMAS_Daily!D111*market_share_D*acceptance_rate*stack_activation,power_mw*hours_per_day,capacity_mwh))</f>
        <v/>
      </c>
      <c r="L111" s="42">
        <f>IF(K111&gt;=capacity_mwh-0.01,"yes","no")</f>
        <v/>
      </c>
      <c r="M111" s="28">
        <f>IF(C111="aFRR+",(MIN(DAMAS_Daily!C111*market_share_D*acceptance_rate*stack_activation,power_mw*hours_per_day,capacity_mwh))*DAMAS_Daily!E111*activation_mult_D,(MIN(DAMAS_Daily!D111*market_share_D*acceptance_rate*stack_activation,power_mw*hours_per_day,capacity_mwh))*DAMAS_Daily!F111*activation_mult_D)</f>
        <v/>
      </c>
      <c r="N111" s="29">
        <f>F111+M111</f>
        <v/>
      </c>
    </row>
    <row r="112">
      <c r="A112" s="41">
        <f>DAMAS_Daily!A112</f>
        <v/>
      </c>
      <c r="B112" s="42">
        <f>DAMAS_Daily!B112</f>
        <v/>
      </c>
      <c r="C112" s="42">
        <f>IF((power_mw*hours_per_day*damas_afrr_up*capacity_mult_D*stack_capacity*acceptance_rate+(MIN(DAMAS_Daily!C112*market_share_D*acceptance_rate*stack_activation,power_mw*hours_per_day,capacity_mwh))*DAMAS_Daily!E112*activation_mult_D)&gt;=(power_mw*hours_per_day*damas_afrr_down*capacity_mult_D*stack_capacity*acceptance_rate+(MIN(DAMAS_Daily!D112*market_share_D*acceptance_rate*stack_activation,power_mw*hours_per_day,capacity_mwh))*DAMAS_Daily!F112*activation_mult_D),"aFRR+","aFRR-")</f>
        <v/>
      </c>
      <c r="D112" s="43">
        <f>IF(C112="aFRR+",damas_afrr_up*capacity_mult_D,damas_afrr_down*capacity_mult_D)</f>
        <v/>
      </c>
      <c r="E112" s="44">
        <f>acceptance_rate</f>
        <v/>
      </c>
      <c r="F112" s="28">
        <f>IF(C112="aFRR+",power_mw*hours_per_day*damas_afrr_up*capacity_mult_D*stack_capacity*acceptance_rate,power_mw*hours_per_day*damas_afrr_down*capacity_mult_D*stack_capacity*acceptance_rate)</f>
        <v/>
      </c>
      <c r="G112" s="42">
        <f>IF(C112="aFRR+",DAMAS_Daily!I112,DAMAS_Daily!J112)</f>
        <v/>
      </c>
      <c r="H112" s="43">
        <f>IF(C112="aFRR+",DAMAS_Daily!E112,DAMAS_Daily!F112)</f>
        <v/>
      </c>
      <c r="I112" s="43">
        <f>IF(C112="aFRR+",DAMAS_Daily!G112,DAMAS_Daily!H112)</f>
        <v/>
      </c>
      <c r="J112" s="45">
        <f>IF(C112="aFRR+",DAMAS_Daily!C112,DAMAS_Daily!D112)</f>
        <v/>
      </c>
      <c r="K112" s="45">
        <f>IF(C112="aFRR+",MIN(DAMAS_Daily!C112*market_share_D*acceptance_rate*stack_activation,power_mw*hours_per_day,capacity_mwh),MIN(DAMAS_Daily!D112*market_share_D*acceptance_rate*stack_activation,power_mw*hours_per_day,capacity_mwh))</f>
        <v/>
      </c>
      <c r="L112" s="42">
        <f>IF(K112&gt;=capacity_mwh-0.01,"yes","no")</f>
        <v/>
      </c>
      <c r="M112" s="28">
        <f>IF(C112="aFRR+",(MIN(DAMAS_Daily!C112*market_share_D*acceptance_rate*stack_activation,power_mw*hours_per_day,capacity_mwh))*DAMAS_Daily!E112*activation_mult_D,(MIN(DAMAS_Daily!D112*market_share_D*acceptance_rate*stack_activation,power_mw*hours_per_day,capacity_mwh))*DAMAS_Daily!F112*activation_mult_D)</f>
        <v/>
      </c>
      <c r="N112" s="29">
        <f>F112+M112</f>
        <v/>
      </c>
    </row>
    <row r="113">
      <c r="A113" s="41">
        <f>DAMAS_Daily!A113</f>
        <v/>
      </c>
      <c r="B113" s="42">
        <f>DAMAS_Daily!B113</f>
        <v/>
      </c>
      <c r="C113" s="42">
        <f>IF((power_mw*hours_per_day*damas_afrr_up*capacity_mult_D*stack_capacity*acceptance_rate+(MIN(DAMAS_Daily!C113*market_share_D*acceptance_rate*stack_activation,power_mw*hours_per_day,capacity_mwh))*DAMAS_Daily!E113*activation_mult_D)&gt;=(power_mw*hours_per_day*damas_afrr_down*capacity_mult_D*stack_capacity*acceptance_rate+(MIN(DAMAS_Daily!D113*market_share_D*acceptance_rate*stack_activation,power_mw*hours_per_day,capacity_mwh))*DAMAS_Daily!F113*activation_mult_D),"aFRR+","aFRR-")</f>
        <v/>
      </c>
      <c r="D113" s="43">
        <f>IF(C113="aFRR+",damas_afrr_up*capacity_mult_D,damas_afrr_down*capacity_mult_D)</f>
        <v/>
      </c>
      <c r="E113" s="44">
        <f>acceptance_rate</f>
        <v/>
      </c>
      <c r="F113" s="28">
        <f>IF(C113="aFRR+",power_mw*hours_per_day*damas_afrr_up*capacity_mult_D*stack_capacity*acceptance_rate,power_mw*hours_per_day*damas_afrr_down*capacity_mult_D*stack_capacity*acceptance_rate)</f>
        <v/>
      </c>
      <c r="G113" s="42">
        <f>IF(C113="aFRR+",DAMAS_Daily!I113,DAMAS_Daily!J113)</f>
        <v/>
      </c>
      <c r="H113" s="43">
        <f>IF(C113="aFRR+",DAMAS_Daily!E113,DAMAS_Daily!F113)</f>
        <v/>
      </c>
      <c r="I113" s="43">
        <f>IF(C113="aFRR+",DAMAS_Daily!G113,DAMAS_Daily!H113)</f>
        <v/>
      </c>
      <c r="J113" s="45">
        <f>IF(C113="aFRR+",DAMAS_Daily!C113,DAMAS_Daily!D113)</f>
        <v/>
      </c>
      <c r="K113" s="45">
        <f>IF(C113="aFRR+",MIN(DAMAS_Daily!C113*market_share_D*acceptance_rate*stack_activation,power_mw*hours_per_day,capacity_mwh),MIN(DAMAS_Daily!D113*market_share_D*acceptance_rate*stack_activation,power_mw*hours_per_day,capacity_mwh))</f>
        <v/>
      </c>
      <c r="L113" s="42">
        <f>IF(K113&gt;=capacity_mwh-0.01,"yes","no")</f>
        <v/>
      </c>
      <c r="M113" s="28">
        <f>IF(C113="aFRR+",(MIN(DAMAS_Daily!C113*market_share_D*acceptance_rate*stack_activation,power_mw*hours_per_day,capacity_mwh))*DAMAS_Daily!E113*activation_mult_D,(MIN(DAMAS_Daily!D113*market_share_D*acceptance_rate*stack_activation,power_mw*hours_per_day,capacity_mwh))*DAMAS_Daily!F113*activation_mult_D)</f>
        <v/>
      </c>
      <c r="N113" s="29">
        <f>F113+M113</f>
        <v/>
      </c>
    </row>
    <row r="114">
      <c r="A114" s="41">
        <f>DAMAS_Daily!A114</f>
        <v/>
      </c>
      <c r="B114" s="42">
        <f>DAMAS_Daily!B114</f>
        <v/>
      </c>
      <c r="C114" s="42">
        <f>IF((power_mw*hours_per_day*damas_afrr_up*capacity_mult_D*stack_capacity*acceptance_rate+(MIN(DAMAS_Daily!C114*market_share_D*acceptance_rate*stack_activation,power_mw*hours_per_day,capacity_mwh))*DAMAS_Daily!E114*activation_mult_D)&gt;=(power_mw*hours_per_day*damas_afrr_down*capacity_mult_D*stack_capacity*acceptance_rate+(MIN(DAMAS_Daily!D114*market_share_D*acceptance_rate*stack_activation,power_mw*hours_per_day,capacity_mwh))*DAMAS_Daily!F114*activation_mult_D),"aFRR+","aFRR-")</f>
        <v/>
      </c>
      <c r="D114" s="43">
        <f>IF(C114="aFRR+",damas_afrr_up*capacity_mult_D,damas_afrr_down*capacity_mult_D)</f>
        <v/>
      </c>
      <c r="E114" s="44">
        <f>acceptance_rate</f>
        <v/>
      </c>
      <c r="F114" s="28">
        <f>IF(C114="aFRR+",power_mw*hours_per_day*damas_afrr_up*capacity_mult_D*stack_capacity*acceptance_rate,power_mw*hours_per_day*damas_afrr_down*capacity_mult_D*stack_capacity*acceptance_rate)</f>
        <v/>
      </c>
      <c r="G114" s="42">
        <f>IF(C114="aFRR+",DAMAS_Daily!I114,DAMAS_Daily!J114)</f>
        <v/>
      </c>
      <c r="H114" s="43">
        <f>IF(C114="aFRR+",DAMAS_Daily!E114,DAMAS_Daily!F114)</f>
        <v/>
      </c>
      <c r="I114" s="43">
        <f>IF(C114="aFRR+",DAMAS_Daily!G114,DAMAS_Daily!H114)</f>
        <v/>
      </c>
      <c r="J114" s="45">
        <f>IF(C114="aFRR+",DAMAS_Daily!C114,DAMAS_Daily!D114)</f>
        <v/>
      </c>
      <c r="K114" s="45">
        <f>IF(C114="aFRR+",MIN(DAMAS_Daily!C114*market_share_D*acceptance_rate*stack_activation,power_mw*hours_per_day,capacity_mwh),MIN(DAMAS_Daily!D114*market_share_D*acceptance_rate*stack_activation,power_mw*hours_per_day,capacity_mwh))</f>
        <v/>
      </c>
      <c r="L114" s="42">
        <f>IF(K114&gt;=capacity_mwh-0.01,"yes","no")</f>
        <v/>
      </c>
      <c r="M114" s="28">
        <f>IF(C114="aFRR+",(MIN(DAMAS_Daily!C114*market_share_D*acceptance_rate*stack_activation,power_mw*hours_per_day,capacity_mwh))*DAMAS_Daily!E114*activation_mult_D,(MIN(DAMAS_Daily!D114*market_share_D*acceptance_rate*stack_activation,power_mw*hours_per_day,capacity_mwh))*DAMAS_Daily!F114*activation_mult_D)</f>
        <v/>
      </c>
      <c r="N114" s="29">
        <f>F114+M114</f>
        <v/>
      </c>
    </row>
    <row r="115">
      <c r="A115" s="41">
        <f>DAMAS_Daily!A115</f>
        <v/>
      </c>
      <c r="B115" s="42">
        <f>DAMAS_Daily!B115</f>
        <v/>
      </c>
      <c r="C115" s="42">
        <f>IF((power_mw*hours_per_day*damas_afrr_up*capacity_mult_D*stack_capacity*acceptance_rate+(MIN(DAMAS_Daily!C115*market_share_D*acceptance_rate*stack_activation,power_mw*hours_per_day,capacity_mwh))*DAMAS_Daily!E115*activation_mult_D)&gt;=(power_mw*hours_per_day*damas_afrr_down*capacity_mult_D*stack_capacity*acceptance_rate+(MIN(DAMAS_Daily!D115*market_share_D*acceptance_rate*stack_activation,power_mw*hours_per_day,capacity_mwh))*DAMAS_Daily!F115*activation_mult_D),"aFRR+","aFRR-")</f>
        <v/>
      </c>
      <c r="D115" s="43">
        <f>IF(C115="aFRR+",damas_afrr_up*capacity_mult_D,damas_afrr_down*capacity_mult_D)</f>
        <v/>
      </c>
      <c r="E115" s="44">
        <f>acceptance_rate</f>
        <v/>
      </c>
      <c r="F115" s="28">
        <f>IF(C115="aFRR+",power_mw*hours_per_day*damas_afrr_up*capacity_mult_D*stack_capacity*acceptance_rate,power_mw*hours_per_day*damas_afrr_down*capacity_mult_D*stack_capacity*acceptance_rate)</f>
        <v/>
      </c>
      <c r="G115" s="42">
        <f>IF(C115="aFRR+",DAMAS_Daily!I115,DAMAS_Daily!J115)</f>
        <v/>
      </c>
      <c r="H115" s="43">
        <f>IF(C115="aFRR+",DAMAS_Daily!E115,DAMAS_Daily!F115)</f>
        <v/>
      </c>
      <c r="I115" s="43">
        <f>IF(C115="aFRR+",DAMAS_Daily!G115,DAMAS_Daily!H115)</f>
        <v/>
      </c>
      <c r="J115" s="45">
        <f>IF(C115="aFRR+",DAMAS_Daily!C115,DAMAS_Daily!D115)</f>
        <v/>
      </c>
      <c r="K115" s="45">
        <f>IF(C115="aFRR+",MIN(DAMAS_Daily!C115*market_share_D*acceptance_rate*stack_activation,power_mw*hours_per_day,capacity_mwh),MIN(DAMAS_Daily!D115*market_share_D*acceptance_rate*stack_activation,power_mw*hours_per_day,capacity_mwh))</f>
        <v/>
      </c>
      <c r="L115" s="42">
        <f>IF(K115&gt;=capacity_mwh-0.01,"yes","no")</f>
        <v/>
      </c>
      <c r="M115" s="28">
        <f>IF(C115="aFRR+",(MIN(DAMAS_Daily!C115*market_share_D*acceptance_rate*stack_activation,power_mw*hours_per_day,capacity_mwh))*DAMAS_Daily!E115*activation_mult_D,(MIN(DAMAS_Daily!D115*market_share_D*acceptance_rate*stack_activation,power_mw*hours_per_day,capacity_mwh))*DAMAS_Daily!F115*activation_mult_D)</f>
        <v/>
      </c>
      <c r="N115" s="29">
        <f>F115+M115</f>
        <v/>
      </c>
    </row>
    <row r="116">
      <c r="A116" s="41">
        <f>DAMAS_Daily!A116</f>
        <v/>
      </c>
      <c r="B116" s="42">
        <f>DAMAS_Daily!B116</f>
        <v/>
      </c>
      <c r="C116" s="42">
        <f>IF((power_mw*hours_per_day*damas_afrr_up*capacity_mult_D*stack_capacity*acceptance_rate+(MIN(DAMAS_Daily!C116*market_share_D*acceptance_rate*stack_activation,power_mw*hours_per_day,capacity_mwh))*DAMAS_Daily!E116*activation_mult_D)&gt;=(power_mw*hours_per_day*damas_afrr_down*capacity_mult_D*stack_capacity*acceptance_rate+(MIN(DAMAS_Daily!D116*market_share_D*acceptance_rate*stack_activation,power_mw*hours_per_day,capacity_mwh))*DAMAS_Daily!F116*activation_mult_D),"aFRR+","aFRR-")</f>
        <v/>
      </c>
      <c r="D116" s="43">
        <f>IF(C116="aFRR+",damas_afrr_up*capacity_mult_D,damas_afrr_down*capacity_mult_D)</f>
        <v/>
      </c>
      <c r="E116" s="44">
        <f>acceptance_rate</f>
        <v/>
      </c>
      <c r="F116" s="28">
        <f>IF(C116="aFRR+",power_mw*hours_per_day*damas_afrr_up*capacity_mult_D*stack_capacity*acceptance_rate,power_mw*hours_per_day*damas_afrr_down*capacity_mult_D*stack_capacity*acceptance_rate)</f>
        <v/>
      </c>
      <c r="G116" s="42">
        <f>IF(C116="aFRR+",DAMAS_Daily!I116,DAMAS_Daily!J116)</f>
        <v/>
      </c>
      <c r="H116" s="43">
        <f>IF(C116="aFRR+",DAMAS_Daily!E116,DAMAS_Daily!F116)</f>
        <v/>
      </c>
      <c r="I116" s="43">
        <f>IF(C116="aFRR+",DAMAS_Daily!G116,DAMAS_Daily!H116)</f>
        <v/>
      </c>
      <c r="J116" s="45">
        <f>IF(C116="aFRR+",DAMAS_Daily!C116,DAMAS_Daily!D116)</f>
        <v/>
      </c>
      <c r="K116" s="45">
        <f>IF(C116="aFRR+",MIN(DAMAS_Daily!C116*market_share_D*acceptance_rate*stack_activation,power_mw*hours_per_day,capacity_mwh),MIN(DAMAS_Daily!D116*market_share_D*acceptance_rate*stack_activation,power_mw*hours_per_day,capacity_mwh))</f>
        <v/>
      </c>
      <c r="L116" s="42">
        <f>IF(K116&gt;=capacity_mwh-0.01,"yes","no")</f>
        <v/>
      </c>
      <c r="M116" s="28">
        <f>IF(C116="aFRR+",(MIN(DAMAS_Daily!C116*market_share_D*acceptance_rate*stack_activation,power_mw*hours_per_day,capacity_mwh))*DAMAS_Daily!E116*activation_mult_D,(MIN(DAMAS_Daily!D116*market_share_D*acceptance_rate*stack_activation,power_mw*hours_per_day,capacity_mwh))*DAMAS_Daily!F116*activation_mult_D)</f>
        <v/>
      </c>
      <c r="N116" s="29">
        <f>F116+M116</f>
        <v/>
      </c>
    </row>
    <row r="117">
      <c r="A117" s="41">
        <f>DAMAS_Daily!A117</f>
        <v/>
      </c>
      <c r="B117" s="42">
        <f>DAMAS_Daily!B117</f>
        <v/>
      </c>
      <c r="C117" s="42">
        <f>IF((power_mw*hours_per_day*damas_afrr_up*capacity_mult_D*stack_capacity*acceptance_rate+(MIN(DAMAS_Daily!C117*market_share_D*acceptance_rate*stack_activation,power_mw*hours_per_day,capacity_mwh))*DAMAS_Daily!E117*activation_mult_D)&gt;=(power_mw*hours_per_day*damas_afrr_down*capacity_mult_D*stack_capacity*acceptance_rate+(MIN(DAMAS_Daily!D117*market_share_D*acceptance_rate*stack_activation,power_mw*hours_per_day,capacity_mwh))*DAMAS_Daily!F117*activation_mult_D),"aFRR+","aFRR-")</f>
        <v/>
      </c>
      <c r="D117" s="43">
        <f>IF(C117="aFRR+",damas_afrr_up*capacity_mult_D,damas_afrr_down*capacity_mult_D)</f>
        <v/>
      </c>
      <c r="E117" s="44">
        <f>acceptance_rate</f>
        <v/>
      </c>
      <c r="F117" s="28">
        <f>IF(C117="aFRR+",power_mw*hours_per_day*damas_afrr_up*capacity_mult_D*stack_capacity*acceptance_rate,power_mw*hours_per_day*damas_afrr_down*capacity_mult_D*stack_capacity*acceptance_rate)</f>
        <v/>
      </c>
      <c r="G117" s="42">
        <f>IF(C117="aFRR+",DAMAS_Daily!I117,DAMAS_Daily!J117)</f>
        <v/>
      </c>
      <c r="H117" s="43">
        <f>IF(C117="aFRR+",DAMAS_Daily!E117,DAMAS_Daily!F117)</f>
        <v/>
      </c>
      <c r="I117" s="43">
        <f>IF(C117="aFRR+",DAMAS_Daily!G117,DAMAS_Daily!H117)</f>
        <v/>
      </c>
      <c r="J117" s="45">
        <f>IF(C117="aFRR+",DAMAS_Daily!C117,DAMAS_Daily!D117)</f>
        <v/>
      </c>
      <c r="K117" s="45">
        <f>IF(C117="aFRR+",MIN(DAMAS_Daily!C117*market_share_D*acceptance_rate*stack_activation,power_mw*hours_per_day,capacity_mwh),MIN(DAMAS_Daily!D117*market_share_D*acceptance_rate*stack_activation,power_mw*hours_per_day,capacity_mwh))</f>
        <v/>
      </c>
      <c r="L117" s="42">
        <f>IF(K117&gt;=capacity_mwh-0.01,"yes","no")</f>
        <v/>
      </c>
      <c r="M117" s="28">
        <f>IF(C117="aFRR+",(MIN(DAMAS_Daily!C117*market_share_D*acceptance_rate*stack_activation,power_mw*hours_per_day,capacity_mwh))*DAMAS_Daily!E117*activation_mult_D,(MIN(DAMAS_Daily!D117*market_share_D*acceptance_rate*stack_activation,power_mw*hours_per_day,capacity_mwh))*DAMAS_Daily!F117*activation_mult_D)</f>
        <v/>
      </c>
      <c r="N117" s="29">
        <f>F117+M117</f>
        <v/>
      </c>
    </row>
    <row r="118">
      <c r="A118" s="41">
        <f>DAMAS_Daily!A118</f>
        <v/>
      </c>
      <c r="B118" s="42">
        <f>DAMAS_Daily!B118</f>
        <v/>
      </c>
      <c r="C118" s="42">
        <f>IF((power_mw*hours_per_day*damas_afrr_up*capacity_mult_D*stack_capacity*acceptance_rate+(MIN(DAMAS_Daily!C118*market_share_D*acceptance_rate*stack_activation,power_mw*hours_per_day,capacity_mwh))*DAMAS_Daily!E118*activation_mult_D)&gt;=(power_mw*hours_per_day*damas_afrr_down*capacity_mult_D*stack_capacity*acceptance_rate+(MIN(DAMAS_Daily!D118*market_share_D*acceptance_rate*stack_activation,power_mw*hours_per_day,capacity_mwh))*DAMAS_Daily!F118*activation_mult_D),"aFRR+","aFRR-")</f>
        <v/>
      </c>
      <c r="D118" s="43">
        <f>IF(C118="aFRR+",damas_afrr_up*capacity_mult_D,damas_afrr_down*capacity_mult_D)</f>
        <v/>
      </c>
      <c r="E118" s="44">
        <f>acceptance_rate</f>
        <v/>
      </c>
      <c r="F118" s="28">
        <f>IF(C118="aFRR+",power_mw*hours_per_day*damas_afrr_up*capacity_mult_D*stack_capacity*acceptance_rate,power_mw*hours_per_day*damas_afrr_down*capacity_mult_D*stack_capacity*acceptance_rate)</f>
        <v/>
      </c>
      <c r="G118" s="42">
        <f>IF(C118="aFRR+",DAMAS_Daily!I118,DAMAS_Daily!J118)</f>
        <v/>
      </c>
      <c r="H118" s="43">
        <f>IF(C118="aFRR+",DAMAS_Daily!E118,DAMAS_Daily!F118)</f>
        <v/>
      </c>
      <c r="I118" s="43">
        <f>IF(C118="aFRR+",DAMAS_Daily!G118,DAMAS_Daily!H118)</f>
        <v/>
      </c>
      <c r="J118" s="45">
        <f>IF(C118="aFRR+",DAMAS_Daily!C118,DAMAS_Daily!D118)</f>
        <v/>
      </c>
      <c r="K118" s="45">
        <f>IF(C118="aFRR+",MIN(DAMAS_Daily!C118*market_share_D*acceptance_rate*stack_activation,power_mw*hours_per_day,capacity_mwh),MIN(DAMAS_Daily!D118*market_share_D*acceptance_rate*stack_activation,power_mw*hours_per_day,capacity_mwh))</f>
        <v/>
      </c>
      <c r="L118" s="42">
        <f>IF(K118&gt;=capacity_mwh-0.01,"yes","no")</f>
        <v/>
      </c>
      <c r="M118" s="28">
        <f>IF(C118="aFRR+",(MIN(DAMAS_Daily!C118*market_share_D*acceptance_rate*stack_activation,power_mw*hours_per_day,capacity_mwh))*DAMAS_Daily!E118*activation_mult_D,(MIN(DAMAS_Daily!D118*market_share_D*acceptance_rate*stack_activation,power_mw*hours_per_day,capacity_mwh))*DAMAS_Daily!F118*activation_mult_D)</f>
        <v/>
      </c>
      <c r="N118" s="29">
        <f>F118+M118</f>
        <v/>
      </c>
    </row>
    <row r="119">
      <c r="A119" s="41">
        <f>DAMAS_Daily!A119</f>
        <v/>
      </c>
      <c r="B119" s="42">
        <f>DAMAS_Daily!B119</f>
        <v/>
      </c>
      <c r="C119" s="42">
        <f>IF((power_mw*hours_per_day*damas_afrr_up*capacity_mult_D*stack_capacity*acceptance_rate+(MIN(DAMAS_Daily!C119*market_share_D*acceptance_rate*stack_activation,power_mw*hours_per_day,capacity_mwh))*DAMAS_Daily!E119*activation_mult_D)&gt;=(power_mw*hours_per_day*damas_afrr_down*capacity_mult_D*stack_capacity*acceptance_rate+(MIN(DAMAS_Daily!D119*market_share_D*acceptance_rate*stack_activation,power_mw*hours_per_day,capacity_mwh))*DAMAS_Daily!F119*activation_mult_D),"aFRR+","aFRR-")</f>
        <v/>
      </c>
      <c r="D119" s="43">
        <f>IF(C119="aFRR+",damas_afrr_up*capacity_mult_D,damas_afrr_down*capacity_mult_D)</f>
        <v/>
      </c>
      <c r="E119" s="44">
        <f>acceptance_rate</f>
        <v/>
      </c>
      <c r="F119" s="28">
        <f>IF(C119="aFRR+",power_mw*hours_per_day*damas_afrr_up*capacity_mult_D*stack_capacity*acceptance_rate,power_mw*hours_per_day*damas_afrr_down*capacity_mult_D*stack_capacity*acceptance_rate)</f>
        <v/>
      </c>
      <c r="G119" s="42">
        <f>IF(C119="aFRR+",DAMAS_Daily!I119,DAMAS_Daily!J119)</f>
        <v/>
      </c>
      <c r="H119" s="43">
        <f>IF(C119="aFRR+",DAMAS_Daily!E119,DAMAS_Daily!F119)</f>
        <v/>
      </c>
      <c r="I119" s="43">
        <f>IF(C119="aFRR+",DAMAS_Daily!G119,DAMAS_Daily!H119)</f>
        <v/>
      </c>
      <c r="J119" s="45">
        <f>IF(C119="aFRR+",DAMAS_Daily!C119,DAMAS_Daily!D119)</f>
        <v/>
      </c>
      <c r="K119" s="45">
        <f>IF(C119="aFRR+",MIN(DAMAS_Daily!C119*market_share_D*acceptance_rate*stack_activation,power_mw*hours_per_day,capacity_mwh),MIN(DAMAS_Daily!D119*market_share_D*acceptance_rate*stack_activation,power_mw*hours_per_day,capacity_mwh))</f>
        <v/>
      </c>
      <c r="L119" s="42">
        <f>IF(K119&gt;=capacity_mwh-0.01,"yes","no")</f>
        <v/>
      </c>
      <c r="M119" s="28">
        <f>IF(C119="aFRR+",(MIN(DAMAS_Daily!C119*market_share_D*acceptance_rate*stack_activation,power_mw*hours_per_day,capacity_mwh))*DAMAS_Daily!E119*activation_mult_D,(MIN(DAMAS_Daily!D119*market_share_D*acceptance_rate*stack_activation,power_mw*hours_per_day,capacity_mwh))*DAMAS_Daily!F119*activation_mult_D)</f>
        <v/>
      </c>
      <c r="N119" s="29">
        <f>F119+M119</f>
        <v/>
      </c>
    </row>
    <row r="120">
      <c r="A120" s="41">
        <f>DAMAS_Daily!A120</f>
        <v/>
      </c>
      <c r="B120" s="42">
        <f>DAMAS_Daily!B120</f>
        <v/>
      </c>
      <c r="C120" s="42">
        <f>IF((power_mw*hours_per_day*damas_afrr_up*capacity_mult_D*stack_capacity*acceptance_rate+(MIN(DAMAS_Daily!C120*market_share_D*acceptance_rate*stack_activation,power_mw*hours_per_day,capacity_mwh))*DAMAS_Daily!E120*activation_mult_D)&gt;=(power_mw*hours_per_day*damas_afrr_down*capacity_mult_D*stack_capacity*acceptance_rate+(MIN(DAMAS_Daily!D120*market_share_D*acceptance_rate*stack_activation,power_mw*hours_per_day,capacity_mwh))*DAMAS_Daily!F120*activation_mult_D),"aFRR+","aFRR-")</f>
        <v/>
      </c>
      <c r="D120" s="43">
        <f>IF(C120="aFRR+",damas_afrr_up*capacity_mult_D,damas_afrr_down*capacity_mult_D)</f>
        <v/>
      </c>
      <c r="E120" s="44">
        <f>acceptance_rate</f>
        <v/>
      </c>
      <c r="F120" s="28">
        <f>IF(C120="aFRR+",power_mw*hours_per_day*damas_afrr_up*capacity_mult_D*stack_capacity*acceptance_rate,power_mw*hours_per_day*damas_afrr_down*capacity_mult_D*stack_capacity*acceptance_rate)</f>
        <v/>
      </c>
      <c r="G120" s="42">
        <f>IF(C120="aFRR+",DAMAS_Daily!I120,DAMAS_Daily!J120)</f>
        <v/>
      </c>
      <c r="H120" s="43">
        <f>IF(C120="aFRR+",DAMAS_Daily!E120,DAMAS_Daily!F120)</f>
        <v/>
      </c>
      <c r="I120" s="43">
        <f>IF(C120="aFRR+",DAMAS_Daily!G120,DAMAS_Daily!H120)</f>
        <v/>
      </c>
      <c r="J120" s="45">
        <f>IF(C120="aFRR+",DAMAS_Daily!C120,DAMAS_Daily!D120)</f>
        <v/>
      </c>
      <c r="K120" s="45">
        <f>IF(C120="aFRR+",MIN(DAMAS_Daily!C120*market_share_D*acceptance_rate*stack_activation,power_mw*hours_per_day,capacity_mwh),MIN(DAMAS_Daily!D120*market_share_D*acceptance_rate*stack_activation,power_mw*hours_per_day,capacity_mwh))</f>
        <v/>
      </c>
      <c r="L120" s="42">
        <f>IF(K120&gt;=capacity_mwh-0.01,"yes","no")</f>
        <v/>
      </c>
      <c r="M120" s="28">
        <f>IF(C120="aFRR+",(MIN(DAMAS_Daily!C120*market_share_D*acceptance_rate*stack_activation,power_mw*hours_per_day,capacity_mwh))*DAMAS_Daily!E120*activation_mult_D,(MIN(DAMAS_Daily!D120*market_share_D*acceptance_rate*stack_activation,power_mw*hours_per_day,capacity_mwh))*DAMAS_Daily!F120*activation_mult_D)</f>
        <v/>
      </c>
      <c r="N120" s="29">
        <f>F120+M120</f>
        <v/>
      </c>
    </row>
    <row r="121">
      <c r="A121" s="41">
        <f>DAMAS_Daily!A121</f>
        <v/>
      </c>
      <c r="B121" s="42">
        <f>DAMAS_Daily!B121</f>
        <v/>
      </c>
      <c r="C121" s="42">
        <f>IF((power_mw*hours_per_day*damas_afrr_up*capacity_mult_D*stack_capacity*acceptance_rate+(MIN(DAMAS_Daily!C121*market_share_D*acceptance_rate*stack_activation,power_mw*hours_per_day,capacity_mwh))*DAMAS_Daily!E121*activation_mult_D)&gt;=(power_mw*hours_per_day*damas_afrr_down*capacity_mult_D*stack_capacity*acceptance_rate+(MIN(DAMAS_Daily!D121*market_share_D*acceptance_rate*stack_activation,power_mw*hours_per_day,capacity_mwh))*DAMAS_Daily!F121*activation_mult_D),"aFRR+","aFRR-")</f>
        <v/>
      </c>
      <c r="D121" s="43">
        <f>IF(C121="aFRR+",damas_afrr_up*capacity_mult_D,damas_afrr_down*capacity_mult_D)</f>
        <v/>
      </c>
      <c r="E121" s="44">
        <f>acceptance_rate</f>
        <v/>
      </c>
      <c r="F121" s="28">
        <f>IF(C121="aFRR+",power_mw*hours_per_day*damas_afrr_up*capacity_mult_D*stack_capacity*acceptance_rate,power_mw*hours_per_day*damas_afrr_down*capacity_mult_D*stack_capacity*acceptance_rate)</f>
        <v/>
      </c>
      <c r="G121" s="42">
        <f>IF(C121="aFRR+",DAMAS_Daily!I121,DAMAS_Daily!J121)</f>
        <v/>
      </c>
      <c r="H121" s="43">
        <f>IF(C121="aFRR+",DAMAS_Daily!E121,DAMAS_Daily!F121)</f>
        <v/>
      </c>
      <c r="I121" s="43">
        <f>IF(C121="aFRR+",DAMAS_Daily!G121,DAMAS_Daily!H121)</f>
        <v/>
      </c>
      <c r="J121" s="45">
        <f>IF(C121="aFRR+",DAMAS_Daily!C121,DAMAS_Daily!D121)</f>
        <v/>
      </c>
      <c r="K121" s="45">
        <f>IF(C121="aFRR+",MIN(DAMAS_Daily!C121*market_share_D*acceptance_rate*stack_activation,power_mw*hours_per_day,capacity_mwh),MIN(DAMAS_Daily!D121*market_share_D*acceptance_rate*stack_activation,power_mw*hours_per_day,capacity_mwh))</f>
        <v/>
      </c>
      <c r="L121" s="42">
        <f>IF(K121&gt;=capacity_mwh-0.01,"yes","no")</f>
        <v/>
      </c>
      <c r="M121" s="28">
        <f>IF(C121="aFRR+",(MIN(DAMAS_Daily!C121*market_share_D*acceptance_rate*stack_activation,power_mw*hours_per_day,capacity_mwh))*DAMAS_Daily!E121*activation_mult_D,(MIN(DAMAS_Daily!D121*market_share_D*acceptance_rate*stack_activation,power_mw*hours_per_day,capacity_mwh))*DAMAS_Daily!F121*activation_mult_D)</f>
        <v/>
      </c>
      <c r="N121" s="29">
        <f>F121+M121</f>
        <v/>
      </c>
    </row>
    <row r="122">
      <c r="A122" s="41">
        <f>DAMAS_Daily!A122</f>
        <v/>
      </c>
      <c r="B122" s="42">
        <f>DAMAS_Daily!B122</f>
        <v/>
      </c>
      <c r="C122" s="42">
        <f>IF((power_mw*hours_per_day*damas_afrr_up*capacity_mult_D*stack_capacity*acceptance_rate+(MIN(DAMAS_Daily!C122*market_share_D*acceptance_rate*stack_activation,power_mw*hours_per_day,capacity_mwh))*DAMAS_Daily!E122*activation_mult_D)&gt;=(power_mw*hours_per_day*damas_afrr_down*capacity_mult_D*stack_capacity*acceptance_rate+(MIN(DAMAS_Daily!D122*market_share_D*acceptance_rate*stack_activation,power_mw*hours_per_day,capacity_mwh))*DAMAS_Daily!F122*activation_mult_D),"aFRR+","aFRR-")</f>
        <v/>
      </c>
      <c r="D122" s="43">
        <f>IF(C122="aFRR+",damas_afrr_up*capacity_mult_D,damas_afrr_down*capacity_mult_D)</f>
        <v/>
      </c>
      <c r="E122" s="44">
        <f>acceptance_rate</f>
        <v/>
      </c>
      <c r="F122" s="28">
        <f>IF(C122="aFRR+",power_mw*hours_per_day*damas_afrr_up*capacity_mult_D*stack_capacity*acceptance_rate,power_mw*hours_per_day*damas_afrr_down*capacity_mult_D*stack_capacity*acceptance_rate)</f>
        <v/>
      </c>
      <c r="G122" s="42">
        <f>IF(C122="aFRR+",DAMAS_Daily!I122,DAMAS_Daily!J122)</f>
        <v/>
      </c>
      <c r="H122" s="43">
        <f>IF(C122="aFRR+",DAMAS_Daily!E122,DAMAS_Daily!F122)</f>
        <v/>
      </c>
      <c r="I122" s="43">
        <f>IF(C122="aFRR+",DAMAS_Daily!G122,DAMAS_Daily!H122)</f>
        <v/>
      </c>
      <c r="J122" s="45">
        <f>IF(C122="aFRR+",DAMAS_Daily!C122,DAMAS_Daily!D122)</f>
        <v/>
      </c>
      <c r="K122" s="45">
        <f>IF(C122="aFRR+",MIN(DAMAS_Daily!C122*market_share_D*acceptance_rate*stack_activation,power_mw*hours_per_day,capacity_mwh),MIN(DAMAS_Daily!D122*market_share_D*acceptance_rate*stack_activation,power_mw*hours_per_day,capacity_mwh))</f>
        <v/>
      </c>
      <c r="L122" s="42">
        <f>IF(K122&gt;=capacity_mwh-0.01,"yes","no")</f>
        <v/>
      </c>
      <c r="M122" s="28">
        <f>IF(C122="aFRR+",(MIN(DAMAS_Daily!C122*market_share_D*acceptance_rate*stack_activation,power_mw*hours_per_day,capacity_mwh))*DAMAS_Daily!E122*activation_mult_D,(MIN(DAMAS_Daily!D122*market_share_D*acceptance_rate*stack_activation,power_mw*hours_per_day,capacity_mwh))*DAMAS_Daily!F122*activation_mult_D)</f>
        <v/>
      </c>
      <c r="N122" s="29">
        <f>F122+M122</f>
        <v/>
      </c>
    </row>
    <row r="123">
      <c r="A123" s="41">
        <f>DAMAS_Daily!A123</f>
        <v/>
      </c>
      <c r="B123" s="42">
        <f>DAMAS_Daily!B123</f>
        <v/>
      </c>
      <c r="C123" s="42">
        <f>IF((power_mw*hours_per_day*damas_afrr_up*capacity_mult_D*stack_capacity*acceptance_rate+(MIN(DAMAS_Daily!C123*market_share_D*acceptance_rate*stack_activation,power_mw*hours_per_day,capacity_mwh))*DAMAS_Daily!E123*activation_mult_D)&gt;=(power_mw*hours_per_day*damas_afrr_down*capacity_mult_D*stack_capacity*acceptance_rate+(MIN(DAMAS_Daily!D123*market_share_D*acceptance_rate*stack_activation,power_mw*hours_per_day,capacity_mwh))*DAMAS_Daily!F123*activation_mult_D),"aFRR+","aFRR-")</f>
        <v/>
      </c>
      <c r="D123" s="43">
        <f>IF(C123="aFRR+",damas_afrr_up*capacity_mult_D,damas_afrr_down*capacity_mult_D)</f>
        <v/>
      </c>
      <c r="E123" s="44">
        <f>acceptance_rate</f>
        <v/>
      </c>
      <c r="F123" s="28">
        <f>IF(C123="aFRR+",power_mw*hours_per_day*damas_afrr_up*capacity_mult_D*stack_capacity*acceptance_rate,power_mw*hours_per_day*damas_afrr_down*capacity_mult_D*stack_capacity*acceptance_rate)</f>
        <v/>
      </c>
      <c r="G123" s="42">
        <f>IF(C123="aFRR+",DAMAS_Daily!I123,DAMAS_Daily!J123)</f>
        <v/>
      </c>
      <c r="H123" s="43">
        <f>IF(C123="aFRR+",DAMAS_Daily!E123,DAMAS_Daily!F123)</f>
        <v/>
      </c>
      <c r="I123" s="43">
        <f>IF(C123="aFRR+",DAMAS_Daily!G123,DAMAS_Daily!H123)</f>
        <v/>
      </c>
      <c r="J123" s="45">
        <f>IF(C123="aFRR+",DAMAS_Daily!C123,DAMAS_Daily!D123)</f>
        <v/>
      </c>
      <c r="K123" s="45">
        <f>IF(C123="aFRR+",MIN(DAMAS_Daily!C123*market_share_D*acceptance_rate*stack_activation,power_mw*hours_per_day,capacity_mwh),MIN(DAMAS_Daily!D123*market_share_D*acceptance_rate*stack_activation,power_mw*hours_per_day,capacity_mwh))</f>
        <v/>
      </c>
      <c r="L123" s="42">
        <f>IF(K123&gt;=capacity_mwh-0.01,"yes","no")</f>
        <v/>
      </c>
      <c r="M123" s="28">
        <f>IF(C123="aFRR+",(MIN(DAMAS_Daily!C123*market_share_D*acceptance_rate*stack_activation,power_mw*hours_per_day,capacity_mwh))*DAMAS_Daily!E123*activation_mult_D,(MIN(DAMAS_Daily!D123*market_share_D*acceptance_rate*stack_activation,power_mw*hours_per_day,capacity_mwh))*DAMAS_Daily!F123*activation_mult_D)</f>
        <v/>
      </c>
      <c r="N123" s="29">
        <f>F123+M123</f>
        <v/>
      </c>
    </row>
    <row r="124">
      <c r="A124" s="41">
        <f>DAMAS_Daily!A124</f>
        <v/>
      </c>
      <c r="B124" s="42">
        <f>DAMAS_Daily!B124</f>
        <v/>
      </c>
      <c r="C124" s="42">
        <f>IF((power_mw*hours_per_day*damas_afrr_up*capacity_mult_D*stack_capacity*acceptance_rate+(MIN(DAMAS_Daily!C124*market_share_D*acceptance_rate*stack_activation,power_mw*hours_per_day,capacity_mwh))*DAMAS_Daily!E124*activation_mult_D)&gt;=(power_mw*hours_per_day*damas_afrr_down*capacity_mult_D*stack_capacity*acceptance_rate+(MIN(DAMAS_Daily!D124*market_share_D*acceptance_rate*stack_activation,power_mw*hours_per_day,capacity_mwh))*DAMAS_Daily!F124*activation_mult_D),"aFRR+","aFRR-")</f>
        <v/>
      </c>
      <c r="D124" s="43">
        <f>IF(C124="aFRR+",damas_afrr_up*capacity_mult_D,damas_afrr_down*capacity_mult_D)</f>
        <v/>
      </c>
      <c r="E124" s="44">
        <f>acceptance_rate</f>
        <v/>
      </c>
      <c r="F124" s="28">
        <f>IF(C124="aFRR+",power_mw*hours_per_day*damas_afrr_up*capacity_mult_D*stack_capacity*acceptance_rate,power_mw*hours_per_day*damas_afrr_down*capacity_mult_D*stack_capacity*acceptance_rate)</f>
        <v/>
      </c>
      <c r="G124" s="42">
        <f>IF(C124="aFRR+",DAMAS_Daily!I124,DAMAS_Daily!J124)</f>
        <v/>
      </c>
      <c r="H124" s="43">
        <f>IF(C124="aFRR+",DAMAS_Daily!E124,DAMAS_Daily!F124)</f>
        <v/>
      </c>
      <c r="I124" s="43">
        <f>IF(C124="aFRR+",DAMAS_Daily!G124,DAMAS_Daily!H124)</f>
        <v/>
      </c>
      <c r="J124" s="45">
        <f>IF(C124="aFRR+",DAMAS_Daily!C124,DAMAS_Daily!D124)</f>
        <v/>
      </c>
      <c r="K124" s="45">
        <f>IF(C124="aFRR+",MIN(DAMAS_Daily!C124*market_share_D*acceptance_rate*stack_activation,power_mw*hours_per_day,capacity_mwh),MIN(DAMAS_Daily!D124*market_share_D*acceptance_rate*stack_activation,power_mw*hours_per_day,capacity_mwh))</f>
        <v/>
      </c>
      <c r="L124" s="42">
        <f>IF(K124&gt;=capacity_mwh-0.01,"yes","no")</f>
        <v/>
      </c>
      <c r="M124" s="28">
        <f>IF(C124="aFRR+",(MIN(DAMAS_Daily!C124*market_share_D*acceptance_rate*stack_activation,power_mw*hours_per_day,capacity_mwh))*DAMAS_Daily!E124*activation_mult_D,(MIN(DAMAS_Daily!D124*market_share_D*acceptance_rate*stack_activation,power_mw*hours_per_day,capacity_mwh))*DAMAS_Daily!F124*activation_mult_D)</f>
        <v/>
      </c>
      <c r="N124" s="29">
        <f>F124+M124</f>
        <v/>
      </c>
    </row>
    <row r="125">
      <c r="A125" s="41">
        <f>DAMAS_Daily!A125</f>
        <v/>
      </c>
      <c r="B125" s="42">
        <f>DAMAS_Daily!B125</f>
        <v/>
      </c>
      <c r="C125" s="42">
        <f>IF((power_mw*hours_per_day*damas_afrr_up*capacity_mult_D*stack_capacity*acceptance_rate+(MIN(DAMAS_Daily!C125*market_share_D*acceptance_rate*stack_activation,power_mw*hours_per_day,capacity_mwh))*DAMAS_Daily!E125*activation_mult_D)&gt;=(power_mw*hours_per_day*damas_afrr_down*capacity_mult_D*stack_capacity*acceptance_rate+(MIN(DAMAS_Daily!D125*market_share_D*acceptance_rate*stack_activation,power_mw*hours_per_day,capacity_mwh))*DAMAS_Daily!F125*activation_mult_D),"aFRR+","aFRR-")</f>
        <v/>
      </c>
      <c r="D125" s="43">
        <f>IF(C125="aFRR+",damas_afrr_up*capacity_mult_D,damas_afrr_down*capacity_mult_D)</f>
        <v/>
      </c>
      <c r="E125" s="44">
        <f>acceptance_rate</f>
        <v/>
      </c>
      <c r="F125" s="28">
        <f>IF(C125="aFRR+",power_mw*hours_per_day*damas_afrr_up*capacity_mult_D*stack_capacity*acceptance_rate,power_mw*hours_per_day*damas_afrr_down*capacity_mult_D*stack_capacity*acceptance_rate)</f>
        <v/>
      </c>
      <c r="G125" s="42">
        <f>IF(C125="aFRR+",DAMAS_Daily!I125,DAMAS_Daily!J125)</f>
        <v/>
      </c>
      <c r="H125" s="43">
        <f>IF(C125="aFRR+",DAMAS_Daily!E125,DAMAS_Daily!F125)</f>
        <v/>
      </c>
      <c r="I125" s="43">
        <f>IF(C125="aFRR+",DAMAS_Daily!G125,DAMAS_Daily!H125)</f>
        <v/>
      </c>
      <c r="J125" s="45">
        <f>IF(C125="aFRR+",DAMAS_Daily!C125,DAMAS_Daily!D125)</f>
        <v/>
      </c>
      <c r="K125" s="45">
        <f>IF(C125="aFRR+",MIN(DAMAS_Daily!C125*market_share_D*acceptance_rate*stack_activation,power_mw*hours_per_day,capacity_mwh),MIN(DAMAS_Daily!D125*market_share_D*acceptance_rate*stack_activation,power_mw*hours_per_day,capacity_mwh))</f>
        <v/>
      </c>
      <c r="L125" s="42">
        <f>IF(K125&gt;=capacity_mwh-0.01,"yes","no")</f>
        <v/>
      </c>
      <c r="M125" s="28">
        <f>IF(C125="aFRR+",(MIN(DAMAS_Daily!C125*market_share_D*acceptance_rate*stack_activation,power_mw*hours_per_day,capacity_mwh))*DAMAS_Daily!E125*activation_mult_D,(MIN(DAMAS_Daily!D125*market_share_D*acceptance_rate*stack_activation,power_mw*hours_per_day,capacity_mwh))*DAMAS_Daily!F125*activation_mult_D)</f>
        <v/>
      </c>
      <c r="N125" s="29">
        <f>F125+M125</f>
        <v/>
      </c>
    </row>
    <row r="126">
      <c r="A126" s="41">
        <f>DAMAS_Daily!A126</f>
        <v/>
      </c>
      <c r="B126" s="42">
        <f>DAMAS_Daily!B126</f>
        <v/>
      </c>
      <c r="C126" s="42">
        <f>IF((power_mw*hours_per_day*damas_afrr_up*capacity_mult_D*stack_capacity*acceptance_rate+(MIN(DAMAS_Daily!C126*market_share_D*acceptance_rate*stack_activation,power_mw*hours_per_day,capacity_mwh))*DAMAS_Daily!E126*activation_mult_D)&gt;=(power_mw*hours_per_day*damas_afrr_down*capacity_mult_D*stack_capacity*acceptance_rate+(MIN(DAMAS_Daily!D126*market_share_D*acceptance_rate*stack_activation,power_mw*hours_per_day,capacity_mwh))*DAMAS_Daily!F126*activation_mult_D),"aFRR+","aFRR-")</f>
        <v/>
      </c>
      <c r="D126" s="43">
        <f>IF(C126="aFRR+",damas_afrr_up*capacity_mult_D,damas_afrr_down*capacity_mult_D)</f>
        <v/>
      </c>
      <c r="E126" s="44">
        <f>acceptance_rate</f>
        <v/>
      </c>
      <c r="F126" s="28">
        <f>IF(C126="aFRR+",power_mw*hours_per_day*damas_afrr_up*capacity_mult_D*stack_capacity*acceptance_rate,power_mw*hours_per_day*damas_afrr_down*capacity_mult_D*stack_capacity*acceptance_rate)</f>
        <v/>
      </c>
      <c r="G126" s="42">
        <f>IF(C126="aFRR+",DAMAS_Daily!I126,DAMAS_Daily!J126)</f>
        <v/>
      </c>
      <c r="H126" s="43">
        <f>IF(C126="aFRR+",DAMAS_Daily!E126,DAMAS_Daily!F126)</f>
        <v/>
      </c>
      <c r="I126" s="43">
        <f>IF(C126="aFRR+",DAMAS_Daily!G126,DAMAS_Daily!H126)</f>
        <v/>
      </c>
      <c r="J126" s="45">
        <f>IF(C126="aFRR+",DAMAS_Daily!C126,DAMAS_Daily!D126)</f>
        <v/>
      </c>
      <c r="K126" s="45">
        <f>IF(C126="aFRR+",MIN(DAMAS_Daily!C126*market_share_D*acceptance_rate*stack_activation,power_mw*hours_per_day,capacity_mwh),MIN(DAMAS_Daily!D126*market_share_D*acceptance_rate*stack_activation,power_mw*hours_per_day,capacity_mwh))</f>
        <v/>
      </c>
      <c r="L126" s="42">
        <f>IF(K126&gt;=capacity_mwh-0.01,"yes","no")</f>
        <v/>
      </c>
      <c r="M126" s="28">
        <f>IF(C126="aFRR+",(MIN(DAMAS_Daily!C126*market_share_D*acceptance_rate*stack_activation,power_mw*hours_per_day,capacity_mwh))*DAMAS_Daily!E126*activation_mult_D,(MIN(DAMAS_Daily!D126*market_share_D*acceptance_rate*stack_activation,power_mw*hours_per_day,capacity_mwh))*DAMAS_Daily!F126*activation_mult_D)</f>
        <v/>
      </c>
      <c r="N126" s="29">
        <f>F126+M126</f>
        <v/>
      </c>
    </row>
    <row r="127">
      <c r="A127" s="41">
        <f>DAMAS_Daily!A127</f>
        <v/>
      </c>
      <c r="B127" s="42">
        <f>DAMAS_Daily!B127</f>
        <v/>
      </c>
      <c r="C127" s="42">
        <f>IF((power_mw*hours_per_day*damas_afrr_up*capacity_mult_D*stack_capacity*acceptance_rate+(MIN(DAMAS_Daily!C127*market_share_D*acceptance_rate*stack_activation,power_mw*hours_per_day,capacity_mwh))*DAMAS_Daily!E127*activation_mult_D)&gt;=(power_mw*hours_per_day*damas_afrr_down*capacity_mult_D*stack_capacity*acceptance_rate+(MIN(DAMAS_Daily!D127*market_share_D*acceptance_rate*stack_activation,power_mw*hours_per_day,capacity_mwh))*DAMAS_Daily!F127*activation_mult_D),"aFRR+","aFRR-")</f>
        <v/>
      </c>
      <c r="D127" s="43">
        <f>IF(C127="aFRR+",damas_afrr_up*capacity_mult_D,damas_afrr_down*capacity_mult_D)</f>
        <v/>
      </c>
      <c r="E127" s="44">
        <f>acceptance_rate</f>
        <v/>
      </c>
      <c r="F127" s="28">
        <f>IF(C127="aFRR+",power_mw*hours_per_day*damas_afrr_up*capacity_mult_D*stack_capacity*acceptance_rate,power_mw*hours_per_day*damas_afrr_down*capacity_mult_D*stack_capacity*acceptance_rate)</f>
        <v/>
      </c>
      <c r="G127" s="42">
        <f>IF(C127="aFRR+",DAMAS_Daily!I127,DAMAS_Daily!J127)</f>
        <v/>
      </c>
      <c r="H127" s="43">
        <f>IF(C127="aFRR+",DAMAS_Daily!E127,DAMAS_Daily!F127)</f>
        <v/>
      </c>
      <c r="I127" s="43">
        <f>IF(C127="aFRR+",DAMAS_Daily!G127,DAMAS_Daily!H127)</f>
        <v/>
      </c>
      <c r="J127" s="45">
        <f>IF(C127="aFRR+",DAMAS_Daily!C127,DAMAS_Daily!D127)</f>
        <v/>
      </c>
      <c r="K127" s="45">
        <f>IF(C127="aFRR+",MIN(DAMAS_Daily!C127*market_share_D*acceptance_rate*stack_activation,power_mw*hours_per_day,capacity_mwh),MIN(DAMAS_Daily!D127*market_share_D*acceptance_rate*stack_activation,power_mw*hours_per_day,capacity_mwh))</f>
        <v/>
      </c>
      <c r="L127" s="42">
        <f>IF(K127&gt;=capacity_mwh-0.01,"yes","no")</f>
        <v/>
      </c>
      <c r="M127" s="28">
        <f>IF(C127="aFRR+",(MIN(DAMAS_Daily!C127*market_share_D*acceptance_rate*stack_activation,power_mw*hours_per_day,capacity_mwh))*DAMAS_Daily!E127*activation_mult_D,(MIN(DAMAS_Daily!D127*market_share_D*acceptance_rate*stack_activation,power_mw*hours_per_day,capacity_mwh))*DAMAS_Daily!F127*activation_mult_D)</f>
        <v/>
      </c>
      <c r="N127" s="29">
        <f>F127+M127</f>
        <v/>
      </c>
    </row>
    <row r="128">
      <c r="A128" s="41">
        <f>DAMAS_Daily!A128</f>
        <v/>
      </c>
      <c r="B128" s="42">
        <f>DAMAS_Daily!B128</f>
        <v/>
      </c>
      <c r="C128" s="42">
        <f>IF((power_mw*hours_per_day*damas_afrr_up*capacity_mult_D*stack_capacity*acceptance_rate+(MIN(DAMAS_Daily!C128*market_share_D*acceptance_rate*stack_activation,power_mw*hours_per_day,capacity_mwh))*DAMAS_Daily!E128*activation_mult_D)&gt;=(power_mw*hours_per_day*damas_afrr_down*capacity_mult_D*stack_capacity*acceptance_rate+(MIN(DAMAS_Daily!D128*market_share_D*acceptance_rate*stack_activation,power_mw*hours_per_day,capacity_mwh))*DAMAS_Daily!F128*activation_mult_D),"aFRR+","aFRR-")</f>
        <v/>
      </c>
      <c r="D128" s="43">
        <f>IF(C128="aFRR+",damas_afrr_up*capacity_mult_D,damas_afrr_down*capacity_mult_D)</f>
        <v/>
      </c>
      <c r="E128" s="44">
        <f>acceptance_rate</f>
        <v/>
      </c>
      <c r="F128" s="28">
        <f>IF(C128="aFRR+",power_mw*hours_per_day*damas_afrr_up*capacity_mult_D*stack_capacity*acceptance_rate,power_mw*hours_per_day*damas_afrr_down*capacity_mult_D*stack_capacity*acceptance_rate)</f>
        <v/>
      </c>
      <c r="G128" s="42">
        <f>IF(C128="aFRR+",DAMAS_Daily!I128,DAMAS_Daily!J128)</f>
        <v/>
      </c>
      <c r="H128" s="43">
        <f>IF(C128="aFRR+",DAMAS_Daily!E128,DAMAS_Daily!F128)</f>
        <v/>
      </c>
      <c r="I128" s="43">
        <f>IF(C128="aFRR+",DAMAS_Daily!G128,DAMAS_Daily!H128)</f>
        <v/>
      </c>
      <c r="J128" s="45">
        <f>IF(C128="aFRR+",DAMAS_Daily!C128,DAMAS_Daily!D128)</f>
        <v/>
      </c>
      <c r="K128" s="45">
        <f>IF(C128="aFRR+",MIN(DAMAS_Daily!C128*market_share_D*acceptance_rate*stack_activation,power_mw*hours_per_day,capacity_mwh),MIN(DAMAS_Daily!D128*market_share_D*acceptance_rate*stack_activation,power_mw*hours_per_day,capacity_mwh))</f>
        <v/>
      </c>
      <c r="L128" s="42">
        <f>IF(K128&gt;=capacity_mwh-0.01,"yes","no")</f>
        <v/>
      </c>
      <c r="M128" s="28">
        <f>IF(C128="aFRR+",(MIN(DAMAS_Daily!C128*market_share_D*acceptance_rate*stack_activation,power_mw*hours_per_day,capacity_mwh))*DAMAS_Daily!E128*activation_mult_D,(MIN(DAMAS_Daily!D128*market_share_D*acceptance_rate*stack_activation,power_mw*hours_per_day,capacity_mwh))*DAMAS_Daily!F128*activation_mult_D)</f>
        <v/>
      </c>
      <c r="N128" s="29">
        <f>F128+M128</f>
        <v/>
      </c>
    </row>
    <row r="129">
      <c r="A129" s="41">
        <f>DAMAS_Daily!A129</f>
        <v/>
      </c>
      <c r="B129" s="42">
        <f>DAMAS_Daily!B129</f>
        <v/>
      </c>
      <c r="C129" s="42">
        <f>IF((power_mw*hours_per_day*damas_afrr_up*capacity_mult_D*stack_capacity*acceptance_rate+(MIN(DAMAS_Daily!C129*market_share_D*acceptance_rate*stack_activation,power_mw*hours_per_day,capacity_mwh))*DAMAS_Daily!E129*activation_mult_D)&gt;=(power_mw*hours_per_day*damas_afrr_down*capacity_mult_D*stack_capacity*acceptance_rate+(MIN(DAMAS_Daily!D129*market_share_D*acceptance_rate*stack_activation,power_mw*hours_per_day,capacity_mwh))*DAMAS_Daily!F129*activation_mult_D),"aFRR+","aFRR-")</f>
        <v/>
      </c>
      <c r="D129" s="43">
        <f>IF(C129="aFRR+",damas_afrr_up*capacity_mult_D,damas_afrr_down*capacity_mult_D)</f>
        <v/>
      </c>
      <c r="E129" s="44">
        <f>acceptance_rate</f>
        <v/>
      </c>
      <c r="F129" s="28">
        <f>IF(C129="aFRR+",power_mw*hours_per_day*damas_afrr_up*capacity_mult_D*stack_capacity*acceptance_rate,power_mw*hours_per_day*damas_afrr_down*capacity_mult_D*stack_capacity*acceptance_rate)</f>
        <v/>
      </c>
      <c r="G129" s="42">
        <f>IF(C129="aFRR+",DAMAS_Daily!I129,DAMAS_Daily!J129)</f>
        <v/>
      </c>
      <c r="H129" s="43">
        <f>IF(C129="aFRR+",DAMAS_Daily!E129,DAMAS_Daily!F129)</f>
        <v/>
      </c>
      <c r="I129" s="43">
        <f>IF(C129="aFRR+",DAMAS_Daily!G129,DAMAS_Daily!H129)</f>
        <v/>
      </c>
      <c r="J129" s="45">
        <f>IF(C129="aFRR+",DAMAS_Daily!C129,DAMAS_Daily!D129)</f>
        <v/>
      </c>
      <c r="K129" s="45">
        <f>IF(C129="aFRR+",MIN(DAMAS_Daily!C129*market_share_D*acceptance_rate*stack_activation,power_mw*hours_per_day,capacity_mwh),MIN(DAMAS_Daily!D129*market_share_D*acceptance_rate*stack_activation,power_mw*hours_per_day,capacity_mwh))</f>
        <v/>
      </c>
      <c r="L129" s="42">
        <f>IF(K129&gt;=capacity_mwh-0.01,"yes","no")</f>
        <v/>
      </c>
      <c r="M129" s="28">
        <f>IF(C129="aFRR+",(MIN(DAMAS_Daily!C129*market_share_D*acceptance_rate*stack_activation,power_mw*hours_per_day,capacity_mwh))*DAMAS_Daily!E129*activation_mult_D,(MIN(DAMAS_Daily!D129*market_share_D*acceptance_rate*stack_activation,power_mw*hours_per_day,capacity_mwh))*DAMAS_Daily!F129*activation_mult_D)</f>
        <v/>
      </c>
      <c r="N129" s="29">
        <f>F129+M129</f>
        <v/>
      </c>
    </row>
    <row r="130">
      <c r="A130" s="41">
        <f>DAMAS_Daily!A130</f>
        <v/>
      </c>
      <c r="B130" s="42">
        <f>DAMAS_Daily!B130</f>
        <v/>
      </c>
      <c r="C130" s="42">
        <f>IF((power_mw*hours_per_day*damas_afrr_up*capacity_mult_D*stack_capacity*acceptance_rate+(MIN(DAMAS_Daily!C130*market_share_D*acceptance_rate*stack_activation,power_mw*hours_per_day,capacity_mwh))*DAMAS_Daily!E130*activation_mult_D)&gt;=(power_mw*hours_per_day*damas_afrr_down*capacity_mult_D*stack_capacity*acceptance_rate+(MIN(DAMAS_Daily!D130*market_share_D*acceptance_rate*stack_activation,power_mw*hours_per_day,capacity_mwh))*DAMAS_Daily!F130*activation_mult_D),"aFRR+","aFRR-")</f>
        <v/>
      </c>
      <c r="D130" s="43">
        <f>IF(C130="aFRR+",damas_afrr_up*capacity_mult_D,damas_afrr_down*capacity_mult_D)</f>
        <v/>
      </c>
      <c r="E130" s="44">
        <f>acceptance_rate</f>
        <v/>
      </c>
      <c r="F130" s="28">
        <f>IF(C130="aFRR+",power_mw*hours_per_day*damas_afrr_up*capacity_mult_D*stack_capacity*acceptance_rate,power_mw*hours_per_day*damas_afrr_down*capacity_mult_D*stack_capacity*acceptance_rate)</f>
        <v/>
      </c>
      <c r="G130" s="42">
        <f>IF(C130="aFRR+",DAMAS_Daily!I130,DAMAS_Daily!J130)</f>
        <v/>
      </c>
      <c r="H130" s="43">
        <f>IF(C130="aFRR+",DAMAS_Daily!E130,DAMAS_Daily!F130)</f>
        <v/>
      </c>
      <c r="I130" s="43">
        <f>IF(C130="aFRR+",DAMAS_Daily!G130,DAMAS_Daily!H130)</f>
        <v/>
      </c>
      <c r="J130" s="45">
        <f>IF(C130="aFRR+",DAMAS_Daily!C130,DAMAS_Daily!D130)</f>
        <v/>
      </c>
      <c r="K130" s="45">
        <f>IF(C130="aFRR+",MIN(DAMAS_Daily!C130*market_share_D*acceptance_rate*stack_activation,power_mw*hours_per_day,capacity_mwh),MIN(DAMAS_Daily!D130*market_share_D*acceptance_rate*stack_activation,power_mw*hours_per_day,capacity_mwh))</f>
        <v/>
      </c>
      <c r="L130" s="42">
        <f>IF(K130&gt;=capacity_mwh-0.01,"yes","no")</f>
        <v/>
      </c>
      <c r="M130" s="28">
        <f>IF(C130="aFRR+",(MIN(DAMAS_Daily!C130*market_share_D*acceptance_rate*stack_activation,power_mw*hours_per_day,capacity_mwh))*DAMAS_Daily!E130*activation_mult_D,(MIN(DAMAS_Daily!D130*market_share_D*acceptance_rate*stack_activation,power_mw*hours_per_day,capacity_mwh))*DAMAS_Daily!F130*activation_mult_D)</f>
        <v/>
      </c>
      <c r="N130" s="29">
        <f>F130+M130</f>
        <v/>
      </c>
    </row>
    <row r="131">
      <c r="A131" s="41">
        <f>DAMAS_Daily!A131</f>
        <v/>
      </c>
      <c r="B131" s="42">
        <f>DAMAS_Daily!B131</f>
        <v/>
      </c>
      <c r="C131" s="42">
        <f>IF((power_mw*hours_per_day*damas_afrr_up*capacity_mult_D*stack_capacity*acceptance_rate+(MIN(DAMAS_Daily!C131*market_share_D*acceptance_rate*stack_activation,power_mw*hours_per_day,capacity_mwh))*DAMAS_Daily!E131*activation_mult_D)&gt;=(power_mw*hours_per_day*damas_afrr_down*capacity_mult_D*stack_capacity*acceptance_rate+(MIN(DAMAS_Daily!D131*market_share_D*acceptance_rate*stack_activation,power_mw*hours_per_day,capacity_mwh))*DAMAS_Daily!F131*activation_mult_D),"aFRR+","aFRR-")</f>
        <v/>
      </c>
      <c r="D131" s="43">
        <f>IF(C131="aFRR+",damas_afrr_up*capacity_mult_D,damas_afrr_down*capacity_mult_D)</f>
        <v/>
      </c>
      <c r="E131" s="44">
        <f>acceptance_rate</f>
        <v/>
      </c>
      <c r="F131" s="28">
        <f>IF(C131="aFRR+",power_mw*hours_per_day*damas_afrr_up*capacity_mult_D*stack_capacity*acceptance_rate,power_mw*hours_per_day*damas_afrr_down*capacity_mult_D*stack_capacity*acceptance_rate)</f>
        <v/>
      </c>
      <c r="G131" s="42">
        <f>IF(C131="aFRR+",DAMAS_Daily!I131,DAMAS_Daily!J131)</f>
        <v/>
      </c>
      <c r="H131" s="43">
        <f>IF(C131="aFRR+",DAMAS_Daily!E131,DAMAS_Daily!F131)</f>
        <v/>
      </c>
      <c r="I131" s="43">
        <f>IF(C131="aFRR+",DAMAS_Daily!G131,DAMAS_Daily!H131)</f>
        <v/>
      </c>
      <c r="J131" s="45">
        <f>IF(C131="aFRR+",DAMAS_Daily!C131,DAMAS_Daily!D131)</f>
        <v/>
      </c>
      <c r="K131" s="45">
        <f>IF(C131="aFRR+",MIN(DAMAS_Daily!C131*market_share_D*acceptance_rate*stack_activation,power_mw*hours_per_day,capacity_mwh),MIN(DAMAS_Daily!D131*market_share_D*acceptance_rate*stack_activation,power_mw*hours_per_day,capacity_mwh))</f>
        <v/>
      </c>
      <c r="L131" s="42">
        <f>IF(K131&gt;=capacity_mwh-0.01,"yes","no")</f>
        <v/>
      </c>
      <c r="M131" s="28">
        <f>IF(C131="aFRR+",(MIN(DAMAS_Daily!C131*market_share_D*acceptance_rate*stack_activation,power_mw*hours_per_day,capacity_mwh))*DAMAS_Daily!E131*activation_mult_D,(MIN(DAMAS_Daily!D131*market_share_D*acceptance_rate*stack_activation,power_mw*hours_per_day,capacity_mwh))*DAMAS_Daily!F131*activation_mult_D)</f>
        <v/>
      </c>
      <c r="N131" s="29">
        <f>F131+M131</f>
        <v/>
      </c>
    </row>
    <row r="132">
      <c r="A132" s="41">
        <f>DAMAS_Daily!A132</f>
        <v/>
      </c>
      <c r="B132" s="42">
        <f>DAMAS_Daily!B132</f>
        <v/>
      </c>
      <c r="C132" s="42">
        <f>IF((power_mw*hours_per_day*damas_afrr_up*capacity_mult_D*stack_capacity*acceptance_rate+(MIN(DAMAS_Daily!C132*market_share_D*acceptance_rate*stack_activation,power_mw*hours_per_day,capacity_mwh))*DAMAS_Daily!E132*activation_mult_D)&gt;=(power_mw*hours_per_day*damas_afrr_down*capacity_mult_D*stack_capacity*acceptance_rate+(MIN(DAMAS_Daily!D132*market_share_D*acceptance_rate*stack_activation,power_mw*hours_per_day,capacity_mwh))*DAMAS_Daily!F132*activation_mult_D),"aFRR+","aFRR-")</f>
        <v/>
      </c>
      <c r="D132" s="43">
        <f>IF(C132="aFRR+",damas_afrr_up*capacity_mult_D,damas_afrr_down*capacity_mult_D)</f>
        <v/>
      </c>
      <c r="E132" s="44">
        <f>acceptance_rate</f>
        <v/>
      </c>
      <c r="F132" s="28">
        <f>IF(C132="aFRR+",power_mw*hours_per_day*damas_afrr_up*capacity_mult_D*stack_capacity*acceptance_rate,power_mw*hours_per_day*damas_afrr_down*capacity_mult_D*stack_capacity*acceptance_rate)</f>
        <v/>
      </c>
      <c r="G132" s="42">
        <f>IF(C132="aFRR+",DAMAS_Daily!I132,DAMAS_Daily!J132)</f>
        <v/>
      </c>
      <c r="H132" s="43">
        <f>IF(C132="aFRR+",DAMAS_Daily!E132,DAMAS_Daily!F132)</f>
        <v/>
      </c>
      <c r="I132" s="43">
        <f>IF(C132="aFRR+",DAMAS_Daily!G132,DAMAS_Daily!H132)</f>
        <v/>
      </c>
      <c r="J132" s="45">
        <f>IF(C132="aFRR+",DAMAS_Daily!C132,DAMAS_Daily!D132)</f>
        <v/>
      </c>
      <c r="K132" s="45">
        <f>IF(C132="aFRR+",MIN(DAMAS_Daily!C132*market_share_D*acceptance_rate*stack_activation,power_mw*hours_per_day,capacity_mwh),MIN(DAMAS_Daily!D132*market_share_D*acceptance_rate*stack_activation,power_mw*hours_per_day,capacity_mwh))</f>
        <v/>
      </c>
      <c r="L132" s="42">
        <f>IF(K132&gt;=capacity_mwh-0.01,"yes","no")</f>
        <v/>
      </c>
      <c r="M132" s="28">
        <f>IF(C132="aFRR+",(MIN(DAMAS_Daily!C132*market_share_D*acceptance_rate*stack_activation,power_mw*hours_per_day,capacity_mwh))*DAMAS_Daily!E132*activation_mult_D,(MIN(DAMAS_Daily!D132*market_share_D*acceptance_rate*stack_activation,power_mw*hours_per_day,capacity_mwh))*DAMAS_Daily!F132*activation_mult_D)</f>
        <v/>
      </c>
      <c r="N132" s="29">
        <f>F132+M132</f>
        <v/>
      </c>
    </row>
    <row r="133">
      <c r="A133" s="41">
        <f>DAMAS_Daily!A133</f>
        <v/>
      </c>
      <c r="B133" s="42">
        <f>DAMAS_Daily!B133</f>
        <v/>
      </c>
      <c r="C133" s="42">
        <f>IF((power_mw*hours_per_day*damas_afrr_up*capacity_mult_D*stack_capacity*acceptance_rate+(MIN(DAMAS_Daily!C133*market_share_D*acceptance_rate*stack_activation,power_mw*hours_per_day,capacity_mwh))*DAMAS_Daily!E133*activation_mult_D)&gt;=(power_mw*hours_per_day*damas_afrr_down*capacity_mult_D*stack_capacity*acceptance_rate+(MIN(DAMAS_Daily!D133*market_share_D*acceptance_rate*stack_activation,power_mw*hours_per_day,capacity_mwh))*DAMAS_Daily!F133*activation_mult_D),"aFRR+","aFRR-")</f>
        <v/>
      </c>
      <c r="D133" s="43">
        <f>IF(C133="aFRR+",damas_afrr_up*capacity_mult_D,damas_afrr_down*capacity_mult_D)</f>
        <v/>
      </c>
      <c r="E133" s="44">
        <f>acceptance_rate</f>
        <v/>
      </c>
      <c r="F133" s="28">
        <f>IF(C133="aFRR+",power_mw*hours_per_day*damas_afrr_up*capacity_mult_D*stack_capacity*acceptance_rate,power_mw*hours_per_day*damas_afrr_down*capacity_mult_D*stack_capacity*acceptance_rate)</f>
        <v/>
      </c>
      <c r="G133" s="42">
        <f>IF(C133="aFRR+",DAMAS_Daily!I133,DAMAS_Daily!J133)</f>
        <v/>
      </c>
      <c r="H133" s="43">
        <f>IF(C133="aFRR+",DAMAS_Daily!E133,DAMAS_Daily!F133)</f>
        <v/>
      </c>
      <c r="I133" s="43">
        <f>IF(C133="aFRR+",DAMAS_Daily!G133,DAMAS_Daily!H133)</f>
        <v/>
      </c>
      <c r="J133" s="45">
        <f>IF(C133="aFRR+",DAMAS_Daily!C133,DAMAS_Daily!D133)</f>
        <v/>
      </c>
      <c r="K133" s="45">
        <f>IF(C133="aFRR+",MIN(DAMAS_Daily!C133*market_share_D*acceptance_rate*stack_activation,power_mw*hours_per_day,capacity_mwh),MIN(DAMAS_Daily!D133*market_share_D*acceptance_rate*stack_activation,power_mw*hours_per_day,capacity_mwh))</f>
        <v/>
      </c>
      <c r="L133" s="42">
        <f>IF(K133&gt;=capacity_mwh-0.01,"yes","no")</f>
        <v/>
      </c>
      <c r="M133" s="28">
        <f>IF(C133="aFRR+",(MIN(DAMAS_Daily!C133*market_share_D*acceptance_rate*stack_activation,power_mw*hours_per_day,capacity_mwh))*DAMAS_Daily!E133*activation_mult_D,(MIN(DAMAS_Daily!D133*market_share_D*acceptance_rate*stack_activation,power_mw*hours_per_day,capacity_mwh))*DAMAS_Daily!F133*activation_mult_D)</f>
        <v/>
      </c>
      <c r="N133" s="29">
        <f>F133+M133</f>
        <v/>
      </c>
    </row>
    <row r="134">
      <c r="A134" s="41">
        <f>DAMAS_Daily!A134</f>
        <v/>
      </c>
      <c r="B134" s="42">
        <f>DAMAS_Daily!B134</f>
        <v/>
      </c>
      <c r="C134" s="42">
        <f>IF((power_mw*hours_per_day*damas_afrr_up*capacity_mult_D*stack_capacity*acceptance_rate+(MIN(DAMAS_Daily!C134*market_share_D*acceptance_rate*stack_activation,power_mw*hours_per_day,capacity_mwh))*DAMAS_Daily!E134*activation_mult_D)&gt;=(power_mw*hours_per_day*damas_afrr_down*capacity_mult_D*stack_capacity*acceptance_rate+(MIN(DAMAS_Daily!D134*market_share_D*acceptance_rate*stack_activation,power_mw*hours_per_day,capacity_mwh))*DAMAS_Daily!F134*activation_mult_D),"aFRR+","aFRR-")</f>
        <v/>
      </c>
      <c r="D134" s="43">
        <f>IF(C134="aFRR+",damas_afrr_up*capacity_mult_D,damas_afrr_down*capacity_mult_D)</f>
        <v/>
      </c>
      <c r="E134" s="44">
        <f>acceptance_rate</f>
        <v/>
      </c>
      <c r="F134" s="28">
        <f>IF(C134="aFRR+",power_mw*hours_per_day*damas_afrr_up*capacity_mult_D*stack_capacity*acceptance_rate,power_mw*hours_per_day*damas_afrr_down*capacity_mult_D*stack_capacity*acceptance_rate)</f>
        <v/>
      </c>
      <c r="G134" s="42">
        <f>IF(C134="aFRR+",DAMAS_Daily!I134,DAMAS_Daily!J134)</f>
        <v/>
      </c>
      <c r="H134" s="43">
        <f>IF(C134="aFRR+",DAMAS_Daily!E134,DAMAS_Daily!F134)</f>
        <v/>
      </c>
      <c r="I134" s="43">
        <f>IF(C134="aFRR+",DAMAS_Daily!G134,DAMAS_Daily!H134)</f>
        <v/>
      </c>
      <c r="J134" s="45">
        <f>IF(C134="aFRR+",DAMAS_Daily!C134,DAMAS_Daily!D134)</f>
        <v/>
      </c>
      <c r="K134" s="45">
        <f>IF(C134="aFRR+",MIN(DAMAS_Daily!C134*market_share_D*acceptance_rate*stack_activation,power_mw*hours_per_day,capacity_mwh),MIN(DAMAS_Daily!D134*market_share_D*acceptance_rate*stack_activation,power_mw*hours_per_day,capacity_mwh))</f>
        <v/>
      </c>
      <c r="L134" s="42">
        <f>IF(K134&gt;=capacity_mwh-0.01,"yes","no")</f>
        <v/>
      </c>
      <c r="M134" s="28">
        <f>IF(C134="aFRR+",(MIN(DAMAS_Daily!C134*market_share_D*acceptance_rate*stack_activation,power_mw*hours_per_day,capacity_mwh))*DAMAS_Daily!E134*activation_mult_D,(MIN(DAMAS_Daily!D134*market_share_D*acceptance_rate*stack_activation,power_mw*hours_per_day,capacity_mwh))*DAMAS_Daily!F134*activation_mult_D)</f>
        <v/>
      </c>
      <c r="N134" s="29">
        <f>F134+M134</f>
        <v/>
      </c>
    </row>
    <row r="135">
      <c r="A135" s="41">
        <f>DAMAS_Daily!A135</f>
        <v/>
      </c>
      <c r="B135" s="42">
        <f>DAMAS_Daily!B135</f>
        <v/>
      </c>
      <c r="C135" s="42">
        <f>IF((power_mw*hours_per_day*damas_afrr_up*capacity_mult_D*stack_capacity*acceptance_rate+(MIN(DAMAS_Daily!C135*market_share_D*acceptance_rate*stack_activation,power_mw*hours_per_day,capacity_mwh))*DAMAS_Daily!E135*activation_mult_D)&gt;=(power_mw*hours_per_day*damas_afrr_down*capacity_mult_D*stack_capacity*acceptance_rate+(MIN(DAMAS_Daily!D135*market_share_D*acceptance_rate*stack_activation,power_mw*hours_per_day,capacity_mwh))*DAMAS_Daily!F135*activation_mult_D),"aFRR+","aFRR-")</f>
        <v/>
      </c>
      <c r="D135" s="43">
        <f>IF(C135="aFRR+",damas_afrr_up*capacity_mult_D,damas_afrr_down*capacity_mult_D)</f>
        <v/>
      </c>
      <c r="E135" s="44">
        <f>acceptance_rate</f>
        <v/>
      </c>
      <c r="F135" s="28">
        <f>IF(C135="aFRR+",power_mw*hours_per_day*damas_afrr_up*capacity_mult_D*stack_capacity*acceptance_rate,power_mw*hours_per_day*damas_afrr_down*capacity_mult_D*stack_capacity*acceptance_rate)</f>
        <v/>
      </c>
      <c r="G135" s="42">
        <f>IF(C135="aFRR+",DAMAS_Daily!I135,DAMAS_Daily!J135)</f>
        <v/>
      </c>
      <c r="H135" s="43">
        <f>IF(C135="aFRR+",DAMAS_Daily!E135,DAMAS_Daily!F135)</f>
        <v/>
      </c>
      <c r="I135" s="43">
        <f>IF(C135="aFRR+",DAMAS_Daily!G135,DAMAS_Daily!H135)</f>
        <v/>
      </c>
      <c r="J135" s="45">
        <f>IF(C135="aFRR+",DAMAS_Daily!C135,DAMAS_Daily!D135)</f>
        <v/>
      </c>
      <c r="K135" s="45">
        <f>IF(C135="aFRR+",MIN(DAMAS_Daily!C135*market_share_D*acceptance_rate*stack_activation,power_mw*hours_per_day,capacity_mwh),MIN(DAMAS_Daily!D135*market_share_D*acceptance_rate*stack_activation,power_mw*hours_per_day,capacity_mwh))</f>
        <v/>
      </c>
      <c r="L135" s="42">
        <f>IF(K135&gt;=capacity_mwh-0.01,"yes","no")</f>
        <v/>
      </c>
      <c r="M135" s="28">
        <f>IF(C135="aFRR+",(MIN(DAMAS_Daily!C135*market_share_D*acceptance_rate*stack_activation,power_mw*hours_per_day,capacity_mwh))*DAMAS_Daily!E135*activation_mult_D,(MIN(DAMAS_Daily!D135*market_share_D*acceptance_rate*stack_activation,power_mw*hours_per_day,capacity_mwh))*DAMAS_Daily!F135*activation_mult_D)</f>
        <v/>
      </c>
      <c r="N135" s="29">
        <f>F135+M135</f>
        <v/>
      </c>
    </row>
    <row r="136">
      <c r="A136" s="41">
        <f>DAMAS_Daily!A136</f>
        <v/>
      </c>
      <c r="B136" s="42">
        <f>DAMAS_Daily!B136</f>
        <v/>
      </c>
      <c r="C136" s="42">
        <f>IF((power_mw*hours_per_day*damas_afrr_up*capacity_mult_D*stack_capacity*acceptance_rate+(MIN(DAMAS_Daily!C136*market_share_D*acceptance_rate*stack_activation,power_mw*hours_per_day,capacity_mwh))*DAMAS_Daily!E136*activation_mult_D)&gt;=(power_mw*hours_per_day*damas_afrr_down*capacity_mult_D*stack_capacity*acceptance_rate+(MIN(DAMAS_Daily!D136*market_share_D*acceptance_rate*stack_activation,power_mw*hours_per_day,capacity_mwh))*DAMAS_Daily!F136*activation_mult_D),"aFRR+","aFRR-")</f>
        <v/>
      </c>
      <c r="D136" s="43">
        <f>IF(C136="aFRR+",damas_afrr_up*capacity_mult_D,damas_afrr_down*capacity_mult_D)</f>
        <v/>
      </c>
      <c r="E136" s="44">
        <f>acceptance_rate</f>
        <v/>
      </c>
      <c r="F136" s="28">
        <f>IF(C136="aFRR+",power_mw*hours_per_day*damas_afrr_up*capacity_mult_D*stack_capacity*acceptance_rate,power_mw*hours_per_day*damas_afrr_down*capacity_mult_D*stack_capacity*acceptance_rate)</f>
        <v/>
      </c>
      <c r="G136" s="42">
        <f>IF(C136="aFRR+",DAMAS_Daily!I136,DAMAS_Daily!J136)</f>
        <v/>
      </c>
      <c r="H136" s="43">
        <f>IF(C136="aFRR+",DAMAS_Daily!E136,DAMAS_Daily!F136)</f>
        <v/>
      </c>
      <c r="I136" s="43">
        <f>IF(C136="aFRR+",DAMAS_Daily!G136,DAMAS_Daily!H136)</f>
        <v/>
      </c>
      <c r="J136" s="45">
        <f>IF(C136="aFRR+",DAMAS_Daily!C136,DAMAS_Daily!D136)</f>
        <v/>
      </c>
      <c r="K136" s="45">
        <f>IF(C136="aFRR+",MIN(DAMAS_Daily!C136*market_share_D*acceptance_rate*stack_activation,power_mw*hours_per_day,capacity_mwh),MIN(DAMAS_Daily!D136*market_share_D*acceptance_rate*stack_activation,power_mw*hours_per_day,capacity_mwh))</f>
        <v/>
      </c>
      <c r="L136" s="42">
        <f>IF(K136&gt;=capacity_mwh-0.01,"yes","no")</f>
        <v/>
      </c>
      <c r="M136" s="28">
        <f>IF(C136="aFRR+",(MIN(DAMAS_Daily!C136*market_share_D*acceptance_rate*stack_activation,power_mw*hours_per_day,capacity_mwh))*DAMAS_Daily!E136*activation_mult_D,(MIN(DAMAS_Daily!D136*market_share_D*acceptance_rate*stack_activation,power_mw*hours_per_day,capacity_mwh))*DAMAS_Daily!F136*activation_mult_D)</f>
        <v/>
      </c>
      <c r="N136" s="29">
        <f>F136+M136</f>
        <v/>
      </c>
    </row>
    <row r="137">
      <c r="A137" s="41">
        <f>DAMAS_Daily!A137</f>
        <v/>
      </c>
      <c r="B137" s="42">
        <f>DAMAS_Daily!B137</f>
        <v/>
      </c>
      <c r="C137" s="42">
        <f>IF((power_mw*hours_per_day*damas_afrr_up*capacity_mult_D*stack_capacity*acceptance_rate+(MIN(DAMAS_Daily!C137*market_share_D*acceptance_rate*stack_activation,power_mw*hours_per_day,capacity_mwh))*DAMAS_Daily!E137*activation_mult_D)&gt;=(power_mw*hours_per_day*damas_afrr_down*capacity_mult_D*stack_capacity*acceptance_rate+(MIN(DAMAS_Daily!D137*market_share_D*acceptance_rate*stack_activation,power_mw*hours_per_day,capacity_mwh))*DAMAS_Daily!F137*activation_mult_D),"aFRR+","aFRR-")</f>
        <v/>
      </c>
      <c r="D137" s="43">
        <f>IF(C137="aFRR+",damas_afrr_up*capacity_mult_D,damas_afrr_down*capacity_mult_D)</f>
        <v/>
      </c>
      <c r="E137" s="44">
        <f>acceptance_rate</f>
        <v/>
      </c>
      <c r="F137" s="28">
        <f>IF(C137="aFRR+",power_mw*hours_per_day*damas_afrr_up*capacity_mult_D*stack_capacity*acceptance_rate,power_mw*hours_per_day*damas_afrr_down*capacity_mult_D*stack_capacity*acceptance_rate)</f>
        <v/>
      </c>
      <c r="G137" s="42">
        <f>IF(C137="aFRR+",DAMAS_Daily!I137,DAMAS_Daily!J137)</f>
        <v/>
      </c>
      <c r="H137" s="43">
        <f>IF(C137="aFRR+",DAMAS_Daily!E137,DAMAS_Daily!F137)</f>
        <v/>
      </c>
      <c r="I137" s="43">
        <f>IF(C137="aFRR+",DAMAS_Daily!G137,DAMAS_Daily!H137)</f>
        <v/>
      </c>
      <c r="J137" s="45">
        <f>IF(C137="aFRR+",DAMAS_Daily!C137,DAMAS_Daily!D137)</f>
        <v/>
      </c>
      <c r="K137" s="45">
        <f>IF(C137="aFRR+",MIN(DAMAS_Daily!C137*market_share_D*acceptance_rate*stack_activation,power_mw*hours_per_day,capacity_mwh),MIN(DAMAS_Daily!D137*market_share_D*acceptance_rate*stack_activation,power_mw*hours_per_day,capacity_mwh))</f>
        <v/>
      </c>
      <c r="L137" s="42">
        <f>IF(K137&gt;=capacity_mwh-0.01,"yes","no")</f>
        <v/>
      </c>
      <c r="M137" s="28">
        <f>IF(C137="aFRR+",(MIN(DAMAS_Daily!C137*market_share_D*acceptance_rate*stack_activation,power_mw*hours_per_day,capacity_mwh))*DAMAS_Daily!E137*activation_mult_D,(MIN(DAMAS_Daily!D137*market_share_D*acceptance_rate*stack_activation,power_mw*hours_per_day,capacity_mwh))*DAMAS_Daily!F137*activation_mult_D)</f>
        <v/>
      </c>
      <c r="N137" s="29">
        <f>F137+M137</f>
        <v/>
      </c>
    </row>
    <row r="138">
      <c r="A138" s="41">
        <f>DAMAS_Daily!A138</f>
        <v/>
      </c>
      <c r="B138" s="42">
        <f>DAMAS_Daily!B138</f>
        <v/>
      </c>
      <c r="C138" s="42">
        <f>IF((power_mw*hours_per_day*damas_afrr_up*capacity_mult_D*stack_capacity*acceptance_rate+(MIN(DAMAS_Daily!C138*market_share_D*acceptance_rate*stack_activation,power_mw*hours_per_day,capacity_mwh))*DAMAS_Daily!E138*activation_mult_D)&gt;=(power_mw*hours_per_day*damas_afrr_down*capacity_mult_D*stack_capacity*acceptance_rate+(MIN(DAMAS_Daily!D138*market_share_D*acceptance_rate*stack_activation,power_mw*hours_per_day,capacity_mwh))*DAMAS_Daily!F138*activation_mult_D),"aFRR+","aFRR-")</f>
        <v/>
      </c>
      <c r="D138" s="43">
        <f>IF(C138="aFRR+",damas_afrr_up*capacity_mult_D,damas_afrr_down*capacity_mult_D)</f>
        <v/>
      </c>
      <c r="E138" s="44">
        <f>acceptance_rate</f>
        <v/>
      </c>
      <c r="F138" s="28">
        <f>IF(C138="aFRR+",power_mw*hours_per_day*damas_afrr_up*capacity_mult_D*stack_capacity*acceptance_rate,power_mw*hours_per_day*damas_afrr_down*capacity_mult_D*stack_capacity*acceptance_rate)</f>
        <v/>
      </c>
      <c r="G138" s="42">
        <f>IF(C138="aFRR+",DAMAS_Daily!I138,DAMAS_Daily!J138)</f>
        <v/>
      </c>
      <c r="H138" s="43">
        <f>IF(C138="aFRR+",DAMAS_Daily!E138,DAMAS_Daily!F138)</f>
        <v/>
      </c>
      <c r="I138" s="43">
        <f>IF(C138="aFRR+",DAMAS_Daily!G138,DAMAS_Daily!H138)</f>
        <v/>
      </c>
      <c r="J138" s="45">
        <f>IF(C138="aFRR+",DAMAS_Daily!C138,DAMAS_Daily!D138)</f>
        <v/>
      </c>
      <c r="K138" s="45">
        <f>IF(C138="aFRR+",MIN(DAMAS_Daily!C138*market_share_D*acceptance_rate*stack_activation,power_mw*hours_per_day,capacity_mwh),MIN(DAMAS_Daily!D138*market_share_D*acceptance_rate*stack_activation,power_mw*hours_per_day,capacity_mwh))</f>
        <v/>
      </c>
      <c r="L138" s="42">
        <f>IF(K138&gt;=capacity_mwh-0.01,"yes","no")</f>
        <v/>
      </c>
      <c r="M138" s="28">
        <f>IF(C138="aFRR+",(MIN(DAMAS_Daily!C138*market_share_D*acceptance_rate*stack_activation,power_mw*hours_per_day,capacity_mwh))*DAMAS_Daily!E138*activation_mult_D,(MIN(DAMAS_Daily!D138*market_share_D*acceptance_rate*stack_activation,power_mw*hours_per_day,capacity_mwh))*DAMAS_Daily!F138*activation_mult_D)</f>
        <v/>
      </c>
      <c r="N138" s="29">
        <f>F138+M138</f>
        <v/>
      </c>
    </row>
    <row r="139">
      <c r="A139" s="41">
        <f>DAMAS_Daily!A139</f>
        <v/>
      </c>
      <c r="B139" s="42">
        <f>DAMAS_Daily!B139</f>
        <v/>
      </c>
      <c r="C139" s="42">
        <f>IF((power_mw*hours_per_day*damas_afrr_up*capacity_mult_D*stack_capacity*acceptance_rate+(MIN(DAMAS_Daily!C139*market_share_D*acceptance_rate*stack_activation,power_mw*hours_per_day,capacity_mwh))*DAMAS_Daily!E139*activation_mult_D)&gt;=(power_mw*hours_per_day*damas_afrr_down*capacity_mult_D*stack_capacity*acceptance_rate+(MIN(DAMAS_Daily!D139*market_share_D*acceptance_rate*stack_activation,power_mw*hours_per_day,capacity_mwh))*DAMAS_Daily!F139*activation_mult_D),"aFRR+","aFRR-")</f>
        <v/>
      </c>
      <c r="D139" s="43">
        <f>IF(C139="aFRR+",damas_afrr_up*capacity_mult_D,damas_afrr_down*capacity_mult_D)</f>
        <v/>
      </c>
      <c r="E139" s="44">
        <f>acceptance_rate</f>
        <v/>
      </c>
      <c r="F139" s="28">
        <f>IF(C139="aFRR+",power_mw*hours_per_day*damas_afrr_up*capacity_mult_D*stack_capacity*acceptance_rate,power_mw*hours_per_day*damas_afrr_down*capacity_mult_D*stack_capacity*acceptance_rate)</f>
        <v/>
      </c>
      <c r="G139" s="42">
        <f>IF(C139="aFRR+",DAMAS_Daily!I139,DAMAS_Daily!J139)</f>
        <v/>
      </c>
      <c r="H139" s="43">
        <f>IF(C139="aFRR+",DAMAS_Daily!E139,DAMAS_Daily!F139)</f>
        <v/>
      </c>
      <c r="I139" s="43">
        <f>IF(C139="aFRR+",DAMAS_Daily!G139,DAMAS_Daily!H139)</f>
        <v/>
      </c>
      <c r="J139" s="45">
        <f>IF(C139="aFRR+",DAMAS_Daily!C139,DAMAS_Daily!D139)</f>
        <v/>
      </c>
      <c r="K139" s="45">
        <f>IF(C139="aFRR+",MIN(DAMAS_Daily!C139*market_share_D*acceptance_rate*stack_activation,power_mw*hours_per_day,capacity_mwh),MIN(DAMAS_Daily!D139*market_share_D*acceptance_rate*stack_activation,power_mw*hours_per_day,capacity_mwh))</f>
        <v/>
      </c>
      <c r="L139" s="42">
        <f>IF(K139&gt;=capacity_mwh-0.01,"yes","no")</f>
        <v/>
      </c>
      <c r="M139" s="28">
        <f>IF(C139="aFRR+",(MIN(DAMAS_Daily!C139*market_share_D*acceptance_rate*stack_activation,power_mw*hours_per_day,capacity_mwh))*DAMAS_Daily!E139*activation_mult_D,(MIN(DAMAS_Daily!D139*market_share_D*acceptance_rate*stack_activation,power_mw*hours_per_day,capacity_mwh))*DAMAS_Daily!F139*activation_mult_D)</f>
        <v/>
      </c>
      <c r="N139" s="29">
        <f>F139+M139</f>
        <v/>
      </c>
    </row>
    <row r="140">
      <c r="A140" s="41">
        <f>DAMAS_Daily!A140</f>
        <v/>
      </c>
      <c r="B140" s="42">
        <f>DAMAS_Daily!B140</f>
        <v/>
      </c>
      <c r="C140" s="42">
        <f>IF((power_mw*hours_per_day*damas_afrr_up*capacity_mult_D*stack_capacity*acceptance_rate+(MIN(DAMAS_Daily!C140*market_share_D*acceptance_rate*stack_activation,power_mw*hours_per_day,capacity_mwh))*DAMAS_Daily!E140*activation_mult_D)&gt;=(power_mw*hours_per_day*damas_afrr_down*capacity_mult_D*stack_capacity*acceptance_rate+(MIN(DAMAS_Daily!D140*market_share_D*acceptance_rate*stack_activation,power_mw*hours_per_day,capacity_mwh))*DAMAS_Daily!F140*activation_mult_D),"aFRR+","aFRR-")</f>
        <v/>
      </c>
      <c r="D140" s="43">
        <f>IF(C140="aFRR+",damas_afrr_up*capacity_mult_D,damas_afrr_down*capacity_mult_D)</f>
        <v/>
      </c>
      <c r="E140" s="44">
        <f>acceptance_rate</f>
        <v/>
      </c>
      <c r="F140" s="28">
        <f>IF(C140="aFRR+",power_mw*hours_per_day*damas_afrr_up*capacity_mult_D*stack_capacity*acceptance_rate,power_mw*hours_per_day*damas_afrr_down*capacity_mult_D*stack_capacity*acceptance_rate)</f>
        <v/>
      </c>
      <c r="G140" s="42">
        <f>IF(C140="aFRR+",DAMAS_Daily!I140,DAMAS_Daily!J140)</f>
        <v/>
      </c>
      <c r="H140" s="43">
        <f>IF(C140="aFRR+",DAMAS_Daily!E140,DAMAS_Daily!F140)</f>
        <v/>
      </c>
      <c r="I140" s="43">
        <f>IF(C140="aFRR+",DAMAS_Daily!G140,DAMAS_Daily!H140)</f>
        <v/>
      </c>
      <c r="J140" s="45">
        <f>IF(C140="aFRR+",DAMAS_Daily!C140,DAMAS_Daily!D140)</f>
        <v/>
      </c>
      <c r="K140" s="45">
        <f>IF(C140="aFRR+",MIN(DAMAS_Daily!C140*market_share_D*acceptance_rate*stack_activation,power_mw*hours_per_day,capacity_mwh),MIN(DAMAS_Daily!D140*market_share_D*acceptance_rate*stack_activation,power_mw*hours_per_day,capacity_mwh))</f>
        <v/>
      </c>
      <c r="L140" s="42">
        <f>IF(K140&gt;=capacity_mwh-0.01,"yes","no")</f>
        <v/>
      </c>
      <c r="M140" s="28">
        <f>IF(C140="aFRR+",(MIN(DAMAS_Daily!C140*market_share_D*acceptance_rate*stack_activation,power_mw*hours_per_day,capacity_mwh))*DAMAS_Daily!E140*activation_mult_D,(MIN(DAMAS_Daily!D140*market_share_D*acceptance_rate*stack_activation,power_mw*hours_per_day,capacity_mwh))*DAMAS_Daily!F140*activation_mult_D)</f>
        <v/>
      </c>
      <c r="N140" s="29">
        <f>F140+M140</f>
        <v/>
      </c>
    </row>
    <row r="141">
      <c r="A141" s="41">
        <f>DAMAS_Daily!A141</f>
        <v/>
      </c>
      <c r="B141" s="42">
        <f>DAMAS_Daily!B141</f>
        <v/>
      </c>
      <c r="C141" s="42">
        <f>IF((power_mw*hours_per_day*damas_afrr_up*capacity_mult_D*stack_capacity*acceptance_rate+(MIN(DAMAS_Daily!C141*market_share_D*acceptance_rate*stack_activation,power_mw*hours_per_day,capacity_mwh))*DAMAS_Daily!E141*activation_mult_D)&gt;=(power_mw*hours_per_day*damas_afrr_down*capacity_mult_D*stack_capacity*acceptance_rate+(MIN(DAMAS_Daily!D141*market_share_D*acceptance_rate*stack_activation,power_mw*hours_per_day,capacity_mwh))*DAMAS_Daily!F141*activation_mult_D),"aFRR+","aFRR-")</f>
        <v/>
      </c>
      <c r="D141" s="43">
        <f>IF(C141="aFRR+",damas_afrr_up*capacity_mult_D,damas_afrr_down*capacity_mult_D)</f>
        <v/>
      </c>
      <c r="E141" s="44">
        <f>acceptance_rate</f>
        <v/>
      </c>
      <c r="F141" s="28">
        <f>IF(C141="aFRR+",power_mw*hours_per_day*damas_afrr_up*capacity_mult_D*stack_capacity*acceptance_rate,power_mw*hours_per_day*damas_afrr_down*capacity_mult_D*stack_capacity*acceptance_rate)</f>
        <v/>
      </c>
      <c r="G141" s="42">
        <f>IF(C141="aFRR+",DAMAS_Daily!I141,DAMAS_Daily!J141)</f>
        <v/>
      </c>
      <c r="H141" s="43">
        <f>IF(C141="aFRR+",DAMAS_Daily!E141,DAMAS_Daily!F141)</f>
        <v/>
      </c>
      <c r="I141" s="43">
        <f>IF(C141="aFRR+",DAMAS_Daily!G141,DAMAS_Daily!H141)</f>
        <v/>
      </c>
      <c r="J141" s="45">
        <f>IF(C141="aFRR+",DAMAS_Daily!C141,DAMAS_Daily!D141)</f>
        <v/>
      </c>
      <c r="K141" s="45">
        <f>IF(C141="aFRR+",MIN(DAMAS_Daily!C141*market_share_D*acceptance_rate*stack_activation,power_mw*hours_per_day,capacity_mwh),MIN(DAMAS_Daily!D141*market_share_D*acceptance_rate*stack_activation,power_mw*hours_per_day,capacity_mwh))</f>
        <v/>
      </c>
      <c r="L141" s="42">
        <f>IF(K141&gt;=capacity_mwh-0.01,"yes","no")</f>
        <v/>
      </c>
      <c r="M141" s="28">
        <f>IF(C141="aFRR+",(MIN(DAMAS_Daily!C141*market_share_D*acceptance_rate*stack_activation,power_mw*hours_per_day,capacity_mwh))*DAMAS_Daily!E141*activation_mult_D,(MIN(DAMAS_Daily!D141*market_share_D*acceptance_rate*stack_activation,power_mw*hours_per_day,capacity_mwh))*DAMAS_Daily!F141*activation_mult_D)</f>
        <v/>
      </c>
      <c r="N141" s="29">
        <f>F141+M141</f>
        <v/>
      </c>
    </row>
    <row r="142">
      <c r="A142" s="41">
        <f>DAMAS_Daily!A142</f>
        <v/>
      </c>
      <c r="B142" s="42">
        <f>DAMAS_Daily!B142</f>
        <v/>
      </c>
      <c r="C142" s="42">
        <f>IF((power_mw*hours_per_day*damas_afrr_up*capacity_mult_D*stack_capacity*acceptance_rate+(MIN(DAMAS_Daily!C142*market_share_D*acceptance_rate*stack_activation,power_mw*hours_per_day,capacity_mwh))*DAMAS_Daily!E142*activation_mult_D)&gt;=(power_mw*hours_per_day*damas_afrr_down*capacity_mult_D*stack_capacity*acceptance_rate+(MIN(DAMAS_Daily!D142*market_share_D*acceptance_rate*stack_activation,power_mw*hours_per_day,capacity_mwh))*DAMAS_Daily!F142*activation_mult_D),"aFRR+","aFRR-")</f>
        <v/>
      </c>
      <c r="D142" s="43">
        <f>IF(C142="aFRR+",damas_afrr_up*capacity_mult_D,damas_afrr_down*capacity_mult_D)</f>
        <v/>
      </c>
      <c r="E142" s="44">
        <f>acceptance_rate</f>
        <v/>
      </c>
      <c r="F142" s="28">
        <f>IF(C142="aFRR+",power_mw*hours_per_day*damas_afrr_up*capacity_mult_D*stack_capacity*acceptance_rate,power_mw*hours_per_day*damas_afrr_down*capacity_mult_D*stack_capacity*acceptance_rate)</f>
        <v/>
      </c>
      <c r="G142" s="42">
        <f>IF(C142="aFRR+",DAMAS_Daily!I142,DAMAS_Daily!J142)</f>
        <v/>
      </c>
      <c r="H142" s="43">
        <f>IF(C142="aFRR+",DAMAS_Daily!E142,DAMAS_Daily!F142)</f>
        <v/>
      </c>
      <c r="I142" s="43">
        <f>IF(C142="aFRR+",DAMAS_Daily!G142,DAMAS_Daily!H142)</f>
        <v/>
      </c>
      <c r="J142" s="45">
        <f>IF(C142="aFRR+",DAMAS_Daily!C142,DAMAS_Daily!D142)</f>
        <v/>
      </c>
      <c r="K142" s="45">
        <f>IF(C142="aFRR+",MIN(DAMAS_Daily!C142*market_share_D*acceptance_rate*stack_activation,power_mw*hours_per_day,capacity_mwh),MIN(DAMAS_Daily!D142*market_share_D*acceptance_rate*stack_activation,power_mw*hours_per_day,capacity_mwh))</f>
        <v/>
      </c>
      <c r="L142" s="42">
        <f>IF(K142&gt;=capacity_mwh-0.01,"yes","no")</f>
        <v/>
      </c>
      <c r="M142" s="28">
        <f>IF(C142="aFRR+",(MIN(DAMAS_Daily!C142*market_share_D*acceptance_rate*stack_activation,power_mw*hours_per_day,capacity_mwh))*DAMAS_Daily!E142*activation_mult_D,(MIN(DAMAS_Daily!D142*market_share_D*acceptance_rate*stack_activation,power_mw*hours_per_day,capacity_mwh))*DAMAS_Daily!F142*activation_mult_D)</f>
        <v/>
      </c>
      <c r="N142" s="29">
        <f>F142+M142</f>
        <v/>
      </c>
    </row>
    <row r="143">
      <c r="A143" s="41">
        <f>DAMAS_Daily!A143</f>
        <v/>
      </c>
      <c r="B143" s="42">
        <f>DAMAS_Daily!B143</f>
        <v/>
      </c>
      <c r="C143" s="42">
        <f>IF((power_mw*hours_per_day*damas_afrr_up*capacity_mult_D*stack_capacity*acceptance_rate+(MIN(DAMAS_Daily!C143*market_share_D*acceptance_rate*stack_activation,power_mw*hours_per_day,capacity_mwh))*DAMAS_Daily!E143*activation_mult_D)&gt;=(power_mw*hours_per_day*damas_afrr_down*capacity_mult_D*stack_capacity*acceptance_rate+(MIN(DAMAS_Daily!D143*market_share_D*acceptance_rate*stack_activation,power_mw*hours_per_day,capacity_mwh))*DAMAS_Daily!F143*activation_mult_D),"aFRR+","aFRR-")</f>
        <v/>
      </c>
      <c r="D143" s="43">
        <f>IF(C143="aFRR+",damas_afrr_up*capacity_mult_D,damas_afrr_down*capacity_mult_D)</f>
        <v/>
      </c>
      <c r="E143" s="44">
        <f>acceptance_rate</f>
        <v/>
      </c>
      <c r="F143" s="28">
        <f>IF(C143="aFRR+",power_mw*hours_per_day*damas_afrr_up*capacity_mult_D*stack_capacity*acceptance_rate,power_mw*hours_per_day*damas_afrr_down*capacity_mult_D*stack_capacity*acceptance_rate)</f>
        <v/>
      </c>
      <c r="G143" s="42">
        <f>IF(C143="aFRR+",DAMAS_Daily!I143,DAMAS_Daily!J143)</f>
        <v/>
      </c>
      <c r="H143" s="43">
        <f>IF(C143="aFRR+",DAMAS_Daily!E143,DAMAS_Daily!F143)</f>
        <v/>
      </c>
      <c r="I143" s="43">
        <f>IF(C143="aFRR+",DAMAS_Daily!G143,DAMAS_Daily!H143)</f>
        <v/>
      </c>
      <c r="J143" s="45">
        <f>IF(C143="aFRR+",DAMAS_Daily!C143,DAMAS_Daily!D143)</f>
        <v/>
      </c>
      <c r="K143" s="45">
        <f>IF(C143="aFRR+",MIN(DAMAS_Daily!C143*market_share_D*acceptance_rate*stack_activation,power_mw*hours_per_day,capacity_mwh),MIN(DAMAS_Daily!D143*market_share_D*acceptance_rate*stack_activation,power_mw*hours_per_day,capacity_mwh))</f>
        <v/>
      </c>
      <c r="L143" s="42">
        <f>IF(K143&gt;=capacity_mwh-0.01,"yes","no")</f>
        <v/>
      </c>
      <c r="M143" s="28">
        <f>IF(C143="aFRR+",(MIN(DAMAS_Daily!C143*market_share_D*acceptance_rate*stack_activation,power_mw*hours_per_day,capacity_mwh))*DAMAS_Daily!E143*activation_mult_D,(MIN(DAMAS_Daily!D143*market_share_D*acceptance_rate*stack_activation,power_mw*hours_per_day,capacity_mwh))*DAMAS_Daily!F143*activation_mult_D)</f>
        <v/>
      </c>
      <c r="N143" s="29">
        <f>F143+M143</f>
        <v/>
      </c>
    </row>
    <row r="144">
      <c r="A144" s="41">
        <f>DAMAS_Daily!A144</f>
        <v/>
      </c>
      <c r="B144" s="42">
        <f>DAMAS_Daily!B144</f>
        <v/>
      </c>
      <c r="C144" s="42">
        <f>IF((power_mw*hours_per_day*damas_afrr_up*capacity_mult_D*stack_capacity*acceptance_rate+(MIN(DAMAS_Daily!C144*market_share_D*acceptance_rate*stack_activation,power_mw*hours_per_day,capacity_mwh))*DAMAS_Daily!E144*activation_mult_D)&gt;=(power_mw*hours_per_day*damas_afrr_down*capacity_mult_D*stack_capacity*acceptance_rate+(MIN(DAMAS_Daily!D144*market_share_D*acceptance_rate*stack_activation,power_mw*hours_per_day,capacity_mwh))*DAMAS_Daily!F144*activation_mult_D),"aFRR+","aFRR-")</f>
        <v/>
      </c>
      <c r="D144" s="43">
        <f>IF(C144="aFRR+",damas_afrr_up*capacity_mult_D,damas_afrr_down*capacity_mult_D)</f>
        <v/>
      </c>
      <c r="E144" s="44">
        <f>acceptance_rate</f>
        <v/>
      </c>
      <c r="F144" s="28">
        <f>IF(C144="aFRR+",power_mw*hours_per_day*damas_afrr_up*capacity_mult_D*stack_capacity*acceptance_rate,power_mw*hours_per_day*damas_afrr_down*capacity_mult_D*stack_capacity*acceptance_rate)</f>
        <v/>
      </c>
      <c r="G144" s="42">
        <f>IF(C144="aFRR+",DAMAS_Daily!I144,DAMAS_Daily!J144)</f>
        <v/>
      </c>
      <c r="H144" s="43">
        <f>IF(C144="aFRR+",DAMAS_Daily!E144,DAMAS_Daily!F144)</f>
        <v/>
      </c>
      <c r="I144" s="43">
        <f>IF(C144="aFRR+",DAMAS_Daily!G144,DAMAS_Daily!H144)</f>
        <v/>
      </c>
      <c r="J144" s="45">
        <f>IF(C144="aFRR+",DAMAS_Daily!C144,DAMAS_Daily!D144)</f>
        <v/>
      </c>
      <c r="K144" s="45">
        <f>IF(C144="aFRR+",MIN(DAMAS_Daily!C144*market_share_D*acceptance_rate*stack_activation,power_mw*hours_per_day,capacity_mwh),MIN(DAMAS_Daily!D144*market_share_D*acceptance_rate*stack_activation,power_mw*hours_per_day,capacity_mwh))</f>
        <v/>
      </c>
      <c r="L144" s="42">
        <f>IF(K144&gt;=capacity_mwh-0.01,"yes","no")</f>
        <v/>
      </c>
      <c r="M144" s="28">
        <f>IF(C144="aFRR+",(MIN(DAMAS_Daily!C144*market_share_D*acceptance_rate*stack_activation,power_mw*hours_per_day,capacity_mwh))*DAMAS_Daily!E144*activation_mult_D,(MIN(DAMAS_Daily!D144*market_share_D*acceptance_rate*stack_activation,power_mw*hours_per_day,capacity_mwh))*DAMAS_Daily!F144*activation_mult_D)</f>
        <v/>
      </c>
      <c r="N144" s="29">
        <f>F144+M144</f>
        <v/>
      </c>
    </row>
    <row r="145">
      <c r="A145" s="41">
        <f>DAMAS_Daily!A145</f>
        <v/>
      </c>
      <c r="B145" s="42">
        <f>DAMAS_Daily!B145</f>
        <v/>
      </c>
      <c r="C145" s="42">
        <f>IF((power_mw*hours_per_day*damas_afrr_up*capacity_mult_D*stack_capacity*acceptance_rate+(MIN(DAMAS_Daily!C145*market_share_D*acceptance_rate*stack_activation,power_mw*hours_per_day,capacity_mwh))*DAMAS_Daily!E145*activation_mult_D)&gt;=(power_mw*hours_per_day*damas_afrr_down*capacity_mult_D*stack_capacity*acceptance_rate+(MIN(DAMAS_Daily!D145*market_share_D*acceptance_rate*stack_activation,power_mw*hours_per_day,capacity_mwh))*DAMAS_Daily!F145*activation_mult_D),"aFRR+","aFRR-")</f>
        <v/>
      </c>
      <c r="D145" s="43">
        <f>IF(C145="aFRR+",damas_afrr_up*capacity_mult_D,damas_afrr_down*capacity_mult_D)</f>
        <v/>
      </c>
      <c r="E145" s="44">
        <f>acceptance_rate</f>
        <v/>
      </c>
      <c r="F145" s="28">
        <f>IF(C145="aFRR+",power_mw*hours_per_day*damas_afrr_up*capacity_mult_D*stack_capacity*acceptance_rate,power_mw*hours_per_day*damas_afrr_down*capacity_mult_D*stack_capacity*acceptance_rate)</f>
        <v/>
      </c>
      <c r="G145" s="42">
        <f>IF(C145="aFRR+",DAMAS_Daily!I145,DAMAS_Daily!J145)</f>
        <v/>
      </c>
      <c r="H145" s="43">
        <f>IF(C145="aFRR+",DAMAS_Daily!E145,DAMAS_Daily!F145)</f>
        <v/>
      </c>
      <c r="I145" s="43">
        <f>IF(C145="aFRR+",DAMAS_Daily!G145,DAMAS_Daily!H145)</f>
        <v/>
      </c>
      <c r="J145" s="45">
        <f>IF(C145="aFRR+",DAMAS_Daily!C145,DAMAS_Daily!D145)</f>
        <v/>
      </c>
      <c r="K145" s="45">
        <f>IF(C145="aFRR+",MIN(DAMAS_Daily!C145*market_share_D*acceptance_rate*stack_activation,power_mw*hours_per_day,capacity_mwh),MIN(DAMAS_Daily!D145*market_share_D*acceptance_rate*stack_activation,power_mw*hours_per_day,capacity_mwh))</f>
        <v/>
      </c>
      <c r="L145" s="42">
        <f>IF(K145&gt;=capacity_mwh-0.01,"yes","no")</f>
        <v/>
      </c>
      <c r="M145" s="28">
        <f>IF(C145="aFRR+",(MIN(DAMAS_Daily!C145*market_share_D*acceptance_rate*stack_activation,power_mw*hours_per_day,capacity_mwh))*DAMAS_Daily!E145*activation_mult_D,(MIN(DAMAS_Daily!D145*market_share_D*acceptance_rate*stack_activation,power_mw*hours_per_day,capacity_mwh))*DAMAS_Daily!F145*activation_mult_D)</f>
        <v/>
      </c>
      <c r="N145" s="29">
        <f>F145+M145</f>
        <v/>
      </c>
    </row>
    <row r="146">
      <c r="A146" s="41">
        <f>DAMAS_Daily!A146</f>
        <v/>
      </c>
      <c r="B146" s="42">
        <f>DAMAS_Daily!B146</f>
        <v/>
      </c>
      <c r="C146" s="42">
        <f>IF((power_mw*hours_per_day*damas_afrr_up*capacity_mult_D*stack_capacity*acceptance_rate+(MIN(DAMAS_Daily!C146*market_share_D*acceptance_rate*stack_activation,power_mw*hours_per_day,capacity_mwh))*DAMAS_Daily!E146*activation_mult_D)&gt;=(power_mw*hours_per_day*damas_afrr_down*capacity_mult_D*stack_capacity*acceptance_rate+(MIN(DAMAS_Daily!D146*market_share_D*acceptance_rate*stack_activation,power_mw*hours_per_day,capacity_mwh))*DAMAS_Daily!F146*activation_mult_D),"aFRR+","aFRR-")</f>
        <v/>
      </c>
      <c r="D146" s="43">
        <f>IF(C146="aFRR+",damas_afrr_up*capacity_mult_D,damas_afrr_down*capacity_mult_D)</f>
        <v/>
      </c>
      <c r="E146" s="44">
        <f>acceptance_rate</f>
        <v/>
      </c>
      <c r="F146" s="28">
        <f>IF(C146="aFRR+",power_mw*hours_per_day*damas_afrr_up*capacity_mult_D*stack_capacity*acceptance_rate,power_mw*hours_per_day*damas_afrr_down*capacity_mult_D*stack_capacity*acceptance_rate)</f>
        <v/>
      </c>
      <c r="G146" s="42">
        <f>IF(C146="aFRR+",DAMAS_Daily!I146,DAMAS_Daily!J146)</f>
        <v/>
      </c>
      <c r="H146" s="43">
        <f>IF(C146="aFRR+",DAMAS_Daily!E146,DAMAS_Daily!F146)</f>
        <v/>
      </c>
      <c r="I146" s="43">
        <f>IF(C146="aFRR+",DAMAS_Daily!G146,DAMAS_Daily!H146)</f>
        <v/>
      </c>
      <c r="J146" s="45">
        <f>IF(C146="aFRR+",DAMAS_Daily!C146,DAMAS_Daily!D146)</f>
        <v/>
      </c>
      <c r="K146" s="45">
        <f>IF(C146="aFRR+",MIN(DAMAS_Daily!C146*market_share_D*acceptance_rate*stack_activation,power_mw*hours_per_day,capacity_mwh),MIN(DAMAS_Daily!D146*market_share_D*acceptance_rate*stack_activation,power_mw*hours_per_day,capacity_mwh))</f>
        <v/>
      </c>
      <c r="L146" s="42">
        <f>IF(K146&gt;=capacity_mwh-0.01,"yes","no")</f>
        <v/>
      </c>
      <c r="M146" s="28">
        <f>IF(C146="aFRR+",(MIN(DAMAS_Daily!C146*market_share_D*acceptance_rate*stack_activation,power_mw*hours_per_day,capacity_mwh))*DAMAS_Daily!E146*activation_mult_D,(MIN(DAMAS_Daily!D146*market_share_D*acceptance_rate*stack_activation,power_mw*hours_per_day,capacity_mwh))*DAMAS_Daily!F146*activation_mult_D)</f>
        <v/>
      </c>
      <c r="N146" s="29">
        <f>F146+M146</f>
        <v/>
      </c>
    </row>
    <row r="147">
      <c r="A147" s="41">
        <f>DAMAS_Daily!A147</f>
        <v/>
      </c>
      <c r="B147" s="42">
        <f>DAMAS_Daily!B147</f>
        <v/>
      </c>
      <c r="C147" s="42">
        <f>IF((power_mw*hours_per_day*damas_afrr_up*capacity_mult_D*stack_capacity*acceptance_rate+(MIN(DAMAS_Daily!C147*market_share_D*acceptance_rate*stack_activation,power_mw*hours_per_day,capacity_mwh))*DAMAS_Daily!E147*activation_mult_D)&gt;=(power_mw*hours_per_day*damas_afrr_down*capacity_mult_D*stack_capacity*acceptance_rate+(MIN(DAMAS_Daily!D147*market_share_D*acceptance_rate*stack_activation,power_mw*hours_per_day,capacity_mwh))*DAMAS_Daily!F147*activation_mult_D),"aFRR+","aFRR-")</f>
        <v/>
      </c>
      <c r="D147" s="43">
        <f>IF(C147="aFRR+",damas_afrr_up*capacity_mult_D,damas_afrr_down*capacity_mult_D)</f>
        <v/>
      </c>
      <c r="E147" s="44">
        <f>acceptance_rate</f>
        <v/>
      </c>
      <c r="F147" s="28">
        <f>IF(C147="aFRR+",power_mw*hours_per_day*damas_afrr_up*capacity_mult_D*stack_capacity*acceptance_rate,power_mw*hours_per_day*damas_afrr_down*capacity_mult_D*stack_capacity*acceptance_rate)</f>
        <v/>
      </c>
      <c r="G147" s="42">
        <f>IF(C147="aFRR+",DAMAS_Daily!I147,DAMAS_Daily!J147)</f>
        <v/>
      </c>
      <c r="H147" s="43">
        <f>IF(C147="aFRR+",DAMAS_Daily!E147,DAMAS_Daily!F147)</f>
        <v/>
      </c>
      <c r="I147" s="43">
        <f>IF(C147="aFRR+",DAMAS_Daily!G147,DAMAS_Daily!H147)</f>
        <v/>
      </c>
      <c r="J147" s="45">
        <f>IF(C147="aFRR+",DAMAS_Daily!C147,DAMAS_Daily!D147)</f>
        <v/>
      </c>
      <c r="K147" s="45">
        <f>IF(C147="aFRR+",MIN(DAMAS_Daily!C147*market_share_D*acceptance_rate*stack_activation,power_mw*hours_per_day,capacity_mwh),MIN(DAMAS_Daily!D147*market_share_D*acceptance_rate*stack_activation,power_mw*hours_per_day,capacity_mwh))</f>
        <v/>
      </c>
      <c r="L147" s="42">
        <f>IF(K147&gt;=capacity_mwh-0.01,"yes","no")</f>
        <v/>
      </c>
      <c r="M147" s="28">
        <f>IF(C147="aFRR+",(MIN(DAMAS_Daily!C147*market_share_D*acceptance_rate*stack_activation,power_mw*hours_per_day,capacity_mwh))*DAMAS_Daily!E147*activation_mult_D,(MIN(DAMAS_Daily!D147*market_share_D*acceptance_rate*stack_activation,power_mw*hours_per_day,capacity_mwh))*DAMAS_Daily!F147*activation_mult_D)</f>
        <v/>
      </c>
      <c r="N147" s="29">
        <f>F147+M147</f>
        <v/>
      </c>
    </row>
    <row r="148">
      <c r="A148" s="41">
        <f>DAMAS_Daily!A148</f>
        <v/>
      </c>
      <c r="B148" s="42">
        <f>DAMAS_Daily!B148</f>
        <v/>
      </c>
      <c r="C148" s="42">
        <f>IF((power_mw*hours_per_day*damas_afrr_up*capacity_mult_D*stack_capacity*acceptance_rate+(MIN(DAMAS_Daily!C148*market_share_D*acceptance_rate*stack_activation,power_mw*hours_per_day,capacity_mwh))*DAMAS_Daily!E148*activation_mult_D)&gt;=(power_mw*hours_per_day*damas_afrr_down*capacity_mult_D*stack_capacity*acceptance_rate+(MIN(DAMAS_Daily!D148*market_share_D*acceptance_rate*stack_activation,power_mw*hours_per_day,capacity_mwh))*DAMAS_Daily!F148*activation_mult_D),"aFRR+","aFRR-")</f>
        <v/>
      </c>
      <c r="D148" s="43">
        <f>IF(C148="aFRR+",damas_afrr_up*capacity_mult_D,damas_afrr_down*capacity_mult_D)</f>
        <v/>
      </c>
      <c r="E148" s="44">
        <f>acceptance_rate</f>
        <v/>
      </c>
      <c r="F148" s="28">
        <f>IF(C148="aFRR+",power_mw*hours_per_day*damas_afrr_up*capacity_mult_D*stack_capacity*acceptance_rate,power_mw*hours_per_day*damas_afrr_down*capacity_mult_D*stack_capacity*acceptance_rate)</f>
        <v/>
      </c>
      <c r="G148" s="42">
        <f>IF(C148="aFRR+",DAMAS_Daily!I148,DAMAS_Daily!J148)</f>
        <v/>
      </c>
      <c r="H148" s="43">
        <f>IF(C148="aFRR+",DAMAS_Daily!E148,DAMAS_Daily!F148)</f>
        <v/>
      </c>
      <c r="I148" s="43">
        <f>IF(C148="aFRR+",DAMAS_Daily!G148,DAMAS_Daily!H148)</f>
        <v/>
      </c>
      <c r="J148" s="45">
        <f>IF(C148="aFRR+",DAMAS_Daily!C148,DAMAS_Daily!D148)</f>
        <v/>
      </c>
      <c r="K148" s="45">
        <f>IF(C148="aFRR+",MIN(DAMAS_Daily!C148*market_share_D*acceptance_rate*stack_activation,power_mw*hours_per_day,capacity_mwh),MIN(DAMAS_Daily!D148*market_share_D*acceptance_rate*stack_activation,power_mw*hours_per_day,capacity_mwh))</f>
        <v/>
      </c>
      <c r="L148" s="42">
        <f>IF(K148&gt;=capacity_mwh-0.01,"yes","no")</f>
        <v/>
      </c>
      <c r="M148" s="28">
        <f>IF(C148="aFRR+",(MIN(DAMAS_Daily!C148*market_share_D*acceptance_rate*stack_activation,power_mw*hours_per_day,capacity_mwh))*DAMAS_Daily!E148*activation_mult_D,(MIN(DAMAS_Daily!D148*market_share_D*acceptance_rate*stack_activation,power_mw*hours_per_day,capacity_mwh))*DAMAS_Daily!F148*activation_mult_D)</f>
        <v/>
      </c>
      <c r="N148" s="29">
        <f>F148+M148</f>
        <v/>
      </c>
    </row>
    <row r="149">
      <c r="A149" s="41">
        <f>DAMAS_Daily!A149</f>
        <v/>
      </c>
      <c r="B149" s="42">
        <f>DAMAS_Daily!B149</f>
        <v/>
      </c>
      <c r="C149" s="42">
        <f>IF((power_mw*hours_per_day*damas_afrr_up*capacity_mult_D*stack_capacity*acceptance_rate+(MIN(DAMAS_Daily!C149*market_share_D*acceptance_rate*stack_activation,power_mw*hours_per_day,capacity_mwh))*DAMAS_Daily!E149*activation_mult_D)&gt;=(power_mw*hours_per_day*damas_afrr_down*capacity_mult_D*stack_capacity*acceptance_rate+(MIN(DAMAS_Daily!D149*market_share_D*acceptance_rate*stack_activation,power_mw*hours_per_day,capacity_mwh))*DAMAS_Daily!F149*activation_mult_D),"aFRR+","aFRR-")</f>
        <v/>
      </c>
      <c r="D149" s="43">
        <f>IF(C149="aFRR+",damas_afrr_up*capacity_mult_D,damas_afrr_down*capacity_mult_D)</f>
        <v/>
      </c>
      <c r="E149" s="44">
        <f>acceptance_rate</f>
        <v/>
      </c>
      <c r="F149" s="28">
        <f>IF(C149="aFRR+",power_mw*hours_per_day*damas_afrr_up*capacity_mult_D*stack_capacity*acceptance_rate,power_mw*hours_per_day*damas_afrr_down*capacity_mult_D*stack_capacity*acceptance_rate)</f>
        <v/>
      </c>
      <c r="G149" s="42">
        <f>IF(C149="aFRR+",DAMAS_Daily!I149,DAMAS_Daily!J149)</f>
        <v/>
      </c>
      <c r="H149" s="43">
        <f>IF(C149="aFRR+",DAMAS_Daily!E149,DAMAS_Daily!F149)</f>
        <v/>
      </c>
      <c r="I149" s="43">
        <f>IF(C149="aFRR+",DAMAS_Daily!G149,DAMAS_Daily!H149)</f>
        <v/>
      </c>
      <c r="J149" s="45">
        <f>IF(C149="aFRR+",DAMAS_Daily!C149,DAMAS_Daily!D149)</f>
        <v/>
      </c>
      <c r="K149" s="45">
        <f>IF(C149="aFRR+",MIN(DAMAS_Daily!C149*market_share_D*acceptance_rate*stack_activation,power_mw*hours_per_day,capacity_mwh),MIN(DAMAS_Daily!D149*market_share_D*acceptance_rate*stack_activation,power_mw*hours_per_day,capacity_mwh))</f>
        <v/>
      </c>
      <c r="L149" s="42">
        <f>IF(K149&gt;=capacity_mwh-0.01,"yes","no")</f>
        <v/>
      </c>
      <c r="M149" s="28">
        <f>IF(C149="aFRR+",(MIN(DAMAS_Daily!C149*market_share_D*acceptance_rate*stack_activation,power_mw*hours_per_day,capacity_mwh))*DAMAS_Daily!E149*activation_mult_D,(MIN(DAMAS_Daily!D149*market_share_D*acceptance_rate*stack_activation,power_mw*hours_per_day,capacity_mwh))*DAMAS_Daily!F149*activation_mult_D)</f>
        <v/>
      </c>
      <c r="N149" s="29">
        <f>F149+M149</f>
        <v/>
      </c>
    </row>
    <row r="150">
      <c r="A150" s="41">
        <f>DAMAS_Daily!A150</f>
        <v/>
      </c>
      <c r="B150" s="42">
        <f>DAMAS_Daily!B150</f>
        <v/>
      </c>
      <c r="C150" s="42">
        <f>IF((power_mw*hours_per_day*damas_afrr_up*capacity_mult_D*stack_capacity*acceptance_rate+(MIN(DAMAS_Daily!C150*market_share_D*acceptance_rate*stack_activation,power_mw*hours_per_day,capacity_mwh))*DAMAS_Daily!E150*activation_mult_D)&gt;=(power_mw*hours_per_day*damas_afrr_down*capacity_mult_D*stack_capacity*acceptance_rate+(MIN(DAMAS_Daily!D150*market_share_D*acceptance_rate*stack_activation,power_mw*hours_per_day,capacity_mwh))*DAMAS_Daily!F150*activation_mult_D),"aFRR+","aFRR-")</f>
        <v/>
      </c>
      <c r="D150" s="43">
        <f>IF(C150="aFRR+",damas_afrr_up*capacity_mult_D,damas_afrr_down*capacity_mult_D)</f>
        <v/>
      </c>
      <c r="E150" s="44">
        <f>acceptance_rate</f>
        <v/>
      </c>
      <c r="F150" s="28">
        <f>IF(C150="aFRR+",power_mw*hours_per_day*damas_afrr_up*capacity_mult_D*stack_capacity*acceptance_rate,power_mw*hours_per_day*damas_afrr_down*capacity_mult_D*stack_capacity*acceptance_rate)</f>
        <v/>
      </c>
      <c r="G150" s="42">
        <f>IF(C150="aFRR+",DAMAS_Daily!I150,DAMAS_Daily!J150)</f>
        <v/>
      </c>
      <c r="H150" s="43">
        <f>IF(C150="aFRR+",DAMAS_Daily!E150,DAMAS_Daily!F150)</f>
        <v/>
      </c>
      <c r="I150" s="43">
        <f>IF(C150="aFRR+",DAMAS_Daily!G150,DAMAS_Daily!H150)</f>
        <v/>
      </c>
      <c r="J150" s="45">
        <f>IF(C150="aFRR+",DAMAS_Daily!C150,DAMAS_Daily!D150)</f>
        <v/>
      </c>
      <c r="K150" s="45">
        <f>IF(C150="aFRR+",MIN(DAMAS_Daily!C150*market_share_D*acceptance_rate*stack_activation,power_mw*hours_per_day,capacity_mwh),MIN(DAMAS_Daily!D150*market_share_D*acceptance_rate*stack_activation,power_mw*hours_per_day,capacity_mwh))</f>
        <v/>
      </c>
      <c r="L150" s="42">
        <f>IF(K150&gt;=capacity_mwh-0.01,"yes","no")</f>
        <v/>
      </c>
      <c r="M150" s="28">
        <f>IF(C150="aFRR+",(MIN(DAMAS_Daily!C150*market_share_D*acceptance_rate*stack_activation,power_mw*hours_per_day,capacity_mwh))*DAMAS_Daily!E150*activation_mult_D,(MIN(DAMAS_Daily!D150*market_share_D*acceptance_rate*stack_activation,power_mw*hours_per_day,capacity_mwh))*DAMAS_Daily!F150*activation_mult_D)</f>
        <v/>
      </c>
      <c r="N150" s="29">
        <f>F150+M150</f>
        <v/>
      </c>
    </row>
    <row r="151">
      <c r="A151" s="41">
        <f>DAMAS_Daily!A151</f>
        <v/>
      </c>
      <c r="B151" s="42">
        <f>DAMAS_Daily!B151</f>
        <v/>
      </c>
      <c r="C151" s="42">
        <f>IF((power_mw*hours_per_day*damas_afrr_up*capacity_mult_D*stack_capacity*acceptance_rate+(MIN(DAMAS_Daily!C151*market_share_D*acceptance_rate*stack_activation,power_mw*hours_per_day,capacity_mwh))*DAMAS_Daily!E151*activation_mult_D)&gt;=(power_mw*hours_per_day*damas_afrr_down*capacity_mult_D*stack_capacity*acceptance_rate+(MIN(DAMAS_Daily!D151*market_share_D*acceptance_rate*stack_activation,power_mw*hours_per_day,capacity_mwh))*DAMAS_Daily!F151*activation_mult_D),"aFRR+","aFRR-")</f>
        <v/>
      </c>
      <c r="D151" s="43">
        <f>IF(C151="aFRR+",damas_afrr_up*capacity_mult_D,damas_afrr_down*capacity_mult_D)</f>
        <v/>
      </c>
      <c r="E151" s="44">
        <f>acceptance_rate</f>
        <v/>
      </c>
      <c r="F151" s="28">
        <f>IF(C151="aFRR+",power_mw*hours_per_day*damas_afrr_up*capacity_mult_D*stack_capacity*acceptance_rate,power_mw*hours_per_day*damas_afrr_down*capacity_mult_D*stack_capacity*acceptance_rate)</f>
        <v/>
      </c>
      <c r="G151" s="42">
        <f>IF(C151="aFRR+",DAMAS_Daily!I151,DAMAS_Daily!J151)</f>
        <v/>
      </c>
      <c r="H151" s="43">
        <f>IF(C151="aFRR+",DAMAS_Daily!E151,DAMAS_Daily!F151)</f>
        <v/>
      </c>
      <c r="I151" s="43">
        <f>IF(C151="aFRR+",DAMAS_Daily!G151,DAMAS_Daily!H151)</f>
        <v/>
      </c>
      <c r="J151" s="45">
        <f>IF(C151="aFRR+",DAMAS_Daily!C151,DAMAS_Daily!D151)</f>
        <v/>
      </c>
      <c r="K151" s="45">
        <f>IF(C151="aFRR+",MIN(DAMAS_Daily!C151*market_share_D*acceptance_rate*stack_activation,power_mw*hours_per_day,capacity_mwh),MIN(DAMAS_Daily!D151*market_share_D*acceptance_rate*stack_activation,power_mw*hours_per_day,capacity_mwh))</f>
        <v/>
      </c>
      <c r="L151" s="42">
        <f>IF(K151&gt;=capacity_mwh-0.01,"yes","no")</f>
        <v/>
      </c>
      <c r="M151" s="28">
        <f>IF(C151="aFRR+",(MIN(DAMAS_Daily!C151*market_share_D*acceptance_rate*stack_activation,power_mw*hours_per_day,capacity_mwh))*DAMAS_Daily!E151*activation_mult_D,(MIN(DAMAS_Daily!D151*market_share_D*acceptance_rate*stack_activation,power_mw*hours_per_day,capacity_mwh))*DAMAS_Daily!F151*activation_mult_D)</f>
        <v/>
      </c>
      <c r="N151" s="29">
        <f>F151+M151</f>
        <v/>
      </c>
    </row>
    <row r="152">
      <c r="A152" s="41">
        <f>DAMAS_Daily!A152</f>
        <v/>
      </c>
      <c r="B152" s="42">
        <f>DAMAS_Daily!B152</f>
        <v/>
      </c>
      <c r="C152" s="42">
        <f>IF((power_mw*hours_per_day*damas_afrr_up*capacity_mult_D*stack_capacity*acceptance_rate+(MIN(DAMAS_Daily!C152*market_share_D*acceptance_rate*stack_activation,power_mw*hours_per_day,capacity_mwh))*DAMAS_Daily!E152*activation_mult_D)&gt;=(power_mw*hours_per_day*damas_afrr_down*capacity_mult_D*stack_capacity*acceptance_rate+(MIN(DAMAS_Daily!D152*market_share_D*acceptance_rate*stack_activation,power_mw*hours_per_day,capacity_mwh))*DAMAS_Daily!F152*activation_mult_D),"aFRR+","aFRR-")</f>
        <v/>
      </c>
      <c r="D152" s="43">
        <f>IF(C152="aFRR+",damas_afrr_up*capacity_mult_D,damas_afrr_down*capacity_mult_D)</f>
        <v/>
      </c>
      <c r="E152" s="44">
        <f>acceptance_rate</f>
        <v/>
      </c>
      <c r="F152" s="28">
        <f>IF(C152="aFRR+",power_mw*hours_per_day*damas_afrr_up*capacity_mult_D*stack_capacity*acceptance_rate,power_mw*hours_per_day*damas_afrr_down*capacity_mult_D*stack_capacity*acceptance_rate)</f>
        <v/>
      </c>
      <c r="G152" s="42">
        <f>IF(C152="aFRR+",DAMAS_Daily!I152,DAMAS_Daily!J152)</f>
        <v/>
      </c>
      <c r="H152" s="43">
        <f>IF(C152="aFRR+",DAMAS_Daily!E152,DAMAS_Daily!F152)</f>
        <v/>
      </c>
      <c r="I152" s="43">
        <f>IF(C152="aFRR+",DAMAS_Daily!G152,DAMAS_Daily!H152)</f>
        <v/>
      </c>
      <c r="J152" s="45">
        <f>IF(C152="aFRR+",DAMAS_Daily!C152,DAMAS_Daily!D152)</f>
        <v/>
      </c>
      <c r="K152" s="45">
        <f>IF(C152="aFRR+",MIN(DAMAS_Daily!C152*market_share_D*acceptance_rate*stack_activation,power_mw*hours_per_day,capacity_mwh),MIN(DAMAS_Daily!D152*market_share_D*acceptance_rate*stack_activation,power_mw*hours_per_day,capacity_mwh))</f>
        <v/>
      </c>
      <c r="L152" s="42">
        <f>IF(K152&gt;=capacity_mwh-0.01,"yes","no")</f>
        <v/>
      </c>
      <c r="M152" s="28">
        <f>IF(C152="aFRR+",(MIN(DAMAS_Daily!C152*market_share_D*acceptance_rate*stack_activation,power_mw*hours_per_day,capacity_mwh))*DAMAS_Daily!E152*activation_mult_D,(MIN(DAMAS_Daily!D152*market_share_D*acceptance_rate*stack_activation,power_mw*hours_per_day,capacity_mwh))*DAMAS_Daily!F152*activation_mult_D)</f>
        <v/>
      </c>
      <c r="N152" s="29">
        <f>F152+M152</f>
        <v/>
      </c>
    </row>
    <row r="153">
      <c r="A153" s="41">
        <f>DAMAS_Daily!A153</f>
        <v/>
      </c>
      <c r="B153" s="42">
        <f>DAMAS_Daily!B153</f>
        <v/>
      </c>
      <c r="C153" s="42">
        <f>IF((power_mw*hours_per_day*damas_afrr_up*capacity_mult_D*stack_capacity*acceptance_rate+(MIN(DAMAS_Daily!C153*market_share_D*acceptance_rate*stack_activation,power_mw*hours_per_day,capacity_mwh))*DAMAS_Daily!E153*activation_mult_D)&gt;=(power_mw*hours_per_day*damas_afrr_down*capacity_mult_D*stack_capacity*acceptance_rate+(MIN(DAMAS_Daily!D153*market_share_D*acceptance_rate*stack_activation,power_mw*hours_per_day,capacity_mwh))*DAMAS_Daily!F153*activation_mult_D),"aFRR+","aFRR-")</f>
        <v/>
      </c>
      <c r="D153" s="43">
        <f>IF(C153="aFRR+",damas_afrr_up*capacity_mult_D,damas_afrr_down*capacity_mult_D)</f>
        <v/>
      </c>
      <c r="E153" s="44">
        <f>acceptance_rate</f>
        <v/>
      </c>
      <c r="F153" s="28">
        <f>IF(C153="aFRR+",power_mw*hours_per_day*damas_afrr_up*capacity_mult_D*stack_capacity*acceptance_rate,power_mw*hours_per_day*damas_afrr_down*capacity_mult_D*stack_capacity*acceptance_rate)</f>
        <v/>
      </c>
      <c r="G153" s="42">
        <f>IF(C153="aFRR+",DAMAS_Daily!I153,DAMAS_Daily!J153)</f>
        <v/>
      </c>
      <c r="H153" s="43">
        <f>IF(C153="aFRR+",DAMAS_Daily!E153,DAMAS_Daily!F153)</f>
        <v/>
      </c>
      <c r="I153" s="43">
        <f>IF(C153="aFRR+",DAMAS_Daily!G153,DAMAS_Daily!H153)</f>
        <v/>
      </c>
      <c r="J153" s="45">
        <f>IF(C153="aFRR+",DAMAS_Daily!C153,DAMAS_Daily!D153)</f>
        <v/>
      </c>
      <c r="K153" s="45">
        <f>IF(C153="aFRR+",MIN(DAMAS_Daily!C153*market_share_D*acceptance_rate*stack_activation,power_mw*hours_per_day,capacity_mwh),MIN(DAMAS_Daily!D153*market_share_D*acceptance_rate*stack_activation,power_mw*hours_per_day,capacity_mwh))</f>
        <v/>
      </c>
      <c r="L153" s="42">
        <f>IF(K153&gt;=capacity_mwh-0.01,"yes","no")</f>
        <v/>
      </c>
      <c r="M153" s="28">
        <f>IF(C153="aFRR+",(MIN(DAMAS_Daily!C153*market_share_D*acceptance_rate*stack_activation,power_mw*hours_per_day,capacity_mwh))*DAMAS_Daily!E153*activation_mult_D,(MIN(DAMAS_Daily!D153*market_share_D*acceptance_rate*stack_activation,power_mw*hours_per_day,capacity_mwh))*DAMAS_Daily!F153*activation_mult_D)</f>
        <v/>
      </c>
      <c r="N153" s="29">
        <f>F153+M153</f>
        <v/>
      </c>
    </row>
    <row r="154">
      <c r="A154" s="41">
        <f>DAMAS_Daily!A154</f>
        <v/>
      </c>
      <c r="B154" s="42">
        <f>DAMAS_Daily!B154</f>
        <v/>
      </c>
      <c r="C154" s="42">
        <f>IF((power_mw*hours_per_day*damas_afrr_up*capacity_mult_D*stack_capacity*acceptance_rate+(MIN(DAMAS_Daily!C154*market_share_D*acceptance_rate*stack_activation,power_mw*hours_per_day,capacity_mwh))*DAMAS_Daily!E154*activation_mult_D)&gt;=(power_mw*hours_per_day*damas_afrr_down*capacity_mult_D*stack_capacity*acceptance_rate+(MIN(DAMAS_Daily!D154*market_share_D*acceptance_rate*stack_activation,power_mw*hours_per_day,capacity_mwh))*DAMAS_Daily!F154*activation_mult_D),"aFRR+","aFRR-")</f>
        <v/>
      </c>
      <c r="D154" s="43">
        <f>IF(C154="aFRR+",damas_afrr_up*capacity_mult_D,damas_afrr_down*capacity_mult_D)</f>
        <v/>
      </c>
      <c r="E154" s="44">
        <f>acceptance_rate</f>
        <v/>
      </c>
      <c r="F154" s="28">
        <f>IF(C154="aFRR+",power_mw*hours_per_day*damas_afrr_up*capacity_mult_D*stack_capacity*acceptance_rate,power_mw*hours_per_day*damas_afrr_down*capacity_mult_D*stack_capacity*acceptance_rate)</f>
        <v/>
      </c>
      <c r="G154" s="42">
        <f>IF(C154="aFRR+",DAMAS_Daily!I154,DAMAS_Daily!J154)</f>
        <v/>
      </c>
      <c r="H154" s="43">
        <f>IF(C154="aFRR+",DAMAS_Daily!E154,DAMAS_Daily!F154)</f>
        <v/>
      </c>
      <c r="I154" s="43">
        <f>IF(C154="aFRR+",DAMAS_Daily!G154,DAMAS_Daily!H154)</f>
        <v/>
      </c>
      <c r="J154" s="45">
        <f>IF(C154="aFRR+",DAMAS_Daily!C154,DAMAS_Daily!D154)</f>
        <v/>
      </c>
      <c r="K154" s="45">
        <f>IF(C154="aFRR+",MIN(DAMAS_Daily!C154*market_share_D*acceptance_rate*stack_activation,power_mw*hours_per_day,capacity_mwh),MIN(DAMAS_Daily!D154*market_share_D*acceptance_rate*stack_activation,power_mw*hours_per_day,capacity_mwh))</f>
        <v/>
      </c>
      <c r="L154" s="42">
        <f>IF(K154&gt;=capacity_mwh-0.01,"yes","no")</f>
        <v/>
      </c>
      <c r="M154" s="28">
        <f>IF(C154="aFRR+",(MIN(DAMAS_Daily!C154*market_share_D*acceptance_rate*stack_activation,power_mw*hours_per_day,capacity_mwh))*DAMAS_Daily!E154*activation_mult_D,(MIN(DAMAS_Daily!D154*market_share_D*acceptance_rate*stack_activation,power_mw*hours_per_day,capacity_mwh))*DAMAS_Daily!F154*activation_mult_D)</f>
        <v/>
      </c>
      <c r="N154" s="29">
        <f>F154+M154</f>
        <v/>
      </c>
    </row>
    <row r="155">
      <c r="A155" s="41">
        <f>DAMAS_Daily!A155</f>
        <v/>
      </c>
      <c r="B155" s="42">
        <f>DAMAS_Daily!B155</f>
        <v/>
      </c>
      <c r="C155" s="42">
        <f>IF((power_mw*hours_per_day*damas_afrr_up*capacity_mult_D*stack_capacity*acceptance_rate+(MIN(DAMAS_Daily!C155*market_share_D*acceptance_rate*stack_activation,power_mw*hours_per_day,capacity_mwh))*DAMAS_Daily!E155*activation_mult_D)&gt;=(power_mw*hours_per_day*damas_afrr_down*capacity_mult_D*stack_capacity*acceptance_rate+(MIN(DAMAS_Daily!D155*market_share_D*acceptance_rate*stack_activation,power_mw*hours_per_day,capacity_mwh))*DAMAS_Daily!F155*activation_mult_D),"aFRR+","aFRR-")</f>
        <v/>
      </c>
      <c r="D155" s="43">
        <f>IF(C155="aFRR+",damas_afrr_up*capacity_mult_D,damas_afrr_down*capacity_mult_D)</f>
        <v/>
      </c>
      <c r="E155" s="44">
        <f>acceptance_rate</f>
        <v/>
      </c>
      <c r="F155" s="28">
        <f>IF(C155="aFRR+",power_mw*hours_per_day*damas_afrr_up*capacity_mult_D*stack_capacity*acceptance_rate,power_mw*hours_per_day*damas_afrr_down*capacity_mult_D*stack_capacity*acceptance_rate)</f>
        <v/>
      </c>
      <c r="G155" s="42">
        <f>IF(C155="aFRR+",DAMAS_Daily!I155,DAMAS_Daily!J155)</f>
        <v/>
      </c>
      <c r="H155" s="43">
        <f>IF(C155="aFRR+",DAMAS_Daily!E155,DAMAS_Daily!F155)</f>
        <v/>
      </c>
      <c r="I155" s="43">
        <f>IF(C155="aFRR+",DAMAS_Daily!G155,DAMAS_Daily!H155)</f>
        <v/>
      </c>
      <c r="J155" s="45">
        <f>IF(C155="aFRR+",DAMAS_Daily!C155,DAMAS_Daily!D155)</f>
        <v/>
      </c>
      <c r="K155" s="45">
        <f>IF(C155="aFRR+",MIN(DAMAS_Daily!C155*market_share_D*acceptance_rate*stack_activation,power_mw*hours_per_day,capacity_mwh),MIN(DAMAS_Daily!D155*market_share_D*acceptance_rate*stack_activation,power_mw*hours_per_day,capacity_mwh))</f>
        <v/>
      </c>
      <c r="L155" s="42">
        <f>IF(K155&gt;=capacity_mwh-0.01,"yes","no")</f>
        <v/>
      </c>
      <c r="M155" s="28">
        <f>IF(C155="aFRR+",(MIN(DAMAS_Daily!C155*market_share_D*acceptance_rate*stack_activation,power_mw*hours_per_day,capacity_mwh))*DAMAS_Daily!E155*activation_mult_D,(MIN(DAMAS_Daily!D155*market_share_D*acceptance_rate*stack_activation,power_mw*hours_per_day,capacity_mwh))*DAMAS_Daily!F155*activation_mult_D)</f>
        <v/>
      </c>
      <c r="N155" s="29">
        <f>F155+M155</f>
        <v/>
      </c>
    </row>
    <row r="156">
      <c r="A156" s="41">
        <f>DAMAS_Daily!A156</f>
        <v/>
      </c>
      <c r="B156" s="42">
        <f>DAMAS_Daily!B156</f>
        <v/>
      </c>
      <c r="C156" s="42">
        <f>IF((power_mw*hours_per_day*damas_afrr_up*capacity_mult_D*stack_capacity*acceptance_rate+(MIN(DAMAS_Daily!C156*market_share_D*acceptance_rate*stack_activation,power_mw*hours_per_day,capacity_mwh))*DAMAS_Daily!E156*activation_mult_D)&gt;=(power_mw*hours_per_day*damas_afrr_down*capacity_mult_D*stack_capacity*acceptance_rate+(MIN(DAMAS_Daily!D156*market_share_D*acceptance_rate*stack_activation,power_mw*hours_per_day,capacity_mwh))*DAMAS_Daily!F156*activation_mult_D),"aFRR+","aFRR-")</f>
        <v/>
      </c>
      <c r="D156" s="43">
        <f>IF(C156="aFRR+",damas_afrr_up*capacity_mult_D,damas_afrr_down*capacity_mult_D)</f>
        <v/>
      </c>
      <c r="E156" s="44">
        <f>acceptance_rate</f>
        <v/>
      </c>
      <c r="F156" s="28">
        <f>IF(C156="aFRR+",power_mw*hours_per_day*damas_afrr_up*capacity_mult_D*stack_capacity*acceptance_rate,power_mw*hours_per_day*damas_afrr_down*capacity_mult_D*stack_capacity*acceptance_rate)</f>
        <v/>
      </c>
      <c r="G156" s="42">
        <f>IF(C156="aFRR+",DAMAS_Daily!I156,DAMAS_Daily!J156)</f>
        <v/>
      </c>
      <c r="H156" s="43">
        <f>IF(C156="aFRR+",DAMAS_Daily!E156,DAMAS_Daily!F156)</f>
        <v/>
      </c>
      <c r="I156" s="43">
        <f>IF(C156="aFRR+",DAMAS_Daily!G156,DAMAS_Daily!H156)</f>
        <v/>
      </c>
      <c r="J156" s="45">
        <f>IF(C156="aFRR+",DAMAS_Daily!C156,DAMAS_Daily!D156)</f>
        <v/>
      </c>
      <c r="K156" s="45">
        <f>IF(C156="aFRR+",MIN(DAMAS_Daily!C156*market_share_D*acceptance_rate*stack_activation,power_mw*hours_per_day,capacity_mwh),MIN(DAMAS_Daily!D156*market_share_D*acceptance_rate*stack_activation,power_mw*hours_per_day,capacity_mwh))</f>
        <v/>
      </c>
      <c r="L156" s="42">
        <f>IF(K156&gt;=capacity_mwh-0.01,"yes","no")</f>
        <v/>
      </c>
      <c r="M156" s="28">
        <f>IF(C156="aFRR+",(MIN(DAMAS_Daily!C156*market_share_D*acceptance_rate*stack_activation,power_mw*hours_per_day,capacity_mwh))*DAMAS_Daily!E156*activation_mult_D,(MIN(DAMAS_Daily!D156*market_share_D*acceptance_rate*stack_activation,power_mw*hours_per_day,capacity_mwh))*DAMAS_Daily!F156*activation_mult_D)</f>
        <v/>
      </c>
      <c r="N156" s="29">
        <f>F156+M156</f>
        <v/>
      </c>
    </row>
    <row r="157">
      <c r="A157" s="41">
        <f>DAMAS_Daily!A157</f>
        <v/>
      </c>
      <c r="B157" s="42">
        <f>DAMAS_Daily!B157</f>
        <v/>
      </c>
      <c r="C157" s="42">
        <f>IF((power_mw*hours_per_day*damas_afrr_up*capacity_mult_D*stack_capacity*acceptance_rate+(MIN(DAMAS_Daily!C157*market_share_D*acceptance_rate*stack_activation,power_mw*hours_per_day,capacity_mwh))*DAMAS_Daily!E157*activation_mult_D)&gt;=(power_mw*hours_per_day*damas_afrr_down*capacity_mult_D*stack_capacity*acceptance_rate+(MIN(DAMAS_Daily!D157*market_share_D*acceptance_rate*stack_activation,power_mw*hours_per_day,capacity_mwh))*DAMAS_Daily!F157*activation_mult_D),"aFRR+","aFRR-")</f>
        <v/>
      </c>
      <c r="D157" s="43">
        <f>IF(C157="aFRR+",damas_afrr_up*capacity_mult_D,damas_afrr_down*capacity_mult_D)</f>
        <v/>
      </c>
      <c r="E157" s="44">
        <f>acceptance_rate</f>
        <v/>
      </c>
      <c r="F157" s="28">
        <f>IF(C157="aFRR+",power_mw*hours_per_day*damas_afrr_up*capacity_mult_D*stack_capacity*acceptance_rate,power_mw*hours_per_day*damas_afrr_down*capacity_mult_D*stack_capacity*acceptance_rate)</f>
        <v/>
      </c>
      <c r="G157" s="42">
        <f>IF(C157="aFRR+",DAMAS_Daily!I157,DAMAS_Daily!J157)</f>
        <v/>
      </c>
      <c r="H157" s="43">
        <f>IF(C157="aFRR+",DAMAS_Daily!E157,DAMAS_Daily!F157)</f>
        <v/>
      </c>
      <c r="I157" s="43">
        <f>IF(C157="aFRR+",DAMAS_Daily!G157,DAMAS_Daily!H157)</f>
        <v/>
      </c>
      <c r="J157" s="45">
        <f>IF(C157="aFRR+",DAMAS_Daily!C157,DAMAS_Daily!D157)</f>
        <v/>
      </c>
      <c r="K157" s="45">
        <f>IF(C157="aFRR+",MIN(DAMAS_Daily!C157*market_share_D*acceptance_rate*stack_activation,power_mw*hours_per_day,capacity_mwh),MIN(DAMAS_Daily!D157*market_share_D*acceptance_rate*stack_activation,power_mw*hours_per_day,capacity_mwh))</f>
        <v/>
      </c>
      <c r="L157" s="42">
        <f>IF(K157&gt;=capacity_mwh-0.01,"yes","no")</f>
        <v/>
      </c>
      <c r="M157" s="28">
        <f>IF(C157="aFRR+",(MIN(DAMAS_Daily!C157*market_share_D*acceptance_rate*stack_activation,power_mw*hours_per_day,capacity_mwh))*DAMAS_Daily!E157*activation_mult_D,(MIN(DAMAS_Daily!D157*market_share_D*acceptance_rate*stack_activation,power_mw*hours_per_day,capacity_mwh))*DAMAS_Daily!F157*activation_mult_D)</f>
        <v/>
      </c>
      <c r="N157" s="29">
        <f>F157+M157</f>
        <v/>
      </c>
    </row>
    <row r="158">
      <c r="A158" s="41">
        <f>DAMAS_Daily!A158</f>
        <v/>
      </c>
      <c r="B158" s="42">
        <f>DAMAS_Daily!B158</f>
        <v/>
      </c>
      <c r="C158" s="42">
        <f>IF((power_mw*hours_per_day*damas_afrr_up*capacity_mult_D*stack_capacity*acceptance_rate+(MIN(DAMAS_Daily!C158*market_share_D*acceptance_rate*stack_activation,power_mw*hours_per_day,capacity_mwh))*DAMAS_Daily!E158*activation_mult_D)&gt;=(power_mw*hours_per_day*damas_afrr_down*capacity_mult_D*stack_capacity*acceptance_rate+(MIN(DAMAS_Daily!D158*market_share_D*acceptance_rate*stack_activation,power_mw*hours_per_day,capacity_mwh))*DAMAS_Daily!F158*activation_mult_D),"aFRR+","aFRR-")</f>
        <v/>
      </c>
      <c r="D158" s="43">
        <f>IF(C158="aFRR+",damas_afrr_up*capacity_mult_D,damas_afrr_down*capacity_mult_D)</f>
        <v/>
      </c>
      <c r="E158" s="44">
        <f>acceptance_rate</f>
        <v/>
      </c>
      <c r="F158" s="28">
        <f>IF(C158="aFRR+",power_mw*hours_per_day*damas_afrr_up*capacity_mult_D*stack_capacity*acceptance_rate,power_mw*hours_per_day*damas_afrr_down*capacity_mult_D*stack_capacity*acceptance_rate)</f>
        <v/>
      </c>
      <c r="G158" s="42">
        <f>IF(C158="aFRR+",DAMAS_Daily!I158,DAMAS_Daily!J158)</f>
        <v/>
      </c>
      <c r="H158" s="43">
        <f>IF(C158="aFRR+",DAMAS_Daily!E158,DAMAS_Daily!F158)</f>
        <v/>
      </c>
      <c r="I158" s="43">
        <f>IF(C158="aFRR+",DAMAS_Daily!G158,DAMAS_Daily!H158)</f>
        <v/>
      </c>
      <c r="J158" s="45">
        <f>IF(C158="aFRR+",DAMAS_Daily!C158,DAMAS_Daily!D158)</f>
        <v/>
      </c>
      <c r="K158" s="45">
        <f>IF(C158="aFRR+",MIN(DAMAS_Daily!C158*market_share_D*acceptance_rate*stack_activation,power_mw*hours_per_day,capacity_mwh),MIN(DAMAS_Daily!D158*market_share_D*acceptance_rate*stack_activation,power_mw*hours_per_day,capacity_mwh))</f>
        <v/>
      </c>
      <c r="L158" s="42">
        <f>IF(K158&gt;=capacity_mwh-0.01,"yes","no")</f>
        <v/>
      </c>
      <c r="M158" s="28">
        <f>IF(C158="aFRR+",(MIN(DAMAS_Daily!C158*market_share_D*acceptance_rate*stack_activation,power_mw*hours_per_day,capacity_mwh))*DAMAS_Daily!E158*activation_mult_D,(MIN(DAMAS_Daily!D158*market_share_D*acceptance_rate*stack_activation,power_mw*hours_per_day,capacity_mwh))*DAMAS_Daily!F158*activation_mult_D)</f>
        <v/>
      </c>
      <c r="N158" s="29">
        <f>F158+M158</f>
        <v/>
      </c>
    </row>
    <row r="159">
      <c r="A159" s="41">
        <f>DAMAS_Daily!A159</f>
        <v/>
      </c>
      <c r="B159" s="42">
        <f>DAMAS_Daily!B159</f>
        <v/>
      </c>
      <c r="C159" s="42">
        <f>IF((power_mw*hours_per_day*damas_afrr_up*capacity_mult_D*stack_capacity*acceptance_rate+(MIN(DAMAS_Daily!C159*market_share_D*acceptance_rate*stack_activation,power_mw*hours_per_day,capacity_mwh))*DAMAS_Daily!E159*activation_mult_D)&gt;=(power_mw*hours_per_day*damas_afrr_down*capacity_mult_D*stack_capacity*acceptance_rate+(MIN(DAMAS_Daily!D159*market_share_D*acceptance_rate*stack_activation,power_mw*hours_per_day,capacity_mwh))*DAMAS_Daily!F159*activation_mult_D),"aFRR+","aFRR-")</f>
        <v/>
      </c>
      <c r="D159" s="43">
        <f>IF(C159="aFRR+",damas_afrr_up*capacity_mult_D,damas_afrr_down*capacity_mult_D)</f>
        <v/>
      </c>
      <c r="E159" s="44">
        <f>acceptance_rate</f>
        <v/>
      </c>
      <c r="F159" s="28">
        <f>IF(C159="aFRR+",power_mw*hours_per_day*damas_afrr_up*capacity_mult_D*stack_capacity*acceptance_rate,power_mw*hours_per_day*damas_afrr_down*capacity_mult_D*stack_capacity*acceptance_rate)</f>
        <v/>
      </c>
      <c r="G159" s="42">
        <f>IF(C159="aFRR+",DAMAS_Daily!I159,DAMAS_Daily!J159)</f>
        <v/>
      </c>
      <c r="H159" s="43">
        <f>IF(C159="aFRR+",DAMAS_Daily!E159,DAMAS_Daily!F159)</f>
        <v/>
      </c>
      <c r="I159" s="43">
        <f>IF(C159="aFRR+",DAMAS_Daily!G159,DAMAS_Daily!H159)</f>
        <v/>
      </c>
      <c r="J159" s="45">
        <f>IF(C159="aFRR+",DAMAS_Daily!C159,DAMAS_Daily!D159)</f>
        <v/>
      </c>
      <c r="K159" s="45">
        <f>IF(C159="aFRR+",MIN(DAMAS_Daily!C159*market_share_D*acceptance_rate*stack_activation,power_mw*hours_per_day,capacity_mwh),MIN(DAMAS_Daily!D159*market_share_D*acceptance_rate*stack_activation,power_mw*hours_per_day,capacity_mwh))</f>
        <v/>
      </c>
      <c r="L159" s="42">
        <f>IF(K159&gt;=capacity_mwh-0.01,"yes","no")</f>
        <v/>
      </c>
      <c r="M159" s="28">
        <f>IF(C159="aFRR+",(MIN(DAMAS_Daily!C159*market_share_D*acceptance_rate*stack_activation,power_mw*hours_per_day,capacity_mwh))*DAMAS_Daily!E159*activation_mult_D,(MIN(DAMAS_Daily!D159*market_share_D*acceptance_rate*stack_activation,power_mw*hours_per_day,capacity_mwh))*DAMAS_Daily!F159*activation_mult_D)</f>
        <v/>
      </c>
      <c r="N159" s="29">
        <f>F159+M159</f>
        <v/>
      </c>
    </row>
    <row r="160">
      <c r="A160" s="41">
        <f>DAMAS_Daily!A160</f>
        <v/>
      </c>
      <c r="B160" s="42">
        <f>DAMAS_Daily!B160</f>
        <v/>
      </c>
      <c r="C160" s="42">
        <f>IF((power_mw*hours_per_day*damas_afrr_up*capacity_mult_D*stack_capacity*acceptance_rate+(MIN(DAMAS_Daily!C160*market_share_D*acceptance_rate*stack_activation,power_mw*hours_per_day,capacity_mwh))*DAMAS_Daily!E160*activation_mult_D)&gt;=(power_mw*hours_per_day*damas_afrr_down*capacity_mult_D*stack_capacity*acceptance_rate+(MIN(DAMAS_Daily!D160*market_share_D*acceptance_rate*stack_activation,power_mw*hours_per_day,capacity_mwh))*DAMAS_Daily!F160*activation_mult_D),"aFRR+","aFRR-")</f>
        <v/>
      </c>
      <c r="D160" s="43">
        <f>IF(C160="aFRR+",damas_afrr_up*capacity_mult_D,damas_afrr_down*capacity_mult_D)</f>
        <v/>
      </c>
      <c r="E160" s="44">
        <f>acceptance_rate</f>
        <v/>
      </c>
      <c r="F160" s="28">
        <f>IF(C160="aFRR+",power_mw*hours_per_day*damas_afrr_up*capacity_mult_D*stack_capacity*acceptance_rate,power_mw*hours_per_day*damas_afrr_down*capacity_mult_D*stack_capacity*acceptance_rate)</f>
        <v/>
      </c>
      <c r="G160" s="42">
        <f>IF(C160="aFRR+",DAMAS_Daily!I160,DAMAS_Daily!J160)</f>
        <v/>
      </c>
      <c r="H160" s="43">
        <f>IF(C160="aFRR+",DAMAS_Daily!E160,DAMAS_Daily!F160)</f>
        <v/>
      </c>
      <c r="I160" s="43">
        <f>IF(C160="aFRR+",DAMAS_Daily!G160,DAMAS_Daily!H160)</f>
        <v/>
      </c>
      <c r="J160" s="45">
        <f>IF(C160="aFRR+",DAMAS_Daily!C160,DAMAS_Daily!D160)</f>
        <v/>
      </c>
      <c r="K160" s="45">
        <f>IF(C160="aFRR+",MIN(DAMAS_Daily!C160*market_share_D*acceptance_rate*stack_activation,power_mw*hours_per_day,capacity_mwh),MIN(DAMAS_Daily!D160*market_share_D*acceptance_rate*stack_activation,power_mw*hours_per_day,capacity_mwh))</f>
        <v/>
      </c>
      <c r="L160" s="42">
        <f>IF(K160&gt;=capacity_mwh-0.01,"yes","no")</f>
        <v/>
      </c>
      <c r="M160" s="28">
        <f>IF(C160="aFRR+",(MIN(DAMAS_Daily!C160*market_share_D*acceptance_rate*stack_activation,power_mw*hours_per_day,capacity_mwh))*DAMAS_Daily!E160*activation_mult_D,(MIN(DAMAS_Daily!D160*market_share_D*acceptance_rate*stack_activation,power_mw*hours_per_day,capacity_mwh))*DAMAS_Daily!F160*activation_mult_D)</f>
        <v/>
      </c>
      <c r="N160" s="29">
        <f>F160+M160</f>
        <v/>
      </c>
    </row>
    <row r="161">
      <c r="A161" s="41">
        <f>DAMAS_Daily!A161</f>
        <v/>
      </c>
      <c r="B161" s="42">
        <f>DAMAS_Daily!B161</f>
        <v/>
      </c>
      <c r="C161" s="42">
        <f>IF((power_mw*hours_per_day*damas_afrr_up*capacity_mult_D*stack_capacity*acceptance_rate+(MIN(DAMAS_Daily!C161*market_share_D*acceptance_rate*stack_activation,power_mw*hours_per_day,capacity_mwh))*DAMAS_Daily!E161*activation_mult_D)&gt;=(power_mw*hours_per_day*damas_afrr_down*capacity_mult_D*stack_capacity*acceptance_rate+(MIN(DAMAS_Daily!D161*market_share_D*acceptance_rate*stack_activation,power_mw*hours_per_day,capacity_mwh))*DAMAS_Daily!F161*activation_mult_D),"aFRR+","aFRR-")</f>
        <v/>
      </c>
      <c r="D161" s="43">
        <f>IF(C161="aFRR+",damas_afrr_up*capacity_mult_D,damas_afrr_down*capacity_mult_D)</f>
        <v/>
      </c>
      <c r="E161" s="44">
        <f>acceptance_rate</f>
        <v/>
      </c>
      <c r="F161" s="28">
        <f>IF(C161="aFRR+",power_mw*hours_per_day*damas_afrr_up*capacity_mult_D*stack_capacity*acceptance_rate,power_mw*hours_per_day*damas_afrr_down*capacity_mult_D*stack_capacity*acceptance_rate)</f>
        <v/>
      </c>
      <c r="G161" s="42">
        <f>IF(C161="aFRR+",DAMAS_Daily!I161,DAMAS_Daily!J161)</f>
        <v/>
      </c>
      <c r="H161" s="43">
        <f>IF(C161="aFRR+",DAMAS_Daily!E161,DAMAS_Daily!F161)</f>
        <v/>
      </c>
      <c r="I161" s="43">
        <f>IF(C161="aFRR+",DAMAS_Daily!G161,DAMAS_Daily!H161)</f>
        <v/>
      </c>
      <c r="J161" s="45">
        <f>IF(C161="aFRR+",DAMAS_Daily!C161,DAMAS_Daily!D161)</f>
        <v/>
      </c>
      <c r="K161" s="45">
        <f>IF(C161="aFRR+",MIN(DAMAS_Daily!C161*market_share_D*acceptance_rate*stack_activation,power_mw*hours_per_day,capacity_mwh),MIN(DAMAS_Daily!D161*market_share_D*acceptance_rate*stack_activation,power_mw*hours_per_day,capacity_mwh))</f>
        <v/>
      </c>
      <c r="L161" s="42">
        <f>IF(K161&gt;=capacity_mwh-0.01,"yes","no")</f>
        <v/>
      </c>
      <c r="M161" s="28">
        <f>IF(C161="aFRR+",(MIN(DAMAS_Daily!C161*market_share_D*acceptance_rate*stack_activation,power_mw*hours_per_day,capacity_mwh))*DAMAS_Daily!E161*activation_mult_D,(MIN(DAMAS_Daily!D161*market_share_D*acceptance_rate*stack_activation,power_mw*hours_per_day,capacity_mwh))*DAMAS_Daily!F161*activation_mult_D)</f>
        <v/>
      </c>
      <c r="N161" s="29">
        <f>F161+M161</f>
        <v/>
      </c>
    </row>
    <row r="162">
      <c r="A162" s="41">
        <f>DAMAS_Daily!A162</f>
        <v/>
      </c>
      <c r="B162" s="42">
        <f>DAMAS_Daily!B162</f>
        <v/>
      </c>
      <c r="C162" s="42">
        <f>IF((power_mw*hours_per_day*damas_afrr_up*capacity_mult_D*stack_capacity*acceptance_rate+(MIN(DAMAS_Daily!C162*market_share_D*acceptance_rate*stack_activation,power_mw*hours_per_day,capacity_mwh))*DAMAS_Daily!E162*activation_mult_D)&gt;=(power_mw*hours_per_day*damas_afrr_down*capacity_mult_D*stack_capacity*acceptance_rate+(MIN(DAMAS_Daily!D162*market_share_D*acceptance_rate*stack_activation,power_mw*hours_per_day,capacity_mwh))*DAMAS_Daily!F162*activation_mult_D),"aFRR+","aFRR-")</f>
        <v/>
      </c>
      <c r="D162" s="43">
        <f>IF(C162="aFRR+",damas_afrr_up*capacity_mult_D,damas_afrr_down*capacity_mult_D)</f>
        <v/>
      </c>
      <c r="E162" s="44">
        <f>acceptance_rate</f>
        <v/>
      </c>
      <c r="F162" s="28">
        <f>IF(C162="aFRR+",power_mw*hours_per_day*damas_afrr_up*capacity_mult_D*stack_capacity*acceptance_rate,power_mw*hours_per_day*damas_afrr_down*capacity_mult_D*stack_capacity*acceptance_rate)</f>
        <v/>
      </c>
      <c r="G162" s="42">
        <f>IF(C162="aFRR+",DAMAS_Daily!I162,DAMAS_Daily!J162)</f>
        <v/>
      </c>
      <c r="H162" s="43">
        <f>IF(C162="aFRR+",DAMAS_Daily!E162,DAMAS_Daily!F162)</f>
        <v/>
      </c>
      <c r="I162" s="43">
        <f>IF(C162="aFRR+",DAMAS_Daily!G162,DAMAS_Daily!H162)</f>
        <v/>
      </c>
      <c r="J162" s="45">
        <f>IF(C162="aFRR+",DAMAS_Daily!C162,DAMAS_Daily!D162)</f>
        <v/>
      </c>
      <c r="K162" s="45">
        <f>IF(C162="aFRR+",MIN(DAMAS_Daily!C162*market_share_D*acceptance_rate*stack_activation,power_mw*hours_per_day,capacity_mwh),MIN(DAMAS_Daily!D162*market_share_D*acceptance_rate*stack_activation,power_mw*hours_per_day,capacity_mwh))</f>
        <v/>
      </c>
      <c r="L162" s="42">
        <f>IF(K162&gt;=capacity_mwh-0.01,"yes","no")</f>
        <v/>
      </c>
      <c r="M162" s="28">
        <f>IF(C162="aFRR+",(MIN(DAMAS_Daily!C162*market_share_D*acceptance_rate*stack_activation,power_mw*hours_per_day,capacity_mwh))*DAMAS_Daily!E162*activation_mult_D,(MIN(DAMAS_Daily!D162*market_share_D*acceptance_rate*stack_activation,power_mw*hours_per_day,capacity_mwh))*DAMAS_Daily!F162*activation_mult_D)</f>
        <v/>
      </c>
      <c r="N162" s="29">
        <f>F162+M162</f>
        <v/>
      </c>
    </row>
    <row r="163">
      <c r="A163" s="41">
        <f>DAMAS_Daily!A163</f>
        <v/>
      </c>
      <c r="B163" s="42">
        <f>DAMAS_Daily!B163</f>
        <v/>
      </c>
      <c r="C163" s="42">
        <f>IF((power_mw*hours_per_day*damas_afrr_up*capacity_mult_D*stack_capacity*acceptance_rate+(MIN(DAMAS_Daily!C163*market_share_D*acceptance_rate*stack_activation,power_mw*hours_per_day,capacity_mwh))*DAMAS_Daily!E163*activation_mult_D)&gt;=(power_mw*hours_per_day*damas_afrr_down*capacity_mult_D*stack_capacity*acceptance_rate+(MIN(DAMAS_Daily!D163*market_share_D*acceptance_rate*stack_activation,power_mw*hours_per_day,capacity_mwh))*DAMAS_Daily!F163*activation_mult_D),"aFRR+","aFRR-")</f>
        <v/>
      </c>
      <c r="D163" s="43">
        <f>IF(C163="aFRR+",damas_afrr_up*capacity_mult_D,damas_afrr_down*capacity_mult_D)</f>
        <v/>
      </c>
      <c r="E163" s="44">
        <f>acceptance_rate</f>
        <v/>
      </c>
      <c r="F163" s="28">
        <f>IF(C163="aFRR+",power_mw*hours_per_day*damas_afrr_up*capacity_mult_D*stack_capacity*acceptance_rate,power_mw*hours_per_day*damas_afrr_down*capacity_mult_D*stack_capacity*acceptance_rate)</f>
        <v/>
      </c>
      <c r="G163" s="42">
        <f>IF(C163="aFRR+",DAMAS_Daily!I163,DAMAS_Daily!J163)</f>
        <v/>
      </c>
      <c r="H163" s="43">
        <f>IF(C163="aFRR+",DAMAS_Daily!E163,DAMAS_Daily!F163)</f>
        <v/>
      </c>
      <c r="I163" s="43">
        <f>IF(C163="aFRR+",DAMAS_Daily!G163,DAMAS_Daily!H163)</f>
        <v/>
      </c>
      <c r="J163" s="45">
        <f>IF(C163="aFRR+",DAMAS_Daily!C163,DAMAS_Daily!D163)</f>
        <v/>
      </c>
      <c r="K163" s="45">
        <f>IF(C163="aFRR+",MIN(DAMAS_Daily!C163*market_share_D*acceptance_rate*stack_activation,power_mw*hours_per_day,capacity_mwh),MIN(DAMAS_Daily!D163*market_share_D*acceptance_rate*stack_activation,power_mw*hours_per_day,capacity_mwh))</f>
        <v/>
      </c>
      <c r="L163" s="42">
        <f>IF(K163&gt;=capacity_mwh-0.01,"yes","no")</f>
        <v/>
      </c>
      <c r="M163" s="28">
        <f>IF(C163="aFRR+",(MIN(DAMAS_Daily!C163*market_share_D*acceptance_rate*stack_activation,power_mw*hours_per_day,capacity_mwh))*DAMAS_Daily!E163*activation_mult_D,(MIN(DAMAS_Daily!D163*market_share_D*acceptance_rate*stack_activation,power_mw*hours_per_day,capacity_mwh))*DAMAS_Daily!F163*activation_mult_D)</f>
        <v/>
      </c>
      <c r="N163" s="29">
        <f>F163+M163</f>
        <v/>
      </c>
    </row>
    <row r="164">
      <c r="A164" s="41">
        <f>DAMAS_Daily!A164</f>
        <v/>
      </c>
      <c r="B164" s="42">
        <f>DAMAS_Daily!B164</f>
        <v/>
      </c>
      <c r="C164" s="42">
        <f>IF((power_mw*hours_per_day*damas_afrr_up*capacity_mult_D*stack_capacity*acceptance_rate+(MIN(DAMAS_Daily!C164*market_share_D*acceptance_rate*stack_activation,power_mw*hours_per_day,capacity_mwh))*DAMAS_Daily!E164*activation_mult_D)&gt;=(power_mw*hours_per_day*damas_afrr_down*capacity_mult_D*stack_capacity*acceptance_rate+(MIN(DAMAS_Daily!D164*market_share_D*acceptance_rate*stack_activation,power_mw*hours_per_day,capacity_mwh))*DAMAS_Daily!F164*activation_mult_D),"aFRR+","aFRR-")</f>
        <v/>
      </c>
      <c r="D164" s="43">
        <f>IF(C164="aFRR+",damas_afrr_up*capacity_mult_D,damas_afrr_down*capacity_mult_D)</f>
        <v/>
      </c>
      <c r="E164" s="44">
        <f>acceptance_rate</f>
        <v/>
      </c>
      <c r="F164" s="28">
        <f>IF(C164="aFRR+",power_mw*hours_per_day*damas_afrr_up*capacity_mult_D*stack_capacity*acceptance_rate,power_mw*hours_per_day*damas_afrr_down*capacity_mult_D*stack_capacity*acceptance_rate)</f>
        <v/>
      </c>
      <c r="G164" s="42">
        <f>IF(C164="aFRR+",DAMAS_Daily!I164,DAMAS_Daily!J164)</f>
        <v/>
      </c>
      <c r="H164" s="43">
        <f>IF(C164="aFRR+",DAMAS_Daily!E164,DAMAS_Daily!F164)</f>
        <v/>
      </c>
      <c r="I164" s="43">
        <f>IF(C164="aFRR+",DAMAS_Daily!G164,DAMAS_Daily!H164)</f>
        <v/>
      </c>
      <c r="J164" s="45">
        <f>IF(C164="aFRR+",DAMAS_Daily!C164,DAMAS_Daily!D164)</f>
        <v/>
      </c>
      <c r="K164" s="45">
        <f>IF(C164="aFRR+",MIN(DAMAS_Daily!C164*market_share_D*acceptance_rate*stack_activation,power_mw*hours_per_day,capacity_mwh),MIN(DAMAS_Daily!D164*market_share_D*acceptance_rate*stack_activation,power_mw*hours_per_day,capacity_mwh))</f>
        <v/>
      </c>
      <c r="L164" s="42">
        <f>IF(K164&gt;=capacity_mwh-0.01,"yes","no")</f>
        <v/>
      </c>
      <c r="M164" s="28">
        <f>IF(C164="aFRR+",(MIN(DAMAS_Daily!C164*market_share_D*acceptance_rate*stack_activation,power_mw*hours_per_day,capacity_mwh))*DAMAS_Daily!E164*activation_mult_D,(MIN(DAMAS_Daily!D164*market_share_D*acceptance_rate*stack_activation,power_mw*hours_per_day,capacity_mwh))*DAMAS_Daily!F164*activation_mult_D)</f>
        <v/>
      </c>
      <c r="N164" s="29">
        <f>F164+M164</f>
        <v/>
      </c>
    </row>
    <row r="165">
      <c r="A165" s="41">
        <f>DAMAS_Daily!A165</f>
        <v/>
      </c>
      <c r="B165" s="42">
        <f>DAMAS_Daily!B165</f>
        <v/>
      </c>
      <c r="C165" s="42">
        <f>IF((power_mw*hours_per_day*damas_afrr_up*capacity_mult_D*stack_capacity*acceptance_rate+(MIN(DAMAS_Daily!C165*market_share_D*acceptance_rate*stack_activation,power_mw*hours_per_day,capacity_mwh))*DAMAS_Daily!E165*activation_mult_D)&gt;=(power_mw*hours_per_day*damas_afrr_down*capacity_mult_D*stack_capacity*acceptance_rate+(MIN(DAMAS_Daily!D165*market_share_D*acceptance_rate*stack_activation,power_mw*hours_per_day,capacity_mwh))*DAMAS_Daily!F165*activation_mult_D),"aFRR+","aFRR-")</f>
        <v/>
      </c>
      <c r="D165" s="43">
        <f>IF(C165="aFRR+",damas_afrr_up*capacity_mult_D,damas_afrr_down*capacity_mult_D)</f>
        <v/>
      </c>
      <c r="E165" s="44">
        <f>acceptance_rate</f>
        <v/>
      </c>
      <c r="F165" s="28">
        <f>IF(C165="aFRR+",power_mw*hours_per_day*damas_afrr_up*capacity_mult_D*stack_capacity*acceptance_rate,power_mw*hours_per_day*damas_afrr_down*capacity_mult_D*stack_capacity*acceptance_rate)</f>
        <v/>
      </c>
      <c r="G165" s="42">
        <f>IF(C165="aFRR+",DAMAS_Daily!I165,DAMAS_Daily!J165)</f>
        <v/>
      </c>
      <c r="H165" s="43">
        <f>IF(C165="aFRR+",DAMAS_Daily!E165,DAMAS_Daily!F165)</f>
        <v/>
      </c>
      <c r="I165" s="43">
        <f>IF(C165="aFRR+",DAMAS_Daily!G165,DAMAS_Daily!H165)</f>
        <v/>
      </c>
      <c r="J165" s="45">
        <f>IF(C165="aFRR+",DAMAS_Daily!C165,DAMAS_Daily!D165)</f>
        <v/>
      </c>
      <c r="K165" s="45">
        <f>IF(C165="aFRR+",MIN(DAMAS_Daily!C165*market_share_D*acceptance_rate*stack_activation,power_mw*hours_per_day,capacity_mwh),MIN(DAMAS_Daily!D165*market_share_D*acceptance_rate*stack_activation,power_mw*hours_per_day,capacity_mwh))</f>
        <v/>
      </c>
      <c r="L165" s="42">
        <f>IF(K165&gt;=capacity_mwh-0.01,"yes","no")</f>
        <v/>
      </c>
      <c r="M165" s="28">
        <f>IF(C165="aFRR+",(MIN(DAMAS_Daily!C165*market_share_D*acceptance_rate*stack_activation,power_mw*hours_per_day,capacity_mwh))*DAMAS_Daily!E165*activation_mult_D,(MIN(DAMAS_Daily!D165*market_share_D*acceptance_rate*stack_activation,power_mw*hours_per_day,capacity_mwh))*DAMAS_Daily!F165*activation_mult_D)</f>
        <v/>
      </c>
      <c r="N165" s="29">
        <f>F165+M165</f>
        <v/>
      </c>
    </row>
    <row r="166">
      <c r="A166" s="41">
        <f>DAMAS_Daily!A166</f>
        <v/>
      </c>
      <c r="B166" s="42">
        <f>DAMAS_Daily!B166</f>
        <v/>
      </c>
      <c r="C166" s="42">
        <f>IF((power_mw*hours_per_day*damas_afrr_up*capacity_mult_D*stack_capacity*acceptance_rate+(MIN(DAMAS_Daily!C166*market_share_D*acceptance_rate*stack_activation,power_mw*hours_per_day,capacity_mwh))*DAMAS_Daily!E166*activation_mult_D)&gt;=(power_mw*hours_per_day*damas_afrr_down*capacity_mult_D*stack_capacity*acceptance_rate+(MIN(DAMAS_Daily!D166*market_share_D*acceptance_rate*stack_activation,power_mw*hours_per_day,capacity_mwh))*DAMAS_Daily!F166*activation_mult_D),"aFRR+","aFRR-")</f>
        <v/>
      </c>
      <c r="D166" s="43">
        <f>IF(C166="aFRR+",damas_afrr_up*capacity_mult_D,damas_afrr_down*capacity_mult_D)</f>
        <v/>
      </c>
      <c r="E166" s="44">
        <f>acceptance_rate</f>
        <v/>
      </c>
      <c r="F166" s="28">
        <f>IF(C166="aFRR+",power_mw*hours_per_day*damas_afrr_up*capacity_mult_D*stack_capacity*acceptance_rate,power_mw*hours_per_day*damas_afrr_down*capacity_mult_D*stack_capacity*acceptance_rate)</f>
        <v/>
      </c>
      <c r="G166" s="42">
        <f>IF(C166="aFRR+",DAMAS_Daily!I166,DAMAS_Daily!J166)</f>
        <v/>
      </c>
      <c r="H166" s="43">
        <f>IF(C166="aFRR+",DAMAS_Daily!E166,DAMAS_Daily!F166)</f>
        <v/>
      </c>
      <c r="I166" s="43">
        <f>IF(C166="aFRR+",DAMAS_Daily!G166,DAMAS_Daily!H166)</f>
        <v/>
      </c>
      <c r="J166" s="45">
        <f>IF(C166="aFRR+",DAMAS_Daily!C166,DAMAS_Daily!D166)</f>
        <v/>
      </c>
      <c r="K166" s="45">
        <f>IF(C166="aFRR+",MIN(DAMAS_Daily!C166*market_share_D*acceptance_rate*stack_activation,power_mw*hours_per_day,capacity_mwh),MIN(DAMAS_Daily!D166*market_share_D*acceptance_rate*stack_activation,power_mw*hours_per_day,capacity_mwh))</f>
        <v/>
      </c>
      <c r="L166" s="42">
        <f>IF(K166&gt;=capacity_mwh-0.01,"yes","no")</f>
        <v/>
      </c>
      <c r="M166" s="28">
        <f>IF(C166="aFRR+",(MIN(DAMAS_Daily!C166*market_share_D*acceptance_rate*stack_activation,power_mw*hours_per_day,capacity_mwh))*DAMAS_Daily!E166*activation_mult_D,(MIN(DAMAS_Daily!D166*market_share_D*acceptance_rate*stack_activation,power_mw*hours_per_day,capacity_mwh))*DAMAS_Daily!F166*activation_mult_D)</f>
        <v/>
      </c>
      <c r="N166" s="29">
        <f>F166+M166</f>
        <v/>
      </c>
    </row>
    <row r="167">
      <c r="A167" s="41">
        <f>DAMAS_Daily!A167</f>
        <v/>
      </c>
      <c r="B167" s="42">
        <f>DAMAS_Daily!B167</f>
        <v/>
      </c>
      <c r="C167" s="42">
        <f>IF((power_mw*hours_per_day*damas_afrr_up*capacity_mult_D*stack_capacity*acceptance_rate+(MIN(DAMAS_Daily!C167*market_share_D*acceptance_rate*stack_activation,power_mw*hours_per_day,capacity_mwh))*DAMAS_Daily!E167*activation_mult_D)&gt;=(power_mw*hours_per_day*damas_afrr_down*capacity_mult_D*stack_capacity*acceptance_rate+(MIN(DAMAS_Daily!D167*market_share_D*acceptance_rate*stack_activation,power_mw*hours_per_day,capacity_mwh))*DAMAS_Daily!F167*activation_mult_D),"aFRR+","aFRR-")</f>
        <v/>
      </c>
      <c r="D167" s="43">
        <f>IF(C167="aFRR+",damas_afrr_up*capacity_mult_D,damas_afrr_down*capacity_mult_D)</f>
        <v/>
      </c>
      <c r="E167" s="44">
        <f>acceptance_rate</f>
        <v/>
      </c>
      <c r="F167" s="28">
        <f>IF(C167="aFRR+",power_mw*hours_per_day*damas_afrr_up*capacity_mult_D*stack_capacity*acceptance_rate,power_mw*hours_per_day*damas_afrr_down*capacity_mult_D*stack_capacity*acceptance_rate)</f>
        <v/>
      </c>
      <c r="G167" s="42">
        <f>IF(C167="aFRR+",DAMAS_Daily!I167,DAMAS_Daily!J167)</f>
        <v/>
      </c>
      <c r="H167" s="43">
        <f>IF(C167="aFRR+",DAMAS_Daily!E167,DAMAS_Daily!F167)</f>
        <v/>
      </c>
      <c r="I167" s="43">
        <f>IF(C167="aFRR+",DAMAS_Daily!G167,DAMAS_Daily!H167)</f>
        <v/>
      </c>
      <c r="J167" s="45">
        <f>IF(C167="aFRR+",DAMAS_Daily!C167,DAMAS_Daily!D167)</f>
        <v/>
      </c>
      <c r="K167" s="45">
        <f>IF(C167="aFRR+",MIN(DAMAS_Daily!C167*market_share_D*acceptance_rate*stack_activation,power_mw*hours_per_day,capacity_mwh),MIN(DAMAS_Daily!D167*market_share_D*acceptance_rate*stack_activation,power_mw*hours_per_day,capacity_mwh))</f>
        <v/>
      </c>
      <c r="L167" s="42">
        <f>IF(K167&gt;=capacity_mwh-0.01,"yes","no")</f>
        <v/>
      </c>
      <c r="M167" s="28">
        <f>IF(C167="aFRR+",(MIN(DAMAS_Daily!C167*market_share_D*acceptance_rate*stack_activation,power_mw*hours_per_day,capacity_mwh))*DAMAS_Daily!E167*activation_mult_D,(MIN(DAMAS_Daily!D167*market_share_D*acceptance_rate*stack_activation,power_mw*hours_per_day,capacity_mwh))*DAMAS_Daily!F167*activation_mult_D)</f>
        <v/>
      </c>
      <c r="N167" s="29">
        <f>F167+M167</f>
        <v/>
      </c>
    </row>
    <row r="168">
      <c r="A168" s="41">
        <f>DAMAS_Daily!A168</f>
        <v/>
      </c>
      <c r="B168" s="42">
        <f>DAMAS_Daily!B168</f>
        <v/>
      </c>
      <c r="C168" s="42">
        <f>IF((power_mw*hours_per_day*damas_afrr_up*capacity_mult_D*stack_capacity*acceptance_rate+(MIN(DAMAS_Daily!C168*market_share_D*acceptance_rate*stack_activation,power_mw*hours_per_day,capacity_mwh))*DAMAS_Daily!E168*activation_mult_D)&gt;=(power_mw*hours_per_day*damas_afrr_down*capacity_mult_D*stack_capacity*acceptance_rate+(MIN(DAMAS_Daily!D168*market_share_D*acceptance_rate*stack_activation,power_mw*hours_per_day,capacity_mwh))*DAMAS_Daily!F168*activation_mult_D),"aFRR+","aFRR-")</f>
        <v/>
      </c>
      <c r="D168" s="43">
        <f>IF(C168="aFRR+",damas_afrr_up*capacity_mult_D,damas_afrr_down*capacity_mult_D)</f>
        <v/>
      </c>
      <c r="E168" s="44">
        <f>acceptance_rate</f>
        <v/>
      </c>
      <c r="F168" s="28">
        <f>IF(C168="aFRR+",power_mw*hours_per_day*damas_afrr_up*capacity_mult_D*stack_capacity*acceptance_rate,power_mw*hours_per_day*damas_afrr_down*capacity_mult_D*stack_capacity*acceptance_rate)</f>
        <v/>
      </c>
      <c r="G168" s="42">
        <f>IF(C168="aFRR+",DAMAS_Daily!I168,DAMAS_Daily!J168)</f>
        <v/>
      </c>
      <c r="H168" s="43">
        <f>IF(C168="aFRR+",DAMAS_Daily!E168,DAMAS_Daily!F168)</f>
        <v/>
      </c>
      <c r="I168" s="43">
        <f>IF(C168="aFRR+",DAMAS_Daily!G168,DAMAS_Daily!H168)</f>
        <v/>
      </c>
      <c r="J168" s="45">
        <f>IF(C168="aFRR+",DAMAS_Daily!C168,DAMAS_Daily!D168)</f>
        <v/>
      </c>
      <c r="K168" s="45">
        <f>IF(C168="aFRR+",MIN(DAMAS_Daily!C168*market_share_D*acceptance_rate*stack_activation,power_mw*hours_per_day,capacity_mwh),MIN(DAMAS_Daily!D168*market_share_D*acceptance_rate*stack_activation,power_mw*hours_per_day,capacity_mwh))</f>
        <v/>
      </c>
      <c r="L168" s="42">
        <f>IF(K168&gt;=capacity_mwh-0.01,"yes","no")</f>
        <v/>
      </c>
      <c r="M168" s="28">
        <f>IF(C168="aFRR+",(MIN(DAMAS_Daily!C168*market_share_D*acceptance_rate*stack_activation,power_mw*hours_per_day,capacity_mwh))*DAMAS_Daily!E168*activation_mult_D,(MIN(DAMAS_Daily!D168*market_share_D*acceptance_rate*stack_activation,power_mw*hours_per_day,capacity_mwh))*DAMAS_Daily!F168*activation_mult_D)</f>
        <v/>
      </c>
      <c r="N168" s="29">
        <f>F168+M168</f>
        <v/>
      </c>
    </row>
    <row r="169">
      <c r="A169" s="41">
        <f>DAMAS_Daily!A169</f>
        <v/>
      </c>
      <c r="B169" s="42">
        <f>DAMAS_Daily!B169</f>
        <v/>
      </c>
      <c r="C169" s="42">
        <f>IF((power_mw*hours_per_day*damas_afrr_up*capacity_mult_D*stack_capacity*acceptance_rate+(MIN(DAMAS_Daily!C169*market_share_D*acceptance_rate*stack_activation,power_mw*hours_per_day,capacity_mwh))*DAMAS_Daily!E169*activation_mult_D)&gt;=(power_mw*hours_per_day*damas_afrr_down*capacity_mult_D*stack_capacity*acceptance_rate+(MIN(DAMAS_Daily!D169*market_share_D*acceptance_rate*stack_activation,power_mw*hours_per_day,capacity_mwh))*DAMAS_Daily!F169*activation_mult_D),"aFRR+","aFRR-")</f>
        <v/>
      </c>
      <c r="D169" s="43">
        <f>IF(C169="aFRR+",damas_afrr_up*capacity_mult_D,damas_afrr_down*capacity_mult_D)</f>
        <v/>
      </c>
      <c r="E169" s="44">
        <f>acceptance_rate</f>
        <v/>
      </c>
      <c r="F169" s="28">
        <f>IF(C169="aFRR+",power_mw*hours_per_day*damas_afrr_up*capacity_mult_D*stack_capacity*acceptance_rate,power_mw*hours_per_day*damas_afrr_down*capacity_mult_D*stack_capacity*acceptance_rate)</f>
        <v/>
      </c>
      <c r="G169" s="42">
        <f>IF(C169="aFRR+",DAMAS_Daily!I169,DAMAS_Daily!J169)</f>
        <v/>
      </c>
      <c r="H169" s="43">
        <f>IF(C169="aFRR+",DAMAS_Daily!E169,DAMAS_Daily!F169)</f>
        <v/>
      </c>
      <c r="I169" s="43">
        <f>IF(C169="aFRR+",DAMAS_Daily!G169,DAMAS_Daily!H169)</f>
        <v/>
      </c>
      <c r="J169" s="45">
        <f>IF(C169="aFRR+",DAMAS_Daily!C169,DAMAS_Daily!D169)</f>
        <v/>
      </c>
      <c r="K169" s="45">
        <f>IF(C169="aFRR+",MIN(DAMAS_Daily!C169*market_share_D*acceptance_rate*stack_activation,power_mw*hours_per_day,capacity_mwh),MIN(DAMAS_Daily!D169*market_share_D*acceptance_rate*stack_activation,power_mw*hours_per_day,capacity_mwh))</f>
        <v/>
      </c>
      <c r="L169" s="42">
        <f>IF(K169&gt;=capacity_mwh-0.01,"yes","no")</f>
        <v/>
      </c>
      <c r="M169" s="28">
        <f>IF(C169="aFRR+",(MIN(DAMAS_Daily!C169*market_share_D*acceptance_rate*stack_activation,power_mw*hours_per_day,capacity_mwh))*DAMAS_Daily!E169*activation_mult_D,(MIN(DAMAS_Daily!D169*market_share_D*acceptance_rate*stack_activation,power_mw*hours_per_day,capacity_mwh))*DAMAS_Daily!F169*activation_mult_D)</f>
        <v/>
      </c>
      <c r="N169" s="29">
        <f>F169+M169</f>
        <v/>
      </c>
    </row>
    <row r="170">
      <c r="A170" s="41">
        <f>DAMAS_Daily!A170</f>
        <v/>
      </c>
      <c r="B170" s="42">
        <f>DAMAS_Daily!B170</f>
        <v/>
      </c>
      <c r="C170" s="42">
        <f>IF((power_mw*hours_per_day*damas_afrr_up*capacity_mult_D*stack_capacity*acceptance_rate+(MIN(DAMAS_Daily!C170*market_share_D*acceptance_rate*stack_activation,power_mw*hours_per_day,capacity_mwh))*DAMAS_Daily!E170*activation_mult_D)&gt;=(power_mw*hours_per_day*damas_afrr_down*capacity_mult_D*stack_capacity*acceptance_rate+(MIN(DAMAS_Daily!D170*market_share_D*acceptance_rate*stack_activation,power_mw*hours_per_day,capacity_mwh))*DAMAS_Daily!F170*activation_mult_D),"aFRR+","aFRR-")</f>
        <v/>
      </c>
      <c r="D170" s="43">
        <f>IF(C170="aFRR+",damas_afrr_up*capacity_mult_D,damas_afrr_down*capacity_mult_D)</f>
        <v/>
      </c>
      <c r="E170" s="44">
        <f>acceptance_rate</f>
        <v/>
      </c>
      <c r="F170" s="28">
        <f>IF(C170="aFRR+",power_mw*hours_per_day*damas_afrr_up*capacity_mult_D*stack_capacity*acceptance_rate,power_mw*hours_per_day*damas_afrr_down*capacity_mult_D*stack_capacity*acceptance_rate)</f>
        <v/>
      </c>
      <c r="G170" s="42">
        <f>IF(C170="aFRR+",DAMAS_Daily!I170,DAMAS_Daily!J170)</f>
        <v/>
      </c>
      <c r="H170" s="43">
        <f>IF(C170="aFRR+",DAMAS_Daily!E170,DAMAS_Daily!F170)</f>
        <v/>
      </c>
      <c r="I170" s="43">
        <f>IF(C170="aFRR+",DAMAS_Daily!G170,DAMAS_Daily!H170)</f>
        <v/>
      </c>
      <c r="J170" s="45">
        <f>IF(C170="aFRR+",DAMAS_Daily!C170,DAMAS_Daily!D170)</f>
        <v/>
      </c>
      <c r="K170" s="45">
        <f>IF(C170="aFRR+",MIN(DAMAS_Daily!C170*market_share_D*acceptance_rate*stack_activation,power_mw*hours_per_day,capacity_mwh),MIN(DAMAS_Daily!D170*market_share_D*acceptance_rate*stack_activation,power_mw*hours_per_day,capacity_mwh))</f>
        <v/>
      </c>
      <c r="L170" s="42">
        <f>IF(K170&gt;=capacity_mwh-0.01,"yes","no")</f>
        <v/>
      </c>
      <c r="M170" s="28">
        <f>IF(C170="aFRR+",(MIN(DAMAS_Daily!C170*market_share_D*acceptance_rate*stack_activation,power_mw*hours_per_day,capacity_mwh))*DAMAS_Daily!E170*activation_mult_D,(MIN(DAMAS_Daily!D170*market_share_D*acceptance_rate*stack_activation,power_mw*hours_per_day,capacity_mwh))*DAMAS_Daily!F170*activation_mult_D)</f>
        <v/>
      </c>
      <c r="N170" s="29">
        <f>F170+M170</f>
        <v/>
      </c>
    </row>
    <row r="171">
      <c r="A171" s="41">
        <f>DAMAS_Daily!A171</f>
        <v/>
      </c>
      <c r="B171" s="42">
        <f>DAMAS_Daily!B171</f>
        <v/>
      </c>
      <c r="C171" s="42">
        <f>IF((power_mw*hours_per_day*damas_afrr_up*capacity_mult_D*stack_capacity*acceptance_rate+(MIN(DAMAS_Daily!C171*market_share_D*acceptance_rate*stack_activation,power_mw*hours_per_day,capacity_mwh))*DAMAS_Daily!E171*activation_mult_D)&gt;=(power_mw*hours_per_day*damas_afrr_down*capacity_mult_D*stack_capacity*acceptance_rate+(MIN(DAMAS_Daily!D171*market_share_D*acceptance_rate*stack_activation,power_mw*hours_per_day,capacity_mwh))*DAMAS_Daily!F171*activation_mult_D),"aFRR+","aFRR-")</f>
        <v/>
      </c>
      <c r="D171" s="43">
        <f>IF(C171="aFRR+",damas_afrr_up*capacity_mult_D,damas_afrr_down*capacity_mult_D)</f>
        <v/>
      </c>
      <c r="E171" s="44">
        <f>acceptance_rate</f>
        <v/>
      </c>
      <c r="F171" s="28">
        <f>IF(C171="aFRR+",power_mw*hours_per_day*damas_afrr_up*capacity_mult_D*stack_capacity*acceptance_rate,power_mw*hours_per_day*damas_afrr_down*capacity_mult_D*stack_capacity*acceptance_rate)</f>
        <v/>
      </c>
      <c r="G171" s="42">
        <f>IF(C171="aFRR+",DAMAS_Daily!I171,DAMAS_Daily!J171)</f>
        <v/>
      </c>
      <c r="H171" s="43">
        <f>IF(C171="aFRR+",DAMAS_Daily!E171,DAMAS_Daily!F171)</f>
        <v/>
      </c>
      <c r="I171" s="43">
        <f>IF(C171="aFRR+",DAMAS_Daily!G171,DAMAS_Daily!H171)</f>
        <v/>
      </c>
      <c r="J171" s="45">
        <f>IF(C171="aFRR+",DAMAS_Daily!C171,DAMAS_Daily!D171)</f>
        <v/>
      </c>
      <c r="K171" s="45">
        <f>IF(C171="aFRR+",MIN(DAMAS_Daily!C171*market_share_D*acceptance_rate*stack_activation,power_mw*hours_per_day,capacity_mwh),MIN(DAMAS_Daily!D171*market_share_D*acceptance_rate*stack_activation,power_mw*hours_per_day,capacity_mwh))</f>
        <v/>
      </c>
      <c r="L171" s="42">
        <f>IF(K171&gt;=capacity_mwh-0.01,"yes","no")</f>
        <v/>
      </c>
      <c r="M171" s="28">
        <f>IF(C171="aFRR+",(MIN(DAMAS_Daily!C171*market_share_D*acceptance_rate*stack_activation,power_mw*hours_per_day,capacity_mwh))*DAMAS_Daily!E171*activation_mult_D,(MIN(DAMAS_Daily!D171*market_share_D*acceptance_rate*stack_activation,power_mw*hours_per_day,capacity_mwh))*DAMAS_Daily!F171*activation_mult_D)</f>
        <v/>
      </c>
      <c r="N171" s="29">
        <f>F171+M171</f>
        <v/>
      </c>
    </row>
    <row r="172">
      <c r="A172" s="41">
        <f>DAMAS_Daily!A172</f>
        <v/>
      </c>
      <c r="B172" s="42">
        <f>DAMAS_Daily!B172</f>
        <v/>
      </c>
      <c r="C172" s="42">
        <f>IF((power_mw*hours_per_day*damas_afrr_up*capacity_mult_D*stack_capacity*acceptance_rate+(MIN(DAMAS_Daily!C172*market_share_D*acceptance_rate*stack_activation,power_mw*hours_per_day,capacity_mwh))*DAMAS_Daily!E172*activation_mult_D)&gt;=(power_mw*hours_per_day*damas_afrr_down*capacity_mult_D*stack_capacity*acceptance_rate+(MIN(DAMAS_Daily!D172*market_share_D*acceptance_rate*stack_activation,power_mw*hours_per_day,capacity_mwh))*DAMAS_Daily!F172*activation_mult_D),"aFRR+","aFRR-")</f>
        <v/>
      </c>
      <c r="D172" s="43">
        <f>IF(C172="aFRR+",damas_afrr_up*capacity_mult_D,damas_afrr_down*capacity_mult_D)</f>
        <v/>
      </c>
      <c r="E172" s="44">
        <f>acceptance_rate</f>
        <v/>
      </c>
      <c r="F172" s="28">
        <f>IF(C172="aFRR+",power_mw*hours_per_day*damas_afrr_up*capacity_mult_D*stack_capacity*acceptance_rate,power_mw*hours_per_day*damas_afrr_down*capacity_mult_D*stack_capacity*acceptance_rate)</f>
        <v/>
      </c>
      <c r="G172" s="42">
        <f>IF(C172="aFRR+",DAMAS_Daily!I172,DAMAS_Daily!J172)</f>
        <v/>
      </c>
      <c r="H172" s="43">
        <f>IF(C172="aFRR+",DAMAS_Daily!E172,DAMAS_Daily!F172)</f>
        <v/>
      </c>
      <c r="I172" s="43">
        <f>IF(C172="aFRR+",DAMAS_Daily!G172,DAMAS_Daily!H172)</f>
        <v/>
      </c>
      <c r="J172" s="45">
        <f>IF(C172="aFRR+",DAMAS_Daily!C172,DAMAS_Daily!D172)</f>
        <v/>
      </c>
      <c r="K172" s="45">
        <f>IF(C172="aFRR+",MIN(DAMAS_Daily!C172*market_share_D*acceptance_rate*stack_activation,power_mw*hours_per_day,capacity_mwh),MIN(DAMAS_Daily!D172*market_share_D*acceptance_rate*stack_activation,power_mw*hours_per_day,capacity_mwh))</f>
        <v/>
      </c>
      <c r="L172" s="42">
        <f>IF(K172&gt;=capacity_mwh-0.01,"yes","no")</f>
        <v/>
      </c>
      <c r="M172" s="28">
        <f>IF(C172="aFRR+",(MIN(DAMAS_Daily!C172*market_share_D*acceptance_rate*stack_activation,power_mw*hours_per_day,capacity_mwh))*DAMAS_Daily!E172*activation_mult_D,(MIN(DAMAS_Daily!D172*market_share_D*acceptance_rate*stack_activation,power_mw*hours_per_day,capacity_mwh))*DAMAS_Daily!F172*activation_mult_D)</f>
        <v/>
      </c>
      <c r="N172" s="29">
        <f>F172+M172</f>
        <v/>
      </c>
    </row>
    <row r="173">
      <c r="A173" s="41">
        <f>DAMAS_Daily!A173</f>
        <v/>
      </c>
      <c r="B173" s="42">
        <f>DAMAS_Daily!B173</f>
        <v/>
      </c>
      <c r="C173" s="42">
        <f>IF((power_mw*hours_per_day*damas_afrr_up*capacity_mult_D*stack_capacity*acceptance_rate+(MIN(DAMAS_Daily!C173*market_share_D*acceptance_rate*stack_activation,power_mw*hours_per_day,capacity_mwh))*DAMAS_Daily!E173*activation_mult_D)&gt;=(power_mw*hours_per_day*damas_afrr_down*capacity_mult_D*stack_capacity*acceptance_rate+(MIN(DAMAS_Daily!D173*market_share_D*acceptance_rate*stack_activation,power_mw*hours_per_day,capacity_mwh))*DAMAS_Daily!F173*activation_mult_D),"aFRR+","aFRR-")</f>
        <v/>
      </c>
      <c r="D173" s="43">
        <f>IF(C173="aFRR+",damas_afrr_up*capacity_mult_D,damas_afrr_down*capacity_mult_D)</f>
        <v/>
      </c>
      <c r="E173" s="44">
        <f>acceptance_rate</f>
        <v/>
      </c>
      <c r="F173" s="28">
        <f>IF(C173="aFRR+",power_mw*hours_per_day*damas_afrr_up*capacity_mult_D*stack_capacity*acceptance_rate,power_mw*hours_per_day*damas_afrr_down*capacity_mult_D*stack_capacity*acceptance_rate)</f>
        <v/>
      </c>
      <c r="G173" s="42">
        <f>IF(C173="aFRR+",DAMAS_Daily!I173,DAMAS_Daily!J173)</f>
        <v/>
      </c>
      <c r="H173" s="43">
        <f>IF(C173="aFRR+",DAMAS_Daily!E173,DAMAS_Daily!F173)</f>
        <v/>
      </c>
      <c r="I173" s="43">
        <f>IF(C173="aFRR+",DAMAS_Daily!G173,DAMAS_Daily!H173)</f>
        <v/>
      </c>
      <c r="J173" s="45">
        <f>IF(C173="aFRR+",DAMAS_Daily!C173,DAMAS_Daily!D173)</f>
        <v/>
      </c>
      <c r="K173" s="45">
        <f>IF(C173="aFRR+",MIN(DAMAS_Daily!C173*market_share_D*acceptance_rate*stack_activation,power_mw*hours_per_day,capacity_mwh),MIN(DAMAS_Daily!D173*market_share_D*acceptance_rate*stack_activation,power_mw*hours_per_day,capacity_mwh))</f>
        <v/>
      </c>
      <c r="L173" s="42">
        <f>IF(K173&gt;=capacity_mwh-0.01,"yes","no")</f>
        <v/>
      </c>
      <c r="M173" s="28">
        <f>IF(C173="aFRR+",(MIN(DAMAS_Daily!C173*market_share_D*acceptance_rate*stack_activation,power_mw*hours_per_day,capacity_mwh))*DAMAS_Daily!E173*activation_mult_D,(MIN(DAMAS_Daily!D173*market_share_D*acceptance_rate*stack_activation,power_mw*hours_per_day,capacity_mwh))*DAMAS_Daily!F173*activation_mult_D)</f>
        <v/>
      </c>
      <c r="N173" s="29">
        <f>F173+M173</f>
        <v/>
      </c>
    </row>
    <row r="174">
      <c r="A174" s="41">
        <f>DAMAS_Daily!A174</f>
        <v/>
      </c>
      <c r="B174" s="42">
        <f>DAMAS_Daily!B174</f>
        <v/>
      </c>
      <c r="C174" s="42">
        <f>IF((power_mw*hours_per_day*damas_afrr_up*capacity_mult_D*stack_capacity*acceptance_rate+(MIN(DAMAS_Daily!C174*market_share_D*acceptance_rate*stack_activation,power_mw*hours_per_day,capacity_mwh))*DAMAS_Daily!E174*activation_mult_D)&gt;=(power_mw*hours_per_day*damas_afrr_down*capacity_mult_D*stack_capacity*acceptance_rate+(MIN(DAMAS_Daily!D174*market_share_D*acceptance_rate*stack_activation,power_mw*hours_per_day,capacity_mwh))*DAMAS_Daily!F174*activation_mult_D),"aFRR+","aFRR-")</f>
        <v/>
      </c>
      <c r="D174" s="43">
        <f>IF(C174="aFRR+",damas_afrr_up*capacity_mult_D,damas_afrr_down*capacity_mult_D)</f>
        <v/>
      </c>
      <c r="E174" s="44">
        <f>acceptance_rate</f>
        <v/>
      </c>
      <c r="F174" s="28">
        <f>IF(C174="aFRR+",power_mw*hours_per_day*damas_afrr_up*capacity_mult_D*stack_capacity*acceptance_rate,power_mw*hours_per_day*damas_afrr_down*capacity_mult_D*stack_capacity*acceptance_rate)</f>
        <v/>
      </c>
      <c r="G174" s="42">
        <f>IF(C174="aFRR+",DAMAS_Daily!I174,DAMAS_Daily!J174)</f>
        <v/>
      </c>
      <c r="H174" s="43">
        <f>IF(C174="aFRR+",DAMAS_Daily!E174,DAMAS_Daily!F174)</f>
        <v/>
      </c>
      <c r="I174" s="43">
        <f>IF(C174="aFRR+",DAMAS_Daily!G174,DAMAS_Daily!H174)</f>
        <v/>
      </c>
      <c r="J174" s="45">
        <f>IF(C174="aFRR+",DAMAS_Daily!C174,DAMAS_Daily!D174)</f>
        <v/>
      </c>
      <c r="K174" s="45">
        <f>IF(C174="aFRR+",MIN(DAMAS_Daily!C174*market_share_D*acceptance_rate*stack_activation,power_mw*hours_per_day,capacity_mwh),MIN(DAMAS_Daily!D174*market_share_D*acceptance_rate*stack_activation,power_mw*hours_per_day,capacity_mwh))</f>
        <v/>
      </c>
      <c r="L174" s="42">
        <f>IF(K174&gt;=capacity_mwh-0.01,"yes","no")</f>
        <v/>
      </c>
      <c r="M174" s="28">
        <f>IF(C174="aFRR+",(MIN(DAMAS_Daily!C174*market_share_D*acceptance_rate*stack_activation,power_mw*hours_per_day,capacity_mwh))*DAMAS_Daily!E174*activation_mult_D,(MIN(DAMAS_Daily!D174*market_share_D*acceptance_rate*stack_activation,power_mw*hours_per_day,capacity_mwh))*DAMAS_Daily!F174*activation_mult_D)</f>
        <v/>
      </c>
      <c r="N174" s="29">
        <f>F174+M174</f>
        <v/>
      </c>
    </row>
    <row r="175">
      <c r="A175" s="41">
        <f>DAMAS_Daily!A175</f>
        <v/>
      </c>
      <c r="B175" s="42">
        <f>DAMAS_Daily!B175</f>
        <v/>
      </c>
      <c r="C175" s="42">
        <f>IF((power_mw*hours_per_day*damas_afrr_up*capacity_mult_D*stack_capacity*acceptance_rate+(MIN(DAMAS_Daily!C175*market_share_D*acceptance_rate*stack_activation,power_mw*hours_per_day,capacity_mwh))*DAMAS_Daily!E175*activation_mult_D)&gt;=(power_mw*hours_per_day*damas_afrr_down*capacity_mult_D*stack_capacity*acceptance_rate+(MIN(DAMAS_Daily!D175*market_share_D*acceptance_rate*stack_activation,power_mw*hours_per_day,capacity_mwh))*DAMAS_Daily!F175*activation_mult_D),"aFRR+","aFRR-")</f>
        <v/>
      </c>
      <c r="D175" s="43">
        <f>IF(C175="aFRR+",damas_afrr_up*capacity_mult_D,damas_afrr_down*capacity_mult_D)</f>
        <v/>
      </c>
      <c r="E175" s="44">
        <f>acceptance_rate</f>
        <v/>
      </c>
      <c r="F175" s="28">
        <f>IF(C175="aFRR+",power_mw*hours_per_day*damas_afrr_up*capacity_mult_D*stack_capacity*acceptance_rate,power_mw*hours_per_day*damas_afrr_down*capacity_mult_D*stack_capacity*acceptance_rate)</f>
        <v/>
      </c>
      <c r="G175" s="42">
        <f>IF(C175="aFRR+",DAMAS_Daily!I175,DAMAS_Daily!J175)</f>
        <v/>
      </c>
      <c r="H175" s="43">
        <f>IF(C175="aFRR+",DAMAS_Daily!E175,DAMAS_Daily!F175)</f>
        <v/>
      </c>
      <c r="I175" s="43">
        <f>IF(C175="aFRR+",DAMAS_Daily!G175,DAMAS_Daily!H175)</f>
        <v/>
      </c>
      <c r="J175" s="45">
        <f>IF(C175="aFRR+",DAMAS_Daily!C175,DAMAS_Daily!D175)</f>
        <v/>
      </c>
      <c r="K175" s="45">
        <f>IF(C175="aFRR+",MIN(DAMAS_Daily!C175*market_share_D*acceptance_rate*stack_activation,power_mw*hours_per_day,capacity_mwh),MIN(DAMAS_Daily!D175*market_share_D*acceptance_rate*stack_activation,power_mw*hours_per_day,capacity_mwh))</f>
        <v/>
      </c>
      <c r="L175" s="42">
        <f>IF(K175&gt;=capacity_mwh-0.01,"yes","no")</f>
        <v/>
      </c>
      <c r="M175" s="28">
        <f>IF(C175="aFRR+",(MIN(DAMAS_Daily!C175*market_share_D*acceptance_rate*stack_activation,power_mw*hours_per_day,capacity_mwh))*DAMAS_Daily!E175*activation_mult_D,(MIN(DAMAS_Daily!D175*market_share_D*acceptance_rate*stack_activation,power_mw*hours_per_day,capacity_mwh))*DAMAS_Daily!F175*activation_mult_D)</f>
        <v/>
      </c>
      <c r="N175" s="29">
        <f>F175+M175</f>
        <v/>
      </c>
    </row>
    <row r="176">
      <c r="A176" s="41">
        <f>DAMAS_Daily!A176</f>
        <v/>
      </c>
      <c r="B176" s="42">
        <f>DAMAS_Daily!B176</f>
        <v/>
      </c>
      <c r="C176" s="42">
        <f>IF((power_mw*hours_per_day*damas_afrr_up*capacity_mult_D*stack_capacity*acceptance_rate+(MIN(DAMAS_Daily!C176*market_share_D*acceptance_rate*stack_activation,power_mw*hours_per_day,capacity_mwh))*DAMAS_Daily!E176*activation_mult_D)&gt;=(power_mw*hours_per_day*damas_afrr_down*capacity_mult_D*stack_capacity*acceptance_rate+(MIN(DAMAS_Daily!D176*market_share_D*acceptance_rate*stack_activation,power_mw*hours_per_day,capacity_mwh))*DAMAS_Daily!F176*activation_mult_D),"aFRR+","aFRR-")</f>
        <v/>
      </c>
      <c r="D176" s="43">
        <f>IF(C176="aFRR+",damas_afrr_up*capacity_mult_D,damas_afrr_down*capacity_mult_D)</f>
        <v/>
      </c>
      <c r="E176" s="44">
        <f>acceptance_rate</f>
        <v/>
      </c>
      <c r="F176" s="28">
        <f>IF(C176="aFRR+",power_mw*hours_per_day*damas_afrr_up*capacity_mult_D*stack_capacity*acceptance_rate,power_mw*hours_per_day*damas_afrr_down*capacity_mult_D*stack_capacity*acceptance_rate)</f>
        <v/>
      </c>
      <c r="G176" s="42">
        <f>IF(C176="aFRR+",DAMAS_Daily!I176,DAMAS_Daily!J176)</f>
        <v/>
      </c>
      <c r="H176" s="43">
        <f>IF(C176="aFRR+",DAMAS_Daily!E176,DAMAS_Daily!F176)</f>
        <v/>
      </c>
      <c r="I176" s="43">
        <f>IF(C176="aFRR+",DAMAS_Daily!G176,DAMAS_Daily!H176)</f>
        <v/>
      </c>
      <c r="J176" s="45">
        <f>IF(C176="aFRR+",DAMAS_Daily!C176,DAMAS_Daily!D176)</f>
        <v/>
      </c>
      <c r="K176" s="45">
        <f>IF(C176="aFRR+",MIN(DAMAS_Daily!C176*market_share_D*acceptance_rate*stack_activation,power_mw*hours_per_day,capacity_mwh),MIN(DAMAS_Daily!D176*market_share_D*acceptance_rate*stack_activation,power_mw*hours_per_day,capacity_mwh))</f>
        <v/>
      </c>
      <c r="L176" s="42">
        <f>IF(K176&gt;=capacity_mwh-0.01,"yes","no")</f>
        <v/>
      </c>
      <c r="M176" s="28">
        <f>IF(C176="aFRR+",(MIN(DAMAS_Daily!C176*market_share_D*acceptance_rate*stack_activation,power_mw*hours_per_day,capacity_mwh))*DAMAS_Daily!E176*activation_mult_D,(MIN(DAMAS_Daily!D176*market_share_D*acceptance_rate*stack_activation,power_mw*hours_per_day,capacity_mwh))*DAMAS_Daily!F176*activation_mult_D)</f>
        <v/>
      </c>
      <c r="N176" s="29">
        <f>F176+M176</f>
        <v/>
      </c>
    </row>
    <row r="177">
      <c r="A177" s="41">
        <f>DAMAS_Daily!A177</f>
        <v/>
      </c>
      <c r="B177" s="42">
        <f>DAMAS_Daily!B177</f>
        <v/>
      </c>
      <c r="C177" s="42">
        <f>IF((power_mw*hours_per_day*damas_afrr_up*capacity_mult_D*stack_capacity*acceptance_rate+(MIN(DAMAS_Daily!C177*market_share_D*acceptance_rate*stack_activation,power_mw*hours_per_day,capacity_mwh))*DAMAS_Daily!E177*activation_mult_D)&gt;=(power_mw*hours_per_day*damas_afrr_down*capacity_mult_D*stack_capacity*acceptance_rate+(MIN(DAMAS_Daily!D177*market_share_D*acceptance_rate*stack_activation,power_mw*hours_per_day,capacity_mwh))*DAMAS_Daily!F177*activation_mult_D),"aFRR+","aFRR-")</f>
        <v/>
      </c>
      <c r="D177" s="43">
        <f>IF(C177="aFRR+",damas_afrr_up*capacity_mult_D,damas_afrr_down*capacity_mult_D)</f>
        <v/>
      </c>
      <c r="E177" s="44">
        <f>acceptance_rate</f>
        <v/>
      </c>
      <c r="F177" s="28">
        <f>IF(C177="aFRR+",power_mw*hours_per_day*damas_afrr_up*capacity_mult_D*stack_capacity*acceptance_rate,power_mw*hours_per_day*damas_afrr_down*capacity_mult_D*stack_capacity*acceptance_rate)</f>
        <v/>
      </c>
      <c r="G177" s="42">
        <f>IF(C177="aFRR+",DAMAS_Daily!I177,DAMAS_Daily!J177)</f>
        <v/>
      </c>
      <c r="H177" s="43">
        <f>IF(C177="aFRR+",DAMAS_Daily!E177,DAMAS_Daily!F177)</f>
        <v/>
      </c>
      <c r="I177" s="43">
        <f>IF(C177="aFRR+",DAMAS_Daily!G177,DAMAS_Daily!H177)</f>
        <v/>
      </c>
      <c r="J177" s="45">
        <f>IF(C177="aFRR+",DAMAS_Daily!C177,DAMAS_Daily!D177)</f>
        <v/>
      </c>
      <c r="K177" s="45">
        <f>IF(C177="aFRR+",MIN(DAMAS_Daily!C177*market_share_D*acceptance_rate*stack_activation,power_mw*hours_per_day,capacity_mwh),MIN(DAMAS_Daily!D177*market_share_D*acceptance_rate*stack_activation,power_mw*hours_per_day,capacity_mwh))</f>
        <v/>
      </c>
      <c r="L177" s="42">
        <f>IF(K177&gt;=capacity_mwh-0.01,"yes","no")</f>
        <v/>
      </c>
      <c r="M177" s="28">
        <f>IF(C177="aFRR+",(MIN(DAMAS_Daily!C177*market_share_D*acceptance_rate*stack_activation,power_mw*hours_per_day,capacity_mwh))*DAMAS_Daily!E177*activation_mult_D,(MIN(DAMAS_Daily!D177*market_share_D*acceptance_rate*stack_activation,power_mw*hours_per_day,capacity_mwh))*DAMAS_Daily!F177*activation_mult_D)</f>
        <v/>
      </c>
      <c r="N177" s="29">
        <f>F177+M177</f>
        <v/>
      </c>
    </row>
    <row r="178">
      <c r="A178" s="41">
        <f>DAMAS_Daily!A178</f>
        <v/>
      </c>
      <c r="B178" s="42">
        <f>DAMAS_Daily!B178</f>
        <v/>
      </c>
      <c r="C178" s="42">
        <f>IF((power_mw*hours_per_day*damas_afrr_up*capacity_mult_D*stack_capacity*acceptance_rate+(MIN(DAMAS_Daily!C178*market_share_D*acceptance_rate*stack_activation,power_mw*hours_per_day,capacity_mwh))*DAMAS_Daily!E178*activation_mult_D)&gt;=(power_mw*hours_per_day*damas_afrr_down*capacity_mult_D*stack_capacity*acceptance_rate+(MIN(DAMAS_Daily!D178*market_share_D*acceptance_rate*stack_activation,power_mw*hours_per_day,capacity_mwh))*DAMAS_Daily!F178*activation_mult_D),"aFRR+","aFRR-")</f>
        <v/>
      </c>
      <c r="D178" s="43">
        <f>IF(C178="aFRR+",damas_afrr_up*capacity_mult_D,damas_afrr_down*capacity_mult_D)</f>
        <v/>
      </c>
      <c r="E178" s="44">
        <f>acceptance_rate</f>
        <v/>
      </c>
      <c r="F178" s="28">
        <f>IF(C178="aFRR+",power_mw*hours_per_day*damas_afrr_up*capacity_mult_D*stack_capacity*acceptance_rate,power_mw*hours_per_day*damas_afrr_down*capacity_mult_D*stack_capacity*acceptance_rate)</f>
        <v/>
      </c>
      <c r="G178" s="42">
        <f>IF(C178="aFRR+",DAMAS_Daily!I178,DAMAS_Daily!J178)</f>
        <v/>
      </c>
      <c r="H178" s="43">
        <f>IF(C178="aFRR+",DAMAS_Daily!E178,DAMAS_Daily!F178)</f>
        <v/>
      </c>
      <c r="I178" s="43">
        <f>IF(C178="aFRR+",DAMAS_Daily!G178,DAMAS_Daily!H178)</f>
        <v/>
      </c>
      <c r="J178" s="45">
        <f>IF(C178="aFRR+",DAMAS_Daily!C178,DAMAS_Daily!D178)</f>
        <v/>
      </c>
      <c r="K178" s="45">
        <f>IF(C178="aFRR+",MIN(DAMAS_Daily!C178*market_share_D*acceptance_rate*stack_activation,power_mw*hours_per_day,capacity_mwh),MIN(DAMAS_Daily!D178*market_share_D*acceptance_rate*stack_activation,power_mw*hours_per_day,capacity_mwh))</f>
        <v/>
      </c>
      <c r="L178" s="42">
        <f>IF(K178&gt;=capacity_mwh-0.01,"yes","no")</f>
        <v/>
      </c>
      <c r="M178" s="28">
        <f>IF(C178="aFRR+",(MIN(DAMAS_Daily!C178*market_share_D*acceptance_rate*stack_activation,power_mw*hours_per_day,capacity_mwh))*DAMAS_Daily!E178*activation_mult_D,(MIN(DAMAS_Daily!D178*market_share_D*acceptance_rate*stack_activation,power_mw*hours_per_day,capacity_mwh))*DAMAS_Daily!F178*activation_mult_D)</f>
        <v/>
      </c>
      <c r="N178" s="29">
        <f>F178+M178</f>
        <v/>
      </c>
    </row>
    <row r="179">
      <c r="A179" s="41">
        <f>DAMAS_Daily!A179</f>
        <v/>
      </c>
      <c r="B179" s="42">
        <f>DAMAS_Daily!B179</f>
        <v/>
      </c>
      <c r="C179" s="42">
        <f>IF((power_mw*hours_per_day*damas_afrr_up*capacity_mult_D*stack_capacity*acceptance_rate+(MIN(DAMAS_Daily!C179*market_share_D*acceptance_rate*stack_activation,power_mw*hours_per_day,capacity_mwh))*DAMAS_Daily!E179*activation_mult_D)&gt;=(power_mw*hours_per_day*damas_afrr_down*capacity_mult_D*stack_capacity*acceptance_rate+(MIN(DAMAS_Daily!D179*market_share_D*acceptance_rate*stack_activation,power_mw*hours_per_day,capacity_mwh))*DAMAS_Daily!F179*activation_mult_D),"aFRR+","aFRR-")</f>
        <v/>
      </c>
      <c r="D179" s="43">
        <f>IF(C179="aFRR+",damas_afrr_up*capacity_mult_D,damas_afrr_down*capacity_mult_D)</f>
        <v/>
      </c>
      <c r="E179" s="44">
        <f>acceptance_rate</f>
        <v/>
      </c>
      <c r="F179" s="28">
        <f>IF(C179="aFRR+",power_mw*hours_per_day*damas_afrr_up*capacity_mult_D*stack_capacity*acceptance_rate,power_mw*hours_per_day*damas_afrr_down*capacity_mult_D*stack_capacity*acceptance_rate)</f>
        <v/>
      </c>
      <c r="G179" s="42">
        <f>IF(C179="aFRR+",DAMAS_Daily!I179,DAMAS_Daily!J179)</f>
        <v/>
      </c>
      <c r="H179" s="43">
        <f>IF(C179="aFRR+",DAMAS_Daily!E179,DAMAS_Daily!F179)</f>
        <v/>
      </c>
      <c r="I179" s="43">
        <f>IF(C179="aFRR+",DAMAS_Daily!G179,DAMAS_Daily!H179)</f>
        <v/>
      </c>
      <c r="J179" s="45">
        <f>IF(C179="aFRR+",DAMAS_Daily!C179,DAMAS_Daily!D179)</f>
        <v/>
      </c>
      <c r="K179" s="45">
        <f>IF(C179="aFRR+",MIN(DAMAS_Daily!C179*market_share_D*acceptance_rate*stack_activation,power_mw*hours_per_day,capacity_mwh),MIN(DAMAS_Daily!D179*market_share_D*acceptance_rate*stack_activation,power_mw*hours_per_day,capacity_mwh))</f>
        <v/>
      </c>
      <c r="L179" s="42">
        <f>IF(K179&gt;=capacity_mwh-0.01,"yes","no")</f>
        <v/>
      </c>
      <c r="M179" s="28">
        <f>IF(C179="aFRR+",(MIN(DAMAS_Daily!C179*market_share_D*acceptance_rate*stack_activation,power_mw*hours_per_day,capacity_mwh))*DAMAS_Daily!E179*activation_mult_D,(MIN(DAMAS_Daily!D179*market_share_D*acceptance_rate*stack_activation,power_mw*hours_per_day,capacity_mwh))*DAMAS_Daily!F179*activation_mult_D)</f>
        <v/>
      </c>
      <c r="N179" s="29">
        <f>F179+M179</f>
        <v/>
      </c>
    </row>
    <row r="180">
      <c r="A180" s="41">
        <f>DAMAS_Daily!A180</f>
        <v/>
      </c>
      <c r="B180" s="42">
        <f>DAMAS_Daily!B180</f>
        <v/>
      </c>
      <c r="C180" s="42">
        <f>IF((power_mw*hours_per_day*damas_afrr_up*capacity_mult_D*stack_capacity*acceptance_rate+(MIN(DAMAS_Daily!C180*market_share_D*acceptance_rate*stack_activation,power_mw*hours_per_day,capacity_mwh))*DAMAS_Daily!E180*activation_mult_D)&gt;=(power_mw*hours_per_day*damas_afrr_down*capacity_mult_D*stack_capacity*acceptance_rate+(MIN(DAMAS_Daily!D180*market_share_D*acceptance_rate*stack_activation,power_mw*hours_per_day,capacity_mwh))*DAMAS_Daily!F180*activation_mult_D),"aFRR+","aFRR-")</f>
        <v/>
      </c>
      <c r="D180" s="43">
        <f>IF(C180="aFRR+",damas_afrr_up*capacity_mult_D,damas_afrr_down*capacity_mult_D)</f>
        <v/>
      </c>
      <c r="E180" s="44">
        <f>acceptance_rate</f>
        <v/>
      </c>
      <c r="F180" s="28">
        <f>IF(C180="aFRR+",power_mw*hours_per_day*damas_afrr_up*capacity_mult_D*stack_capacity*acceptance_rate,power_mw*hours_per_day*damas_afrr_down*capacity_mult_D*stack_capacity*acceptance_rate)</f>
        <v/>
      </c>
      <c r="G180" s="42">
        <f>IF(C180="aFRR+",DAMAS_Daily!I180,DAMAS_Daily!J180)</f>
        <v/>
      </c>
      <c r="H180" s="43">
        <f>IF(C180="aFRR+",DAMAS_Daily!E180,DAMAS_Daily!F180)</f>
        <v/>
      </c>
      <c r="I180" s="43">
        <f>IF(C180="aFRR+",DAMAS_Daily!G180,DAMAS_Daily!H180)</f>
        <v/>
      </c>
      <c r="J180" s="45">
        <f>IF(C180="aFRR+",DAMAS_Daily!C180,DAMAS_Daily!D180)</f>
        <v/>
      </c>
      <c r="K180" s="45">
        <f>IF(C180="aFRR+",MIN(DAMAS_Daily!C180*market_share_D*acceptance_rate*stack_activation,power_mw*hours_per_day,capacity_mwh),MIN(DAMAS_Daily!D180*market_share_D*acceptance_rate*stack_activation,power_mw*hours_per_day,capacity_mwh))</f>
        <v/>
      </c>
      <c r="L180" s="42">
        <f>IF(K180&gt;=capacity_mwh-0.01,"yes","no")</f>
        <v/>
      </c>
      <c r="M180" s="28">
        <f>IF(C180="aFRR+",(MIN(DAMAS_Daily!C180*market_share_D*acceptance_rate*stack_activation,power_mw*hours_per_day,capacity_mwh))*DAMAS_Daily!E180*activation_mult_D,(MIN(DAMAS_Daily!D180*market_share_D*acceptance_rate*stack_activation,power_mw*hours_per_day,capacity_mwh))*DAMAS_Daily!F180*activation_mult_D)</f>
        <v/>
      </c>
      <c r="N180" s="29">
        <f>F180+M180</f>
        <v/>
      </c>
    </row>
    <row r="181">
      <c r="A181" s="41">
        <f>DAMAS_Daily!A181</f>
        <v/>
      </c>
      <c r="B181" s="42">
        <f>DAMAS_Daily!B181</f>
        <v/>
      </c>
      <c r="C181" s="42">
        <f>IF((power_mw*hours_per_day*damas_afrr_up*capacity_mult_D*stack_capacity*acceptance_rate+(MIN(DAMAS_Daily!C181*market_share_D*acceptance_rate*stack_activation,power_mw*hours_per_day,capacity_mwh))*DAMAS_Daily!E181*activation_mult_D)&gt;=(power_mw*hours_per_day*damas_afrr_down*capacity_mult_D*stack_capacity*acceptance_rate+(MIN(DAMAS_Daily!D181*market_share_D*acceptance_rate*stack_activation,power_mw*hours_per_day,capacity_mwh))*DAMAS_Daily!F181*activation_mult_D),"aFRR+","aFRR-")</f>
        <v/>
      </c>
      <c r="D181" s="43">
        <f>IF(C181="aFRR+",damas_afrr_up*capacity_mult_D,damas_afrr_down*capacity_mult_D)</f>
        <v/>
      </c>
      <c r="E181" s="44">
        <f>acceptance_rate</f>
        <v/>
      </c>
      <c r="F181" s="28">
        <f>IF(C181="aFRR+",power_mw*hours_per_day*damas_afrr_up*capacity_mult_D*stack_capacity*acceptance_rate,power_mw*hours_per_day*damas_afrr_down*capacity_mult_D*stack_capacity*acceptance_rate)</f>
        <v/>
      </c>
      <c r="G181" s="42">
        <f>IF(C181="aFRR+",DAMAS_Daily!I181,DAMAS_Daily!J181)</f>
        <v/>
      </c>
      <c r="H181" s="43">
        <f>IF(C181="aFRR+",DAMAS_Daily!E181,DAMAS_Daily!F181)</f>
        <v/>
      </c>
      <c r="I181" s="43">
        <f>IF(C181="aFRR+",DAMAS_Daily!G181,DAMAS_Daily!H181)</f>
        <v/>
      </c>
      <c r="J181" s="45">
        <f>IF(C181="aFRR+",DAMAS_Daily!C181,DAMAS_Daily!D181)</f>
        <v/>
      </c>
      <c r="K181" s="45">
        <f>IF(C181="aFRR+",MIN(DAMAS_Daily!C181*market_share_D*acceptance_rate*stack_activation,power_mw*hours_per_day,capacity_mwh),MIN(DAMAS_Daily!D181*market_share_D*acceptance_rate*stack_activation,power_mw*hours_per_day,capacity_mwh))</f>
        <v/>
      </c>
      <c r="L181" s="42">
        <f>IF(K181&gt;=capacity_mwh-0.01,"yes","no")</f>
        <v/>
      </c>
      <c r="M181" s="28">
        <f>IF(C181="aFRR+",(MIN(DAMAS_Daily!C181*market_share_D*acceptance_rate*stack_activation,power_mw*hours_per_day,capacity_mwh))*DAMAS_Daily!E181*activation_mult_D,(MIN(DAMAS_Daily!D181*market_share_D*acceptance_rate*stack_activation,power_mw*hours_per_day,capacity_mwh))*DAMAS_Daily!F181*activation_mult_D)</f>
        <v/>
      </c>
      <c r="N181" s="29">
        <f>F181+M181</f>
        <v/>
      </c>
    </row>
    <row r="182">
      <c r="A182" s="41">
        <f>DAMAS_Daily!A182</f>
        <v/>
      </c>
      <c r="B182" s="42">
        <f>DAMAS_Daily!B182</f>
        <v/>
      </c>
      <c r="C182" s="42">
        <f>IF((power_mw*hours_per_day*damas_afrr_up*capacity_mult_D*stack_capacity*acceptance_rate+(MIN(DAMAS_Daily!C182*market_share_D*acceptance_rate*stack_activation,power_mw*hours_per_day,capacity_mwh))*DAMAS_Daily!E182*activation_mult_D)&gt;=(power_mw*hours_per_day*damas_afrr_down*capacity_mult_D*stack_capacity*acceptance_rate+(MIN(DAMAS_Daily!D182*market_share_D*acceptance_rate*stack_activation,power_mw*hours_per_day,capacity_mwh))*DAMAS_Daily!F182*activation_mult_D),"aFRR+","aFRR-")</f>
        <v/>
      </c>
      <c r="D182" s="43">
        <f>IF(C182="aFRR+",damas_afrr_up*capacity_mult_D,damas_afrr_down*capacity_mult_D)</f>
        <v/>
      </c>
      <c r="E182" s="44">
        <f>acceptance_rate</f>
        <v/>
      </c>
      <c r="F182" s="28">
        <f>IF(C182="aFRR+",power_mw*hours_per_day*damas_afrr_up*capacity_mult_D*stack_capacity*acceptance_rate,power_mw*hours_per_day*damas_afrr_down*capacity_mult_D*stack_capacity*acceptance_rate)</f>
        <v/>
      </c>
      <c r="G182" s="42">
        <f>IF(C182="aFRR+",DAMAS_Daily!I182,DAMAS_Daily!J182)</f>
        <v/>
      </c>
      <c r="H182" s="43">
        <f>IF(C182="aFRR+",DAMAS_Daily!E182,DAMAS_Daily!F182)</f>
        <v/>
      </c>
      <c r="I182" s="43">
        <f>IF(C182="aFRR+",DAMAS_Daily!G182,DAMAS_Daily!H182)</f>
        <v/>
      </c>
      <c r="J182" s="45">
        <f>IF(C182="aFRR+",DAMAS_Daily!C182,DAMAS_Daily!D182)</f>
        <v/>
      </c>
      <c r="K182" s="45">
        <f>IF(C182="aFRR+",MIN(DAMAS_Daily!C182*market_share_D*acceptance_rate*stack_activation,power_mw*hours_per_day,capacity_mwh),MIN(DAMAS_Daily!D182*market_share_D*acceptance_rate*stack_activation,power_mw*hours_per_day,capacity_mwh))</f>
        <v/>
      </c>
      <c r="L182" s="42">
        <f>IF(K182&gt;=capacity_mwh-0.01,"yes","no")</f>
        <v/>
      </c>
      <c r="M182" s="28">
        <f>IF(C182="aFRR+",(MIN(DAMAS_Daily!C182*market_share_D*acceptance_rate*stack_activation,power_mw*hours_per_day,capacity_mwh))*DAMAS_Daily!E182*activation_mult_D,(MIN(DAMAS_Daily!D182*market_share_D*acceptance_rate*stack_activation,power_mw*hours_per_day,capacity_mwh))*DAMAS_Daily!F182*activation_mult_D)</f>
        <v/>
      </c>
      <c r="N182" s="29">
        <f>F182+M182</f>
        <v/>
      </c>
    </row>
    <row r="183">
      <c r="A183" s="41">
        <f>DAMAS_Daily!A183</f>
        <v/>
      </c>
      <c r="B183" s="42">
        <f>DAMAS_Daily!B183</f>
        <v/>
      </c>
      <c r="C183" s="42">
        <f>IF((power_mw*hours_per_day*damas_afrr_up*capacity_mult_D*stack_capacity*acceptance_rate+(MIN(DAMAS_Daily!C183*market_share_D*acceptance_rate*stack_activation,power_mw*hours_per_day,capacity_mwh))*DAMAS_Daily!E183*activation_mult_D)&gt;=(power_mw*hours_per_day*damas_afrr_down*capacity_mult_D*stack_capacity*acceptance_rate+(MIN(DAMAS_Daily!D183*market_share_D*acceptance_rate*stack_activation,power_mw*hours_per_day,capacity_mwh))*DAMAS_Daily!F183*activation_mult_D),"aFRR+","aFRR-")</f>
        <v/>
      </c>
      <c r="D183" s="43">
        <f>IF(C183="aFRR+",damas_afrr_up*capacity_mult_D,damas_afrr_down*capacity_mult_D)</f>
        <v/>
      </c>
      <c r="E183" s="44">
        <f>acceptance_rate</f>
        <v/>
      </c>
      <c r="F183" s="28">
        <f>IF(C183="aFRR+",power_mw*hours_per_day*damas_afrr_up*capacity_mult_D*stack_capacity*acceptance_rate,power_mw*hours_per_day*damas_afrr_down*capacity_mult_D*stack_capacity*acceptance_rate)</f>
        <v/>
      </c>
      <c r="G183" s="42">
        <f>IF(C183="aFRR+",DAMAS_Daily!I183,DAMAS_Daily!J183)</f>
        <v/>
      </c>
      <c r="H183" s="43">
        <f>IF(C183="aFRR+",DAMAS_Daily!E183,DAMAS_Daily!F183)</f>
        <v/>
      </c>
      <c r="I183" s="43">
        <f>IF(C183="aFRR+",DAMAS_Daily!G183,DAMAS_Daily!H183)</f>
        <v/>
      </c>
      <c r="J183" s="45">
        <f>IF(C183="aFRR+",DAMAS_Daily!C183,DAMAS_Daily!D183)</f>
        <v/>
      </c>
      <c r="K183" s="45">
        <f>IF(C183="aFRR+",MIN(DAMAS_Daily!C183*market_share_D*acceptance_rate*stack_activation,power_mw*hours_per_day,capacity_mwh),MIN(DAMAS_Daily!D183*market_share_D*acceptance_rate*stack_activation,power_mw*hours_per_day,capacity_mwh))</f>
        <v/>
      </c>
      <c r="L183" s="42">
        <f>IF(K183&gt;=capacity_mwh-0.01,"yes","no")</f>
        <v/>
      </c>
      <c r="M183" s="28">
        <f>IF(C183="aFRR+",(MIN(DAMAS_Daily!C183*market_share_D*acceptance_rate*stack_activation,power_mw*hours_per_day,capacity_mwh))*DAMAS_Daily!E183*activation_mult_D,(MIN(DAMAS_Daily!D183*market_share_D*acceptance_rate*stack_activation,power_mw*hours_per_day,capacity_mwh))*DAMAS_Daily!F183*activation_mult_D)</f>
        <v/>
      </c>
      <c r="N183" s="29">
        <f>F183+M183</f>
        <v/>
      </c>
    </row>
    <row r="184">
      <c r="A184" s="41">
        <f>DAMAS_Daily!A184</f>
        <v/>
      </c>
      <c r="B184" s="42">
        <f>DAMAS_Daily!B184</f>
        <v/>
      </c>
      <c r="C184" s="42">
        <f>IF((power_mw*hours_per_day*damas_afrr_up*capacity_mult_D*stack_capacity*acceptance_rate+(MIN(DAMAS_Daily!C184*market_share_D*acceptance_rate*stack_activation,power_mw*hours_per_day,capacity_mwh))*DAMAS_Daily!E184*activation_mult_D)&gt;=(power_mw*hours_per_day*damas_afrr_down*capacity_mult_D*stack_capacity*acceptance_rate+(MIN(DAMAS_Daily!D184*market_share_D*acceptance_rate*stack_activation,power_mw*hours_per_day,capacity_mwh))*DAMAS_Daily!F184*activation_mult_D),"aFRR+","aFRR-")</f>
        <v/>
      </c>
      <c r="D184" s="43">
        <f>IF(C184="aFRR+",damas_afrr_up*capacity_mult_D,damas_afrr_down*capacity_mult_D)</f>
        <v/>
      </c>
      <c r="E184" s="44">
        <f>acceptance_rate</f>
        <v/>
      </c>
      <c r="F184" s="28">
        <f>IF(C184="aFRR+",power_mw*hours_per_day*damas_afrr_up*capacity_mult_D*stack_capacity*acceptance_rate,power_mw*hours_per_day*damas_afrr_down*capacity_mult_D*stack_capacity*acceptance_rate)</f>
        <v/>
      </c>
      <c r="G184" s="42">
        <f>IF(C184="aFRR+",DAMAS_Daily!I184,DAMAS_Daily!J184)</f>
        <v/>
      </c>
      <c r="H184" s="43">
        <f>IF(C184="aFRR+",DAMAS_Daily!E184,DAMAS_Daily!F184)</f>
        <v/>
      </c>
      <c r="I184" s="43">
        <f>IF(C184="aFRR+",DAMAS_Daily!G184,DAMAS_Daily!H184)</f>
        <v/>
      </c>
      <c r="J184" s="45">
        <f>IF(C184="aFRR+",DAMAS_Daily!C184,DAMAS_Daily!D184)</f>
        <v/>
      </c>
      <c r="K184" s="45">
        <f>IF(C184="aFRR+",MIN(DAMAS_Daily!C184*market_share_D*acceptance_rate*stack_activation,power_mw*hours_per_day,capacity_mwh),MIN(DAMAS_Daily!D184*market_share_D*acceptance_rate*stack_activation,power_mw*hours_per_day,capacity_mwh))</f>
        <v/>
      </c>
      <c r="L184" s="42">
        <f>IF(K184&gt;=capacity_mwh-0.01,"yes","no")</f>
        <v/>
      </c>
      <c r="M184" s="28">
        <f>IF(C184="aFRR+",(MIN(DAMAS_Daily!C184*market_share_D*acceptance_rate*stack_activation,power_mw*hours_per_day,capacity_mwh))*DAMAS_Daily!E184*activation_mult_D,(MIN(DAMAS_Daily!D184*market_share_D*acceptance_rate*stack_activation,power_mw*hours_per_day,capacity_mwh))*DAMAS_Daily!F184*activation_mult_D)</f>
        <v/>
      </c>
      <c r="N184" s="29">
        <f>F184+M184</f>
        <v/>
      </c>
    </row>
    <row r="185">
      <c r="A185" s="41">
        <f>DAMAS_Daily!A185</f>
        <v/>
      </c>
      <c r="B185" s="42">
        <f>DAMAS_Daily!B185</f>
        <v/>
      </c>
      <c r="C185" s="42">
        <f>IF((power_mw*hours_per_day*damas_afrr_up*capacity_mult_D*stack_capacity*acceptance_rate+(MIN(DAMAS_Daily!C185*market_share_D*acceptance_rate*stack_activation,power_mw*hours_per_day,capacity_mwh))*DAMAS_Daily!E185*activation_mult_D)&gt;=(power_mw*hours_per_day*damas_afrr_down*capacity_mult_D*stack_capacity*acceptance_rate+(MIN(DAMAS_Daily!D185*market_share_D*acceptance_rate*stack_activation,power_mw*hours_per_day,capacity_mwh))*DAMAS_Daily!F185*activation_mult_D),"aFRR+","aFRR-")</f>
        <v/>
      </c>
      <c r="D185" s="43">
        <f>IF(C185="aFRR+",damas_afrr_up*capacity_mult_D,damas_afrr_down*capacity_mult_D)</f>
        <v/>
      </c>
      <c r="E185" s="44">
        <f>acceptance_rate</f>
        <v/>
      </c>
      <c r="F185" s="28">
        <f>IF(C185="aFRR+",power_mw*hours_per_day*damas_afrr_up*capacity_mult_D*stack_capacity*acceptance_rate,power_mw*hours_per_day*damas_afrr_down*capacity_mult_D*stack_capacity*acceptance_rate)</f>
        <v/>
      </c>
      <c r="G185" s="42">
        <f>IF(C185="aFRR+",DAMAS_Daily!I185,DAMAS_Daily!J185)</f>
        <v/>
      </c>
      <c r="H185" s="43">
        <f>IF(C185="aFRR+",DAMAS_Daily!E185,DAMAS_Daily!F185)</f>
        <v/>
      </c>
      <c r="I185" s="43">
        <f>IF(C185="aFRR+",DAMAS_Daily!G185,DAMAS_Daily!H185)</f>
        <v/>
      </c>
      <c r="J185" s="45">
        <f>IF(C185="aFRR+",DAMAS_Daily!C185,DAMAS_Daily!D185)</f>
        <v/>
      </c>
      <c r="K185" s="45">
        <f>IF(C185="aFRR+",MIN(DAMAS_Daily!C185*market_share_D*acceptance_rate*stack_activation,power_mw*hours_per_day,capacity_mwh),MIN(DAMAS_Daily!D185*market_share_D*acceptance_rate*stack_activation,power_mw*hours_per_day,capacity_mwh))</f>
        <v/>
      </c>
      <c r="L185" s="42">
        <f>IF(K185&gt;=capacity_mwh-0.01,"yes","no")</f>
        <v/>
      </c>
      <c r="M185" s="28">
        <f>IF(C185="aFRR+",(MIN(DAMAS_Daily!C185*market_share_D*acceptance_rate*stack_activation,power_mw*hours_per_day,capacity_mwh))*DAMAS_Daily!E185*activation_mult_D,(MIN(DAMAS_Daily!D185*market_share_D*acceptance_rate*stack_activation,power_mw*hours_per_day,capacity_mwh))*DAMAS_Daily!F185*activation_mult_D)</f>
        <v/>
      </c>
      <c r="N185" s="29">
        <f>F185+M185</f>
        <v/>
      </c>
    </row>
    <row r="186">
      <c r="A186" s="41">
        <f>DAMAS_Daily!A186</f>
        <v/>
      </c>
      <c r="B186" s="42">
        <f>DAMAS_Daily!B186</f>
        <v/>
      </c>
      <c r="C186" s="42">
        <f>IF((power_mw*hours_per_day*damas_afrr_up*capacity_mult_D*stack_capacity*acceptance_rate+(MIN(DAMAS_Daily!C186*market_share_D*acceptance_rate*stack_activation,power_mw*hours_per_day,capacity_mwh))*DAMAS_Daily!E186*activation_mult_D)&gt;=(power_mw*hours_per_day*damas_afrr_down*capacity_mult_D*stack_capacity*acceptance_rate+(MIN(DAMAS_Daily!D186*market_share_D*acceptance_rate*stack_activation,power_mw*hours_per_day,capacity_mwh))*DAMAS_Daily!F186*activation_mult_D),"aFRR+","aFRR-")</f>
        <v/>
      </c>
      <c r="D186" s="43">
        <f>IF(C186="aFRR+",damas_afrr_up*capacity_mult_D,damas_afrr_down*capacity_mult_D)</f>
        <v/>
      </c>
      <c r="E186" s="44">
        <f>acceptance_rate</f>
        <v/>
      </c>
      <c r="F186" s="28">
        <f>IF(C186="aFRR+",power_mw*hours_per_day*damas_afrr_up*capacity_mult_D*stack_capacity*acceptance_rate,power_mw*hours_per_day*damas_afrr_down*capacity_mult_D*stack_capacity*acceptance_rate)</f>
        <v/>
      </c>
      <c r="G186" s="42">
        <f>IF(C186="aFRR+",DAMAS_Daily!I186,DAMAS_Daily!J186)</f>
        <v/>
      </c>
      <c r="H186" s="43">
        <f>IF(C186="aFRR+",DAMAS_Daily!E186,DAMAS_Daily!F186)</f>
        <v/>
      </c>
      <c r="I186" s="43">
        <f>IF(C186="aFRR+",DAMAS_Daily!G186,DAMAS_Daily!H186)</f>
        <v/>
      </c>
      <c r="J186" s="45">
        <f>IF(C186="aFRR+",DAMAS_Daily!C186,DAMAS_Daily!D186)</f>
        <v/>
      </c>
      <c r="K186" s="45">
        <f>IF(C186="aFRR+",MIN(DAMAS_Daily!C186*market_share_D*acceptance_rate*stack_activation,power_mw*hours_per_day,capacity_mwh),MIN(DAMAS_Daily!D186*market_share_D*acceptance_rate*stack_activation,power_mw*hours_per_day,capacity_mwh))</f>
        <v/>
      </c>
      <c r="L186" s="42">
        <f>IF(K186&gt;=capacity_mwh-0.01,"yes","no")</f>
        <v/>
      </c>
      <c r="M186" s="28">
        <f>IF(C186="aFRR+",(MIN(DAMAS_Daily!C186*market_share_D*acceptance_rate*stack_activation,power_mw*hours_per_day,capacity_mwh))*DAMAS_Daily!E186*activation_mult_D,(MIN(DAMAS_Daily!D186*market_share_D*acceptance_rate*stack_activation,power_mw*hours_per_day,capacity_mwh))*DAMAS_Daily!F186*activation_mult_D)</f>
        <v/>
      </c>
      <c r="N186" s="29">
        <f>F186+M186</f>
        <v/>
      </c>
    </row>
    <row r="187">
      <c r="A187" s="41">
        <f>DAMAS_Daily!A187</f>
        <v/>
      </c>
      <c r="B187" s="42">
        <f>DAMAS_Daily!B187</f>
        <v/>
      </c>
      <c r="C187" s="42">
        <f>IF((power_mw*hours_per_day*damas_afrr_up*capacity_mult_D*stack_capacity*acceptance_rate+(MIN(DAMAS_Daily!C187*market_share_D*acceptance_rate*stack_activation,power_mw*hours_per_day,capacity_mwh))*DAMAS_Daily!E187*activation_mult_D)&gt;=(power_mw*hours_per_day*damas_afrr_down*capacity_mult_D*stack_capacity*acceptance_rate+(MIN(DAMAS_Daily!D187*market_share_D*acceptance_rate*stack_activation,power_mw*hours_per_day,capacity_mwh))*DAMAS_Daily!F187*activation_mult_D),"aFRR+","aFRR-")</f>
        <v/>
      </c>
      <c r="D187" s="43">
        <f>IF(C187="aFRR+",damas_afrr_up*capacity_mult_D,damas_afrr_down*capacity_mult_D)</f>
        <v/>
      </c>
      <c r="E187" s="44">
        <f>acceptance_rate</f>
        <v/>
      </c>
      <c r="F187" s="28">
        <f>IF(C187="aFRR+",power_mw*hours_per_day*damas_afrr_up*capacity_mult_D*stack_capacity*acceptance_rate,power_mw*hours_per_day*damas_afrr_down*capacity_mult_D*stack_capacity*acceptance_rate)</f>
        <v/>
      </c>
      <c r="G187" s="42">
        <f>IF(C187="aFRR+",DAMAS_Daily!I187,DAMAS_Daily!J187)</f>
        <v/>
      </c>
      <c r="H187" s="43">
        <f>IF(C187="aFRR+",DAMAS_Daily!E187,DAMAS_Daily!F187)</f>
        <v/>
      </c>
      <c r="I187" s="43">
        <f>IF(C187="aFRR+",DAMAS_Daily!G187,DAMAS_Daily!H187)</f>
        <v/>
      </c>
      <c r="J187" s="45">
        <f>IF(C187="aFRR+",DAMAS_Daily!C187,DAMAS_Daily!D187)</f>
        <v/>
      </c>
      <c r="K187" s="45">
        <f>IF(C187="aFRR+",MIN(DAMAS_Daily!C187*market_share_D*acceptance_rate*stack_activation,power_mw*hours_per_day,capacity_mwh),MIN(DAMAS_Daily!D187*market_share_D*acceptance_rate*stack_activation,power_mw*hours_per_day,capacity_mwh))</f>
        <v/>
      </c>
      <c r="L187" s="42">
        <f>IF(K187&gt;=capacity_mwh-0.01,"yes","no")</f>
        <v/>
      </c>
      <c r="M187" s="28">
        <f>IF(C187="aFRR+",(MIN(DAMAS_Daily!C187*market_share_D*acceptance_rate*stack_activation,power_mw*hours_per_day,capacity_mwh))*DAMAS_Daily!E187*activation_mult_D,(MIN(DAMAS_Daily!D187*market_share_D*acceptance_rate*stack_activation,power_mw*hours_per_day,capacity_mwh))*DAMAS_Daily!F187*activation_mult_D)</f>
        <v/>
      </c>
      <c r="N187" s="29">
        <f>F187+M187</f>
        <v/>
      </c>
    </row>
    <row r="188">
      <c r="A188" s="41">
        <f>DAMAS_Daily!A188</f>
        <v/>
      </c>
      <c r="B188" s="42">
        <f>DAMAS_Daily!B188</f>
        <v/>
      </c>
      <c r="C188" s="42">
        <f>IF((power_mw*hours_per_day*damas_afrr_up*capacity_mult_D*stack_capacity*acceptance_rate+(MIN(DAMAS_Daily!C188*market_share_D*acceptance_rate*stack_activation,power_mw*hours_per_day,capacity_mwh))*DAMAS_Daily!E188*activation_mult_D)&gt;=(power_mw*hours_per_day*damas_afrr_down*capacity_mult_D*stack_capacity*acceptance_rate+(MIN(DAMAS_Daily!D188*market_share_D*acceptance_rate*stack_activation,power_mw*hours_per_day,capacity_mwh))*DAMAS_Daily!F188*activation_mult_D),"aFRR+","aFRR-")</f>
        <v/>
      </c>
      <c r="D188" s="43">
        <f>IF(C188="aFRR+",damas_afrr_up*capacity_mult_D,damas_afrr_down*capacity_mult_D)</f>
        <v/>
      </c>
      <c r="E188" s="44">
        <f>acceptance_rate</f>
        <v/>
      </c>
      <c r="F188" s="28">
        <f>IF(C188="aFRR+",power_mw*hours_per_day*damas_afrr_up*capacity_mult_D*stack_capacity*acceptance_rate,power_mw*hours_per_day*damas_afrr_down*capacity_mult_D*stack_capacity*acceptance_rate)</f>
        <v/>
      </c>
      <c r="G188" s="42">
        <f>IF(C188="aFRR+",DAMAS_Daily!I188,DAMAS_Daily!J188)</f>
        <v/>
      </c>
      <c r="H188" s="43">
        <f>IF(C188="aFRR+",DAMAS_Daily!E188,DAMAS_Daily!F188)</f>
        <v/>
      </c>
      <c r="I188" s="43">
        <f>IF(C188="aFRR+",DAMAS_Daily!G188,DAMAS_Daily!H188)</f>
        <v/>
      </c>
      <c r="J188" s="45">
        <f>IF(C188="aFRR+",DAMAS_Daily!C188,DAMAS_Daily!D188)</f>
        <v/>
      </c>
      <c r="K188" s="45">
        <f>IF(C188="aFRR+",MIN(DAMAS_Daily!C188*market_share_D*acceptance_rate*stack_activation,power_mw*hours_per_day,capacity_mwh),MIN(DAMAS_Daily!D188*market_share_D*acceptance_rate*stack_activation,power_mw*hours_per_day,capacity_mwh))</f>
        <v/>
      </c>
      <c r="L188" s="42">
        <f>IF(K188&gt;=capacity_mwh-0.01,"yes","no")</f>
        <v/>
      </c>
      <c r="M188" s="28">
        <f>IF(C188="aFRR+",(MIN(DAMAS_Daily!C188*market_share_D*acceptance_rate*stack_activation,power_mw*hours_per_day,capacity_mwh))*DAMAS_Daily!E188*activation_mult_D,(MIN(DAMAS_Daily!D188*market_share_D*acceptance_rate*stack_activation,power_mw*hours_per_day,capacity_mwh))*DAMAS_Daily!F188*activation_mult_D)</f>
        <v/>
      </c>
      <c r="N188" s="29">
        <f>F188+M188</f>
        <v/>
      </c>
    </row>
    <row r="189">
      <c r="A189" s="41">
        <f>DAMAS_Daily!A189</f>
        <v/>
      </c>
      <c r="B189" s="42">
        <f>DAMAS_Daily!B189</f>
        <v/>
      </c>
      <c r="C189" s="42">
        <f>IF((power_mw*hours_per_day*damas_afrr_up*capacity_mult_D*stack_capacity*acceptance_rate+(MIN(DAMAS_Daily!C189*market_share_D*acceptance_rate*stack_activation,power_mw*hours_per_day,capacity_mwh))*DAMAS_Daily!E189*activation_mult_D)&gt;=(power_mw*hours_per_day*damas_afrr_down*capacity_mult_D*stack_capacity*acceptance_rate+(MIN(DAMAS_Daily!D189*market_share_D*acceptance_rate*stack_activation,power_mw*hours_per_day,capacity_mwh))*DAMAS_Daily!F189*activation_mult_D),"aFRR+","aFRR-")</f>
        <v/>
      </c>
      <c r="D189" s="43">
        <f>IF(C189="aFRR+",damas_afrr_up*capacity_mult_D,damas_afrr_down*capacity_mult_D)</f>
        <v/>
      </c>
      <c r="E189" s="44">
        <f>acceptance_rate</f>
        <v/>
      </c>
      <c r="F189" s="28">
        <f>IF(C189="aFRR+",power_mw*hours_per_day*damas_afrr_up*capacity_mult_D*stack_capacity*acceptance_rate,power_mw*hours_per_day*damas_afrr_down*capacity_mult_D*stack_capacity*acceptance_rate)</f>
        <v/>
      </c>
      <c r="G189" s="42">
        <f>IF(C189="aFRR+",DAMAS_Daily!I189,DAMAS_Daily!J189)</f>
        <v/>
      </c>
      <c r="H189" s="43">
        <f>IF(C189="aFRR+",DAMAS_Daily!E189,DAMAS_Daily!F189)</f>
        <v/>
      </c>
      <c r="I189" s="43">
        <f>IF(C189="aFRR+",DAMAS_Daily!G189,DAMAS_Daily!H189)</f>
        <v/>
      </c>
      <c r="J189" s="45">
        <f>IF(C189="aFRR+",DAMAS_Daily!C189,DAMAS_Daily!D189)</f>
        <v/>
      </c>
      <c r="K189" s="45">
        <f>IF(C189="aFRR+",MIN(DAMAS_Daily!C189*market_share_D*acceptance_rate*stack_activation,power_mw*hours_per_day,capacity_mwh),MIN(DAMAS_Daily!D189*market_share_D*acceptance_rate*stack_activation,power_mw*hours_per_day,capacity_mwh))</f>
        <v/>
      </c>
      <c r="L189" s="42">
        <f>IF(K189&gt;=capacity_mwh-0.01,"yes","no")</f>
        <v/>
      </c>
      <c r="M189" s="28">
        <f>IF(C189="aFRR+",(MIN(DAMAS_Daily!C189*market_share_D*acceptance_rate*stack_activation,power_mw*hours_per_day,capacity_mwh))*DAMAS_Daily!E189*activation_mult_D,(MIN(DAMAS_Daily!D189*market_share_D*acceptance_rate*stack_activation,power_mw*hours_per_day,capacity_mwh))*DAMAS_Daily!F189*activation_mult_D)</f>
        <v/>
      </c>
      <c r="N189" s="29">
        <f>F189+M189</f>
        <v/>
      </c>
    </row>
    <row r="190">
      <c r="A190" s="41">
        <f>DAMAS_Daily!A190</f>
        <v/>
      </c>
      <c r="B190" s="42">
        <f>DAMAS_Daily!B190</f>
        <v/>
      </c>
      <c r="C190" s="42">
        <f>IF((power_mw*hours_per_day*damas_afrr_up*capacity_mult_D*stack_capacity*acceptance_rate+(MIN(DAMAS_Daily!C190*market_share_D*acceptance_rate*stack_activation,power_mw*hours_per_day,capacity_mwh))*DAMAS_Daily!E190*activation_mult_D)&gt;=(power_mw*hours_per_day*damas_afrr_down*capacity_mult_D*stack_capacity*acceptance_rate+(MIN(DAMAS_Daily!D190*market_share_D*acceptance_rate*stack_activation,power_mw*hours_per_day,capacity_mwh))*DAMAS_Daily!F190*activation_mult_D),"aFRR+","aFRR-")</f>
        <v/>
      </c>
      <c r="D190" s="43">
        <f>IF(C190="aFRR+",damas_afrr_up*capacity_mult_D,damas_afrr_down*capacity_mult_D)</f>
        <v/>
      </c>
      <c r="E190" s="44">
        <f>acceptance_rate</f>
        <v/>
      </c>
      <c r="F190" s="28">
        <f>IF(C190="aFRR+",power_mw*hours_per_day*damas_afrr_up*capacity_mult_D*stack_capacity*acceptance_rate,power_mw*hours_per_day*damas_afrr_down*capacity_mult_D*stack_capacity*acceptance_rate)</f>
        <v/>
      </c>
      <c r="G190" s="42">
        <f>IF(C190="aFRR+",DAMAS_Daily!I190,DAMAS_Daily!J190)</f>
        <v/>
      </c>
      <c r="H190" s="43">
        <f>IF(C190="aFRR+",DAMAS_Daily!E190,DAMAS_Daily!F190)</f>
        <v/>
      </c>
      <c r="I190" s="43">
        <f>IF(C190="aFRR+",DAMAS_Daily!G190,DAMAS_Daily!H190)</f>
        <v/>
      </c>
      <c r="J190" s="45">
        <f>IF(C190="aFRR+",DAMAS_Daily!C190,DAMAS_Daily!D190)</f>
        <v/>
      </c>
      <c r="K190" s="45">
        <f>IF(C190="aFRR+",MIN(DAMAS_Daily!C190*market_share_D*acceptance_rate*stack_activation,power_mw*hours_per_day,capacity_mwh),MIN(DAMAS_Daily!D190*market_share_D*acceptance_rate*stack_activation,power_mw*hours_per_day,capacity_mwh))</f>
        <v/>
      </c>
      <c r="L190" s="42">
        <f>IF(K190&gt;=capacity_mwh-0.01,"yes","no")</f>
        <v/>
      </c>
      <c r="M190" s="28">
        <f>IF(C190="aFRR+",(MIN(DAMAS_Daily!C190*market_share_D*acceptance_rate*stack_activation,power_mw*hours_per_day,capacity_mwh))*DAMAS_Daily!E190*activation_mult_D,(MIN(DAMAS_Daily!D190*market_share_D*acceptance_rate*stack_activation,power_mw*hours_per_day,capacity_mwh))*DAMAS_Daily!F190*activation_mult_D)</f>
        <v/>
      </c>
      <c r="N190" s="29">
        <f>F190+M190</f>
        <v/>
      </c>
    </row>
    <row r="191">
      <c r="A191" s="41">
        <f>DAMAS_Daily!A191</f>
        <v/>
      </c>
      <c r="B191" s="42">
        <f>DAMAS_Daily!B191</f>
        <v/>
      </c>
      <c r="C191" s="42">
        <f>IF((power_mw*hours_per_day*damas_afrr_up*capacity_mult_D*stack_capacity*acceptance_rate+(MIN(DAMAS_Daily!C191*market_share_D*acceptance_rate*stack_activation,power_mw*hours_per_day,capacity_mwh))*DAMAS_Daily!E191*activation_mult_D)&gt;=(power_mw*hours_per_day*damas_afrr_down*capacity_mult_D*stack_capacity*acceptance_rate+(MIN(DAMAS_Daily!D191*market_share_D*acceptance_rate*stack_activation,power_mw*hours_per_day,capacity_mwh))*DAMAS_Daily!F191*activation_mult_D),"aFRR+","aFRR-")</f>
        <v/>
      </c>
      <c r="D191" s="43">
        <f>IF(C191="aFRR+",damas_afrr_up*capacity_mult_D,damas_afrr_down*capacity_mult_D)</f>
        <v/>
      </c>
      <c r="E191" s="44">
        <f>acceptance_rate</f>
        <v/>
      </c>
      <c r="F191" s="28">
        <f>IF(C191="aFRR+",power_mw*hours_per_day*damas_afrr_up*capacity_mult_D*stack_capacity*acceptance_rate,power_mw*hours_per_day*damas_afrr_down*capacity_mult_D*stack_capacity*acceptance_rate)</f>
        <v/>
      </c>
      <c r="G191" s="42">
        <f>IF(C191="aFRR+",DAMAS_Daily!I191,DAMAS_Daily!J191)</f>
        <v/>
      </c>
      <c r="H191" s="43">
        <f>IF(C191="aFRR+",DAMAS_Daily!E191,DAMAS_Daily!F191)</f>
        <v/>
      </c>
      <c r="I191" s="43">
        <f>IF(C191="aFRR+",DAMAS_Daily!G191,DAMAS_Daily!H191)</f>
        <v/>
      </c>
      <c r="J191" s="45">
        <f>IF(C191="aFRR+",DAMAS_Daily!C191,DAMAS_Daily!D191)</f>
        <v/>
      </c>
      <c r="K191" s="45">
        <f>IF(C191="aFRR+",MIN(DAMAS_Daily!C191*market_share_D*acceptance_rate*stack_activation,power_mw*hours_per_day,capacity_mwh),MIN(DAMAS_Daily!D191*market_share_D*acceptance_rate*stack_activation,power_mw*hours_per_day,capacity_mwh))</f>
        <v/>
      </c>
      <c r="L191" s="42">
        <f>IF(K191&gt;=capacity_mwh-0.01,"yes","no")</f>
        <v/>
      </c>
      <c r="M191" s="28">
        <f>IF(C191="aFRR+",(MIN(DAMAS_Daily!C191*market_share_D*acceptance_rate*stack_activation,power_mw*hours_per_day,capacity_mwh))*DAMAS_Daily!E191*activation_mult_D,(MIN(DAMAS_Daily!D191*market_share_D*acceptance_rate*stack_activation,power_mw*hours_per_day,capacity_mwh))*DAMAS_Daily!F191*activation_mult_D)</f>
        <v/>
      </c>
      <c r="N191" s="29">
        <f>F191+M191</f>
        <v/>
      </c>
    </row>
    <row r="192">
      <c r="A192" s="41">
        <f>DAMAS_Daily!A192</f>
        <v/>
      </c>
      <c r="B192" s="42">
        <f>DAMAS_Daily!B192</f>
        <v/>
      </c>
      <c r="C192" s="42">
        <f>IF((power_mw*hours_per_day*damas_afrr_up*capacity_mult_D*stack_capacity*acceptance_rate+(MIN(DAMAS_Daily!C192*market_share_D*acceptance_rate*stack_activation,power_mw*hours_per_day,capacity_mwh))*DAMAS_Daily!E192*activation_mult_D)&gt;=(power_mw*hours_per_day*damas_afrr_down*capacity_mult_D*stack_capacity*acceptance_rate+(MIN(DAMAS_Daily!D192*market_share_D*acceptance_rate*stack_activation,power_mw*hours_per_day,capacity_mwh))*DAMAS_Daily!F192*activation_mult_D),"aFRR+","aFRR-")</f>
        <v/>
      </c>
      <c r="D192" s="43">
        <f>IF(C192="aFRR+",damas_afrr_up*capacity_mult_D,damas_afrr_down*capacity_mult_D)</f>
        <v/>
      </c>
      <c r="E192" s="44">
        <f>acceptance_rate</f>
        <v/>
      </c>
      <c r="F192" s="28">
        <f>IF(C192="aFRR+",power_mw*hours_per_day*damas_afrr_up*capacity_mult_D*stack_capacity*acceptance_rate,power_mw*hours_per_day*damas_afrr_down*capacity_mult_D*stack_capacity*acceptance_rate)</f>
        <v/>
      </c>
      <c r="G192" s="42">
        <f>IF(C192="aFRR+",DAMAS_Daily!I192,DAMAS_Daily!J192)</f>
        <v/>
      </c>
      <c r="H192" s="43">
        <f>IF(C192="aFRR+",DAMAS_Daily!E192,DAMAS_Daily!F192)</f>
        <v/>
      </c>
      <c r="I192" s="43">
        <f>IF(C192="aFRR+",DAMAS_Daily!G192,DAMAS_Daily!H192)</f>
        <v/>
      </c>
      <c r="J192" s="45">
        <f>IF(C192="aFRR+",DAMAS_Daily!C192,DAMAS_Daily!D192)</f>
        <v/>
      </c>
      <c r="K192" s="45">
        <f>IF(C192="aFRR+",MIN(DAMAS_Daily!C192*market_share_D*acceptance_rate*stack_activation,power_mw*hours_per_day,capacity_mwh),MIN(DAMAS_Daily!D192*market_share_D*acceptance_rate*stack_activation,power_mw*hours_per_day,capacity_mwh))</f>
        <v/>
      </c>
      <c r="L192" s="42">
        <f>IF(K192&gt;=capacity_mwh-0.01,"yes","no")</f>
        <v/>
      </c>
      <c r="M192" s="28">
        <f>IF(C192="aFRR+",(MIN(DAMAS_Daily!C192*market_share_D*acceptance_rate*stack_activation,power_mw*hours_per_day,capacity_mwh))*DAMAS_Daily!E192*activation_mult_D,(MIN(DAMAS_Daily!D192*market_share_D*acceptance_rate*stack_activation,power_mw*hours_per_day,capacity_mwh))*DAMAS_Daily!F192*activation_mult_D)</f>
        <v/>
      </c>
      <c r="N192" s="29">
        <f>F192+M192</f>
        <v/>
      </c>
    </row>
    <row r="193">
      <c r="A193" s="41">
        <f>DAMAS_Daily!A193</f>
        <v/>
      </c>
      <c r="B193" s="42">
        <f>DAMAS_Daily!B193</f>
        <v/>
      </c>
      <c r="C193" s="42">
        <f>IF((power_mw*hours_per_day*damas_afrr_up*capacity_mult_D*stack_capacity*acceptance_rate+(MIN(DAMAS_Daily!C193*market_share_D*acceptance_rate*stack_activation,power_mw*hours_per_day,capacity_mwh))*DAMAS_Daily!E193*activation_mult_D)&gt;=(power_mw*hours_per_day*damas_afrr_down*capacity_mult_D*stack_capacity*acceptance_rate+(MIN(DAMAS_Daily!D193*market_share_D*acceptance_rate*stack_activation,power_mw*hours_per_day,capacity_mwh))*DAMAS_Daily!F193*activation_mult_D),"aFRR+","aFRR-")</f>
        <v/>
      </c>
      <c r="D193" s="43">
        <f>IF(C193="aFRR+",damas_afrr_up*capacity_mult_D,damas_afrr_down*capacity_mult_D)</f>
        <v/>
      </c>
      <c r="E193" s="44">
        <f>acceptance_rate</f>
        <v/>
      </c>
      <c r="F193" s="28">
        <f>IF(C193="aFRR+",power_mw*hours_per_day*damas_afrr_up*capacity_mult_D*stack_capacity*acceptance_rate,power_mw*hours_per_day*damas_afrr_down*capacity_mult_D*stack_capacity*acceptance_rate)</f>
        <v/>
      </c>
      <c r="G193" s="42">
        <f>IF(C193="aFRR+",DAMAS_Daily!I193,DAMAS_Daily!J193)</f>
        <v/>
      </c>
      <c r="H193" s="43">
        <f>IF(C193="aFRR+",DAMAS_Daily!E193,DAMAS_Daily!F193)</f>
        <v/>
      </c>
      <c r="I193" s="43">
        <f>IF(C193="aFRR+",DAMAS_Daily!G193,DAMAS_Daily!H193)</f>
        <v/>
      </c>
      <c r="J193" s="45">
        <f>IF(C193="aFRR+",DAMAS_Daily!C193,DAMAS_Daily!D193)</f>
        <v/>
      </c>
      <c r="K193" s="45">
        <f>IF(C193="aFRR+",MIN(DAMAS_Daily!C193*market_share_D*acceptance_rate*stack_activation,power_mw*hours_per_day,capacity_mwh),MIN(DAMAS_Daily!D193*market_share_D*acceptance_rate*stack_activation,power_mw*hours_per_day,capacity_mwh))</f>
        <v/>
      </c>
      <c r="L193" s="42">
        <f>IF(K193&gt;=capacity_mwh-0.01,"yes","no")</f>
        <v/>
      </c>
      <c r="M193" s="28">
        <f>IF(C193="aFRR+",(MIN(DAMAS_Daily!C193*market_share_D*acceptance_rate*stack_activation,power_mw*hours_per_day,capacity_mwh))*DAMAS_Daily!E193*activation_mult_D,(MIN(DAMAS_Daily!D193*market_share_D*acceptance_rate*stack_activation,power_mw*hours_per_day,capacity_mwh))*DAMAS_Daily!F193*activation_mult_D)</f>
        <v/>
      </c>
      <c r="N193" s="29">
        <f>F193+M193</f>
        <v/>
      </c>
    </row>
    <row r="194">
      <c r="A194" s="41">
        <f>DAMAS_Daily!A194</f>
        <v/>
      </c>
      <c r="B194" s="42">
        <f>DAMAS_Daily!B194</f>
        <v/>
      </c>
      <c r="C194" s="42">
        <f>IF((power_mw*hours_per_day*damas_afrr_up*capacity_mult_D*stack_capacity*acceptance_rate+(MIN(DAMAS_Daily!C194*market_share_D*acceptance_rate*stack_activation,power_mw*hours_per_day,capacity_mwh))*DAMAS_Daily!E194*activation_mult_D)&gt;=(power_mw*hours_per_day*damas_afrr_down*capacity_mult_D*stack_capacity*acceptance_rate+(MIN(DAMAS_Daily!D194*market_share_D*acceptance_rate*stack_activation,power_mw*hours_per_day,capacity_mwh))*DAMAS_Daily!F194*activation_mult_D),"aFRR+","aFRR-")</f>
        <v/>
      </c>
      <c r="D194" s="43">
        <f>IF(C194="aFRR+",damas_afrr_up*capacity_mult_D,damas_afrr_down*capacity_mult_D)</f>
        <v/>
      </c>
      <c r="E194" s="44">
        <f>acceptance_rate</f>
        <v/>
      </c>
      <c r="F194" s="28">
        <f>IF(C194="aFRR+",power_mw*hours_per_day*damas_afrr_up*capacity_mult_D*stack_capacity*acceptance_rate,power_mw*hours_per_day*damas_afrr_down*capacity_mult_D*stack_capacity*acceptance_rate)</f>
        <v/>
      </c>
      <c r="G194" s="42">
        <f>IF(C194="aFRR+",DAMAS_Daily!I194,DAMAS_Daily!J194)</f>
        <v/>
      </c>
      <c r="H194" s="43">
        <f>IF(C194="aFRR+",DAMAS_Daily!E194,DAMAS_Daily!F194)</f>
        <v/>
      </c>
      <c r="I194" s="43">
        <f>IF(C194="aFRR+",DAMAS_Daily!G194,DAMAS_Daily!H194)</f>
        <v/>
      </c>
      <c r="J194" s="45">
        <f>IF(C194="aFRR+",DAMAS_Daily!C194,DAMAS_Daily!D194)</f>
        <v/>
      </c>
      <c r="K194" s="45">
        <f>IF(C194="aFRR+",MIN(DAMAS_Daily!C194*market_share_D*acceptance_rate*stack_activation,power_mw*hours_per_day,capacity_mwh),MIN(DAMAS_Daily!D194*market_share_D*acceptance_rate*stack_activation,power_mw*hours_per_day,capacity_mwh))</f>
        <v/>
      </c>
      <c r="L194" s="42">
        <f>IF(K194&gt;=capacity_mwh-0.01,"yes","no")</f>
        <v/>
      </c>
      <c r="M194" s="28">
        <f>IF(C194="aFRR+",(MIN(DAMAS_Daily!C194*market_share_D*acceptance_rate*stack_activation,power_mw*hours_per_day,capacity_mwh))*DAMAS_Daily!E194*activation_mult_D,(MIN(DAMAS_Daily!D194*market_share_D*acceptance_rate*stack_activation,power_mw*hours_per_day,capacity_mwh))*DAMAS_Daily!F194*activation_mult_D)</f>
        <v/>
      </c>
      <c r="N194" s="29">
        <f>F194+M194</f>
        <v/>
      </c>
    </row>
    <row r="195">
      <c r="A195" s="41">
        <f>DAMAS_Daily!A195</f>
        <v/>
      </c>
      <c r="B195" s="42">
        <f>DAMAS_Daily!B195</f>
        <v/>
      </c>
      <c r="C195" s="42">
        <f>IF((power_mw*hours_per_day*damas_afrr_up*capacity_mult_D*stack_capacity*acceptance_rate+(MIN(DAMAS_Daily!C195*market_share_D*acceptance_rate*stack_activation,power_mw*hours_per_day,capacity_mwh))*DAMAS_Daily!E195*activation_mult_D)&gt;=(power_mw*hours_per_day*damas_afrr_down*capacity_mult_D*stack_capacity*acceptance_rate+(MIN(DAMAS_Daily!D195*market_share_D*acceptance_rate*stack_activation,power_mw*hours_per_day,capacity_mwh))*DAMAS_Daily!F195*activation_mult_D),"aFRR+","aFRR-")</f>
        <v/>
      </c>
      <c r="D195" s="43">
        <f>IF(C195="aFRR+",damas_afrr_up*capacity_mult_D,damas_afrr_down*capacity_mult_D)</f>
        <v/>
      </c>
      <c r="E195" s="44">
        <f>acceptance_rate</f>
        <v/>
      </c>
      <c r="F195" s="28">
        <f>IF(C195="aFRR+",power_mw*hours_per_day*damas_afrr_up*capacity_mult_D*stack_capacity*acceptance_rate,power_mw*hours_per_day*damas_afrr_down*capacity_mult_D*stack_capacity*acceptance_rate)</f>
        <v/>
      </c>
      <c r="G195" s="42">
        <f>IF(C195="aFRR+",DAMAS_Daily!I195,DAMAS_Daily!J195)</f>
        <v/>
      </c>
      <c r="H195" s="43">
        <f>IF(C195="aFRR+",DAMAS_Daily!E195,DAMAS_Daily!F195)</f>
        <v/>
      </c>
      <c r="I195" s="43">
        <f>IF(C195="aFRR+",DAMAS_Daily!G195,DAMAS_Daily!H195)</f>
        <v/>
      </c>
      <c r="J195" s="45">
        <f>IF(C195="aFRR+",DAMAS_Daily!C195,DAMAS_Daily!D195)</f>
        <v/>
      </c>
      <c r="K195" s="45">
        <f>IF(C195="aFRR+",MIN(DAMAS_Daily!C195*market_share_D*acceptance_rate*stack_activation,power_mw*hours_per_day,capacity_mwh),MIN(DAMAS_Daily!D195*market_share_D*acceptance_rate*stack_activation,power_mw*hours_per_day,capacity_mwh))</f>
        <v/>
      </c>
      <c r="L195" s="42">
        <f>IF(K195&gt;=capacity_mwh-0.01,"yes","no")</f>
        <v/>
      </c>
      <c r="M195" s="28">
        <f>IF(C195="aFRR+",(MIN(DAMAS_Daily!C195*market_share_D*acceptance_rate*stack_activation,power_mw*hours_per_day,capacity_mwh))*DAMAS_Daily!E195*activation_mult_D,(MIN(DAMAS_Daily!D195*market_share_D*acceptance_rate*stack_activation,power_mw*hours_per_day,capacity_mwh))*DAMAS_Daily!F195*activation_mult_D)</f>
        <v/>
      </c>
      <c r="N195" s="29">
        <f>F195+M195</f>
        <v/>
      </c>
    </row>
    <row r="196">
      <c r="A196" s="41">
        <f>DAMAS_Daily!A196</f>
        <v/>
      </c>
      <c r="B196" s="42">
        <f>DAMAS_Daily!B196</f>
        <v/>
      </c>
      <c r="C196" s="42">
        <f>IF((power_mw*hours_per_day*damas_afrr_up*capacity_mult_D*stack_capacity*acceptance_rate+(MIN(DAMAS_Daily!C196*market_share_D*acceptance_rate*stack_activation,power_mw*hours_per_day,capacity_mwh))*DAMAS_Daily!E196*activation_mult_D)&gt;=(power_mw*hours_per_day*damas_afrr_down*capacity_mult_D*stack_capacity*acceptance_rate+(MIN(DAMAS_Daily!D196*market_share_D*acceptance_rate*stack_activation,power_mw*hours_per_day,capacity_mwh))*DAMAS_Daily!F196*activation_mult_D),"aFRR+","aFRR-")</f>
        <v/>
      </c>
      <c r="D196" s="43">
        <f>IF(C196="aFRR+",damas_afrr_up*capacity_mult_D,damas_afrr_down*capacity_mult_D)</f>
        <v/>
      </c>
      <c r="E196" s="44">
        <f>acceptance_rate</f>
        <v/>
      </c>
      <c r="F196" s="28">
        <f>IF(C196="aFRR+",power_mw*hours_per_day*damas_afrr_up*capacity_mult_D*stack_capacity*acceptance_rate,power_mw*hours_per_day*damas_afrr_down*capacity_mult_D*stack_capacity*acceptance_rate)</f>
        <v/>
      </c>
      <c r="G196" s="42">
        <f>IF(C196="aFRR+",DAMAS_Daily!I196,DAMAS_Daily!J196)</f>
        <v/>
      </c>
      <c r="H196" s="43">
        <f>IF(C196="aFRR+",DAMAS_Daily!E196,DAMAS_Daily!F196)</f>
        <v/>
      </c>
      <c r="I196" s="43">
        <f>IF(C196="aFRR+",DAMAS_Daily!G196,DAMAS_Daily!H196)</f>
        <v/>
      </c>
      <c r="J196" s="45">
        <f>IF(C196="aFRR+",DAMAS_Daily!C196,DAMAS_Daily!D196)</f>
        <v/>
      </c>
      <c r="K196" s="45">
        <f>IF(C196="aFRR+",MIN(DAMAS_Daily!C196*market_share_D*acceptance_rate*stack_activation,power_mw*hours_per_day,capacity_mwh),MIN(DAMAS_Daily!D196*market_share_D*acceptance_rate*stack_activation,power_mw*hours_per_day,capacity_mwh))</f>
        <v/>
      </c>
      <c r="L196" s="42">
        <f>IF(K196&gt;=capacity_mwh-0.01,"yes","no")</f>
        <v/>
      </c>
      <c r="M196" s="28">
        <f>IF(C196="aFRR+",(MIN(DAMAS_Daily!C196*market_share_D*acceptance_rate*stack_activation,power_mw*hours_per_day,capacity_mwh))*DAMAS_Daily!E196*activation_mult_D,(MIN(DAMAS_Daily!D196*market_share_D*acceptance_rate*stack_activation,power_mw*hours_per_day,capacity_mwh))*DAMAS_Daily!F196*activation_mult_D)</f>
        <v/>
      </c>
      <c r="N196" s="29">
        <f>F196+M196</f>
        <v/>
      </c>
    </row>
    <row r="197">
      <c r="A197" s="41">
        <f>DAMAS_Daily!A197</f>
        <v/>
      </c>
      <c r="B197" s="42">
        <f>DAMAS_Daily!B197</f>
        <v/>
      </c>
      <c r="C197" s="42">
        <f>IF((power_mw*hours_per_day*damas_afrr_up*capacity_mult_D*stack_capacity*acceptance_rate+(MIN(DAMAS_Daily!C197*market_share_D*acceptance_rate*stack_activation,power_mw*hours_per_day,capacity_mwh))*DAMAS_Daily!E197*activation_mult_D)&gt;=(power_mw*hours_per_day*damas_afrr_down*capacity_mult_D*stack_capacity*acceptance_rate+(MIN(DAMAS_Daily!D197*market_share_D*acceptance_rate*stack_activation,power_mw*hours_per_day,capacity_mwh))*DAMAS_Daily!F197*activation_mult_D),"aFRR+","aFRR-")</f>
        <v/>
      </c>
      <c r="D197" s="43">
        <f>IF(C197="aFRR+",damas_afrr_up*capacity_mult_D,damas_afrr_down*capacity_mult_D)</f>
        <v/>
      </c>
      <c r="E197" s="44">
        <f>acceptance_rate</f>
        <v/>
      </c>
      <c r="F197" s="28">
        <f>IF(C197="aFRR+",power_mw*hours_per_day*damas_afrr_up*capacity_mult_D*stack_capacity*acceptance_rate,power_mw*hours_per_day*damas_afrr_down*capacity_mult_D*stack_capacity*acceptance_rate)</f>
        <v/>
      </c>
      <c r="G197" s="42">
        <f>IF(C197="aFRR+",DAMAS_Daily!I197,DAMAS_Daily!J197)</f>
        <v/>
      </c>
      <c r="H197" s="43">
        <f>IF(C197="aFRR+",DAMAS_Daily!E197,DAMAS_Daily!F197)</f>
        <v/>
      </c>
      <c r="I197" s="43">
        <f>IF(C197="aFRR+",DAMAS_Daily!G197,DAMAS_Daily!H197)</f>
        <v/>
      </c>
      <c r="J197" s="45">
        <f>IF(C197="aFRR+",DAMAS_Daily!C197,DAMAS_Daily!D197)</f>
        <v/>
      </c>
      <c r="K197" s="45">
        <f>IF(C197="aFRR+",MIN(DAMAS_Daily!C197*market_share_D*acceptance_rate*stack_activation,power_mw*hours_per_day,capacity_mwh),MIN(DAMAS_Daily!D197*market_share_D*acceptance_rate*stack_activation,power_mw*hours_per_day,capacity_mwh))</f>
        <v/>
      </c>
      <c r="L197" s="42">
        <f>IF(K197&gt;=capacity_mwh-0.01,"yes","no")</f>
        <v/>
      </c>
      <c r="M197" s="28">
        <f>IF(C197="aFRR+",(MIN(DAMAS_Daily!C197*market_share_D*acceptance_rate*stack_activation,power_mw*hours_per_day,capacity_mwh))*DAMAS_Daily!E197*activation_mult_D,(MIN(DAMAS_Daily!D197*market_share_D*acceptance_rate*stack_activation,power_mw*hours_per_day,capacity_mwh))*DAMAS_Daily!F197*activation_mult_D)</f>
        <v/>
      </c>
      <c r="N197" s="29">
        <f>F197+M197</f>
        <v/>
      </c>
    </row>
    <row r="198">
      <c r="A198" s="41">
        <f>DAMAS_Daily!A198</f>
        <v/>
      </c>
      <c r="B198" s="42">
        <f>DAMAS_Daily!B198</f>
        <v/>
      </c>
      <c r="C198" s="42">
        <f>IF((power_mw*hours_per_day*damas_afrr_up*capacity_mult_D*stack_capacity*acceptance_rate+(MIN(DAMAS_Daily!C198*market_share_D*acceptance_rate*stack_activation,power_mw*hours_per_day,capacity_mwh))*DAMAS_Daily!E198*activation_mult_D)&gt;=(power_mw*hours_per_day*damas_afrr_down*capacity_mult_D*stack_capacity*acceptance_rate+(MIN(DAMAS_Daily!D198*market_share_D*acceptance_rate*stack_activation,power_mw*hours_per_day,capacity_mwh))*DAMAS_Daily!F198*activation_mult_D),"aFRR+","aFRR-")</f>
        <v/>
      </c>
      <c r="D198" s="43">
        <f>IF(C198="aFRR+",damas_afrr_up*capacity_mult_D,damas_afrr_down*capacity_mult_D)</f>
        <v/>
      </c>
      <c r="E198" s="44">
        <f>acceptance_rate</f>
        <v/>
      </c>
      <c r="F198" s="28">
        <f>IF(C198="aFRR+",power_mw*hours_per_day*damas_afrr_up*capacity_mult_D*stack_capacity*acceptance_rate,power_mw*hours_per_day*damas_afrr_down*capacity_mult_D*stack_capacity*acceptance_rate)</f>
        <v/>
      </c>
      <c r="G198" s="42">
        <f>IF(C198="aFRR+",DAMAS_Daily!I198,DAMAS_Daily!J198)</f>
        <v/>
      </c>
      <c r="H198" s="43">
        <f>IF(C198="aFRR+",DAMAS_Daily!E198,DAMAS_Daily!F198)</f>
        <v/>
      </c>
      <c r="I198" s="43">
        <f>IF(C198="aFRR+",DAMAS_Daily!G198,DAMAS_Daily!H198)</f>
        <v/>
      </c>
      <c r="J198" s="45">
        <f>IF(C198="aFRR+",DAMAS_Daily!C198,DAMAS_Daily!D198)</f>
        <v/>
      </c>
      <c r="K198" s="45">
        <f>IF(C198="aFRR+",MIN(DAMAS_Daily!C198*market_share_D*acceptance_rate*stack_activation,power_mw*hours_per_day,capacity_mwh),MIN(DAMAS_Daily!D198*market_share_D*acceptance_rate*stack_activation,power_mw*hours_per_day,capacity_mwh))</f>
        <v/>
      </c>
      <c r="L198" s="42">
        <f>IF(K198&gt;=capacity_mwh-0.01,"yes","no")</f>
        <v/>
      </c>
      <c r="M198" s="28">
        <f>IF(C198="aFRR+",(MIN(DAMAS_Daily!C198*market_share_D*acceptance_rate*stack_activation,power_mw*hours_per_day,capacity_mwh))*DAMAS_Daily!E198*activation_mult_D,(MIN(DAMAS_Daily!D198*market_share_D*acceptance_rate*stack_activation,power_mw*hours_per_day,capacity_mwh))*DAMAS_Daily!F198*activation_mult_D)</f>
        <v/>
      </c>
      <c r="N198" s="29">
        <f>F198+M198</f>
        <v/>
      </c>
    </row>
    <row r="199">
      <c r="A199" s="41">
        <f>DAMAS_Daily!A199</f>
        <v/>
      </c>
      <c r="B199" s="42">
        <f>DAMAS_Daily!B199</f>
        <v/>
      </c>
      <c r="C199" s="42">
        <f>IF((power_mw*hours_per_day*damas_afrr_up*capacity_mult_D*stack_capacity*acceptance_rate+(MIN(DAMAS_Daily!C199*market_share_D*acceptance_rate*stack_activation,power_mw*hours_per_day,capacity_mwh))*DAMAS_Daily!E199*activation_mult_D)&gt;=(power_mw*hours_per_day*damas_afrr_down*capacity_mult_D*stack_capacity*acceptance_rate+(MIN(DAMAS_Daily!D199*market_share_D*acceptance_rate*stack_activation,power_mw*hours_per_day,capacity_mwh))*DAMAS_Daily!F199*activation_mult_D),"aFRR+","aFRR-")</f>
        <v/>
      </c>
      <c r="D199" s="43">
        <f>IF(C199="aFRR+",damas_afrr_up*capacity_mult_D,damas_afrr_down*capacity_mult_D)</f>
        <v/>
      </c>
      <c r="E199" s="44">
        <f>acceptance_rate</f>
        <v/>
      </c>
      <c r="F199" s="28">
        <f>IF(C199="aFRR+",power_mw*hours_per_day*damas_afrr_up*capacity_mult_D*stack_capacity*acceptance_rate,power_mw*hours_per_day*damas_afrr_down*capacity_mult_D*stack_capacity*acceptance_rate)</f>
        <v/>
      </c>
      <c r="G199" s="42">
        <f>IF(C199="aFRR+",DAMAS_Daily!I199,DAMAS_Daily!J199)</f>
        <v/>
      </c>
      <c r="H199" s="43">
        <f>IF(C199="aFRR+",DAMAS_Daily!E199,DAMAS_Daily!F199)</f>
        <v/>
      </c>
      <c r="I199" s="43">
        <f>IF(C199="aFRR+",DAMAS_Daily!G199,DAMAS_Daily!H199)</f>
        <v/>
      </c>
      <c r="J199" s="45">
        <f>IF(C199="aFRR+",DAMAS_Daily!C199,DAMAS_Daily!D199)</f>
        <v/>
      </c>
      <c r="K199" s="45">
        <f>IF(C199="aFRR+",MIN(DAMAS_Daily!C199*market_share_D*acceptance_rate*stack_activation,power_mw*hours_per_day,capacity_mwh),MIN(DAMAS_Daily!D199*market_share_D*acceptance_rate*stack_activation,power_mw*hours_per_day,capacity_mwh))</f>
        <v/>
      </c>
      <c r="L199" s="42">
        <f>IF(K199&gt;=capacity_mwh-0.01,"yes","no")</f>
        <v/>
      </c>
      <c r="M199" s="28">
        <f>IF(C199="aFRR+",(MIN(DAMAS_Daily!C199*market_share_D*acceptance_rate*stack_activation,power_mw*hours_per_day,capacity_mwh))*DAMAS_Daily!E199*activation_mult_D,(MIN(DAMAS_Daily!D199*market_share_D*acceptance_rate*stack_activation,power_mw*hours_per_day,capacity_mwh))*DAMAS_Daily!F199*activation_mult_D)</f>
        <v/>
      </c>
      <c r="N199" s="29">
        <f>F199+M199</f>
        <v/>
      </c>
    </row>
    <row r="200">
      <c r="A200" s="41">
        <f>DAMAS_Daily!A200</f>
        <v/>
      </c>
      <c r="B200" s="42">
        <f>DAMAS_Daily!B200</f>
        <v/>
      </c>
      <c r="C200" s="42">
        <f>IF((power_mw*hours_per_day*damas_afrr_up*capacity_mult_D*stack_capacity*acceptance_rate+(MIN(DAMAS_Daily!C200*market_share_D*acceptance_rate*stack_activation,power_mw*hours_per_day,capacity_mwh))*DAMAS_Daily!E200*activation_mult_D)&gt;=(power_mw*hours_per_day*damas_afrr_down*capacity_mult_D*stack_capacity*acceptance_rate+(MIN(DAMAS_Daily!D200*market_share_D*acceptance_rate*stack_activation,power_mw*hours_per_day,capacity_mwh))*DAMAS_Daily!F200*activation_mult_D),"aFRR+","aFRR-")</f>
        <v/>
      </c>
      <c r="D200" s="43">
        <f>IF(C200="aFRR+",damas_afrr_up*capacity_mult_D,damas_afrr_down*capacity_mult_D)</f>
        <v/>
      </c>
      <c r="E200" s="44">
        <f>acceptance_rate</f>
        <v/>
      </c>
      <c r="F200" s="28">
        <f>IF(C200="aFRR+",power_mw*hours_per_day*damas_afrr_up*capacity_mult_D*stack_capacity*acceptance_rate,power_mw*hours_per_day*damas_afrr_down*capacity_mult_D*stack_capacity*acceptance_rate)</f>
        <v/>
      </c>
      <c r="G200" s="42">
        <f>IF(C200="aFRR+",DAMAS_Daily!I200,DAMAS_Daily!J200)</f>
        <v/>
      </c>
      <c r="H200" s="43">
        <f>IF(C200="aFRR+",DAMAS_Daily!E200,DAMAS_Daily!F200)</f>
        <v/>
      </c>
      <c r="I200" s="43">
        <f>IF(C200="aFRR+",DAMAS_Daily!G200,DAMAS_Daily!H200)</f>
        <v/>
      </c>
      <c r="J200" s="45">
        <f>IF(C200="aFRR+",DAMAS_Daily!C200,DAMAS_Daily!D200)</f>
        <v/>
      </c>
      <c r="K200" s="45">
        <f>IF(C200="aFRR+",MIN(DAMAS_Daily!C200*market_share_D*acceptance_rate*stack_activation,power_mw*hours_per_day,capacity_mwh),MIN(DAMAS_Daily!D200*market_share_D*acceptance_rate*stack_activation,power_mw*hours_per_day,capacity_mwh))</f>
        <v/>
      </c>
      <c r="L200" s="42">
        <f>IF(K200&gt;=capacity_mwh-0.01,"yes","no")</f>
        <v/>
      </c>
      <c r="M200" s="28">
        <f>IF(C200="aFRR+",(MIN(DAMAS_Daily!C200*market_share_D*acceptance_rate*stack_activation,power_mw*hours_per_day,capacity_mwh))*DAMAS_Daily!E200*activation_mult_D,(MIN(DAMAS_Daily!D200*market_share_D*acceptance_rate*stack_activation,power_mw*hours_per_day,capacity_mwh))*DAMAS_Daily!F200*activation_mult_D)</f>
        <v/>
      </c>
      <c r="N200" s="29">
        <f>F200+M200</f>
        <v/>
      </c>
    </row>
    <row r="201">
      <c r="A201" s="41">
        <f>DAMAS_Daily!A201</f>
        <v/>
      </c>
      <c r="B201" s="42">
        <f>DAMAS_Daily!B201</f>
        <v/>
      </c>
      <c r="C201" s="42">
        <f>IF((power_mw*hours_per_day*damas_afrr_up*capacity_mult_D*stack_capacity*acceptance_rate+(MIN(DAMAS_Daily!C201*market_share_D*acceptance_rate*stack_activation,power_mw*hours_per_day,capacity_mwh))*DAMAS_Daily!E201*activation_mult_D)&gt;=(power_mw*hours_per_day*damas_afrr_down*capacity_mult_D*stack_capacity*acceptance_rate+(MIN(DAMAS_Daily!D201*market_share_D*acceptance_rate*stack_activation,power_mw*hours_per_day,capacity_mwh))*DAMAS_Daily!F201*activation_mult_D),"aFRR+","aFRR-")</f>
        <v/>
      </c>
      <c r="D201" s="43">
        <f>IF(C201="aFRR+",damas_afrr_up*capacity_mult_D,damas_afrr_down*capacity_mult_D)</f>
        <v/>
      </c>
      <c r="E201" s="44">
        <f>acceptance_rate</f>
        <v/>
      </c>
      <c r="F201" s="28">
        <f>IF(C201="aFRR+",power_mw*hours_per_day*damas_afrr_up*capacity_mult_D*stack_capacity*acceptance_rate,power_mw*hours_per_day*damas_afrr_down*capacity_mult_D*stack_capacity*acceptance_rate)</f>
        <v/>
      </c>
      <c r="G201" s="42">
        <f>IF(C201="aFRR+",DAMAS_Daily!I201,DAMAS_Daily!J201)</f>
        <v/>
      </c>
      <c r="H201" s="43">
        <f>IF(C201="aFRR+",DAMAS_Daily!E201,DAMAS_Daily!F201)</f>
        <v/>
      </c>
      <c r="I201" s="43">
        <f>IF(C201="aFRR+",DAMAS_Daily!G201,DAMAS_Daily!H201)</f>
        <v/>
      </c>
      <c r="J201" s="45">
        <f>IF(C201="aFRR+",DAMAS_Daily!C201,DAMAS_Daily!D201)</f>
        <v/>
      </c>
      <c r="K201" s="45">
        <f>IF(C201="aFRR+",MIN(DAMAS_Daily!C201*market_share_D*acceptance_rate*stack_activation,power_mw*hours_per_day,capacity_mwh),MIN(DAMAS_Daily!D201*market_share_D*acceptance_rate*stack_activation,power_mw*hours_per_day,capacity_mwh))</f>
        <v/>
      </c>
      <c r="L201" s="42">
        <f>IF(K201&gt;=capacity_mwh-0.01,"yes","no")</f>
        <v/>
      </c>
      <c r="M201" s="28">
        <f>IF(C201="aFRR+",(MIN(DAMAS_Daily!C201*market_share_D*acceptance_rate*stack_activation,power_mw*hours_per_day,capacity_mwh))*DAMAS_Daily!E201*activation_mult_D,(MIN(DAMAS_Daily!D201*market_share_D*acceptance_rate*stack_activation,power_mw*hours_per_day,capacity_mwh))*DAMAS_Daily!F201*activation_mult_D)</f>
        <v/>
      </c>
      <c r="N201" s="29">
        <f>F201+M201</f>
        <v/>
      </c>
    </row>
    <row r="202">
      <c r="A202" s="41">
        <f>DAMAS_Daily!A202</f>
        <v/>
      </c>
      <c r="B202" s="42">
        <f>DAMAS_Daily!B202</f>
        <v/>
      </c>
      <c r="C202" s="42">
        <f>IF((power_mw*hours_per_day*damas_afrr_up*capacity_mult_D*stack_capacity*acceptance_rate+(MIN(DAMAS_Daily!C202*market_share_D*acceptance_rate*stack_activation,power_mw*hours_per_day,capacity_mwh))*DAMAS_Daily!E202*activation_mult_D)&gt;=(power_mw*hours_per_day*damas_afrr_down*capacity_mult_D*stack_capacity*acceptance_rate+(MIN(DAMAS_Daily!D202*market_share_D*acceptance_rate*stack_activation,power_mw*hours_per_day,capacity_mwh))*DAMAS_Daily!F202*activation_mult_D),"aFRR+","aFRR-")</f>
        <v/>
      </c>
      <c r="D202" s="43">
        <f>IF(C202="aFRR+",damas_afrr_up*capacity_mult_D,damas_afrr_down*capacity_mult_D)</f>
        <v/>
      </c>
      <c r="E202" s="44">
        <f>acceptance_rate</f>
        <v/>
      </c>
      <c r="F202" s="28">
        <f>IF(C202="aFRR+",power_mw*hours_per_day*damas_afrr_up*capacity_mult_D*stack_capacity*acceptance_rate,power_mw*hours_per_day*damas_afrr_down*capacity_mult_D*stack_capacity*acceptance_rate)</f>
        <v/>
      </c>
      <c r="G202" s="42">
        <f>IF(C202="aFRR+",DAMAS_Daily!I202,DAMAS_Daily!J202)</f>
        <v/>
      </c>
      <c r="H202" s="43">
        <f>IF(C202="aFRR+",DAMAS_Daily!E202,DAMAS_Daily!F202)</f>
        <v/>
      </c>
      <c r="I202" s="43">
        <f>IF(C202="aFRR+",DAMAS_Daily!G202,DAMAS_Daily!H202)</f>
        <v/>
      </c>
      <c r="J202" s="45">
        <f>IF(C202="aFRR+",DAMAS_Daily!C202,DAMAS_Daily!D202)</f>
        <v/>
      </c>
      <c r="K202" s="45">
        <f>IF(C202="aFRR+",MIN(DAMAS_Daily!C202*market_share_D*acceptance_rate*stack_activation,power_mw*hours_per_day,capacity_mwh),MIN(DAMAS_Daily!D202*market_share_D*acceptance_rate*stack_activation,power_mw*hours_per_day,capacity_mwh))</f>
        <v/>
      </c>
      <c r="L202" s="42">
        <f>IF(K202&gt;=capacity_mwh-0.01,"yes","no")</f>
        <v/>
      </c>
      <c r="M202" s="28">
        <f>IF(C202="aFRR+",(MIN(DAMAS_Daily!C202*market_share_D*acceptance_rate*stack_activation,power_mw*hours_per_day,capacity_mwh))*DAMAS_Daily!E202*activation_mult_D,(MIN(DAMAS_Daily!D202*market_share_D*acceptance_rate*stack_activation,power_mw*hours_per_day,capacity_mwh))*DAMAS_Daily!F202*activation_mult_D)</f>
        <v/>
      </c>
      <c r="N202" s="29">
        <f>F202+M202</f>
        <v/>
      </c>
    </row>
    <row r="203">
      <c r="A203" s="41">
        <f>DAMAS_Daily!A203</f>
        <v/>
      </c>
      <c r="B203" s="42">
        <f>DAMAS_Daily!B203</f>
        <v/>
      </c>
      <c r="C203" s="42">
        <f>IF((power_mw*hours_per_day*damas_afrr_up*capacity_mult_D*stack_capacity*acceptance_rate+(MIN(DAMAS_Daily!C203*market_share_D*acceptance_rate*stack_activation,power_mw*hours_per_day,capacity_mwh))*DAMAS_Daily!E203*activation_mult_D)&gt;=(power_mw*hours_per_day*damas_afrr_down*capacity_mult_D*stack_capacity*acceptance_rate+(MIN(DAMAS_Daily!D203*market_share_D*acceptance_rate*stack_activation,power_mw*hours_per_day,capacity_mwh))*DAMAS_Daily!F203*activation_mult_D),"aFRR+","aFRR-")</f>
        <v/>
      </c>
      <c r="D203" s="43">
        <f>IF(C203="aFRR+",damas_afrr_up*capacity_mult_D,damas_afrr_down*capacity_mult_D)</f>
        <v/>
      </c>
      <c r="E203" s="44">
        <f>acceptance_rate</f>
        <v/>
      </c>
      <c r="F203" s="28">
        <f>IF(C203="aFRR+",power_mw*hours_per_day*damas_afrr_up*capacity_mult_D*stack_capacity*acceptance_rate,power_mw*hours_per_day*damas_afrr_down*capacity_mult_D*stack_capacity*acceptance_rate)</f>
        <v/>
      </c>
      <c r="G203" s="42">
        <f>IF(C203="aFRR+",DAMAS_Daily!I203,DAMAS_Daily!J203)</f>
        <v/>
      </c>
      <c r="H203" s="43">
        <f>IF(C203="aFRR+",DAMAS_Daily!E203,DAMAS_Daily!F203)</f>
        <v/>
      </c>
      <c r="I203" s="43">
        <f>IF(C203="aFRR+",DAMAS_Daily!G203,DAMAS_Daily!H203)</f>
        <v/>
      </c>
      <c r="J203" s="45">
        <f>IF(C203="aFRR+",DAMAS_Daily!C203,DAMAS_Daily!D203)</f>
        <v/>
      </c>
      <c r="K203" s="45">
        <f>IF(C203="aFRR+",MIN(DAMAS_Daily!C203*market_share_D*acceptance_rate*stack_activation,power_mw*hours_per_day,capacity_mwh),MIN(DAMAS_Daily!D203*market_share_D*acceptance_rate*stack_activation,power_mw*hours_per_day,capacity_mwh))</f>
        <v/>
      </c>
      <c r="L203" s="42">
        <f>IF(K203&gt;=capacity_mwh-0.01,"yes","no")</f>
        <v/>
      </c>
      <c r="M203" s="28">
        <f>IF(C203="aFRR+",(MIN(DAMAS_Daily!C203*market_share_D*acceptance_rate*stack_activation,power_mw*hours_per_day,capacity_mwh))*DAMAS_Daily!E203*activation_mult_D,(MIN(DAMAS_Daily!D203*market_share_D*acceptance_rate*stack_activation,power_mw*hours_per_day,capacity_mwh))*DAMAS_Daily!F203*activation_mult_D)</f>
        <v/>
      </c>
      <c r="N203" s="29">
        <f>F203+M203</f>
        <v/>
      </c>
    </row>
    <row r="204">
      <c r="A204" s="41">
        <f>DAMAS_Daily!A204</f>
        <v/>
      </c>
      <c r="B204" s="42">
        <f>DAMAS_Daily!B204</f>
        <v/>
      </c>
      <c r="C204" s="42">
        <f>IF((power_mw*hours_per_day*damas_afrr_up*capacity_mult_D*stack_capacity*acceptance_rate+(MIN(DAMAS_Daily!C204*market_share_D*acceptance_rate*stack_activation,power_mw*hours_per_day,capacity_mwh))*DAMAS_Daily!E204*activation_mult_D)&gt;=(power_mw*hours_per_day*damas_afrr_down*capacity_mult_D*stack_capacity*acceptance_rate+(MIN(DAMAS_Daily!D204*market_share_D*acceptance_rate*stack_activation,power_mw*hours_per_day,capacity_mwh))*DAMAS_Daily!F204*activation_mult_D),"aFRR+","aFRR-")</f>
        <v/>
      </c>
      <c r="D204" s="43">
        <f>IF(C204="aFRR+",damas_afrr_up*capacity_mult_D,damas_afrr_down*capacity_mult_D)</f>
        <v/>
      </c>
      <c r="E204" s="44">
        <f>acceptance_rate</f>
        <v/>
      </c>
      <c r="F204" s="28">
        <f>IF(C204="aFRR+",power_mw*hours_per_day*damas_afrr_up*capacity_mult_D*stack_capacity*acceptance_rate,power_mw*hours_per_day*damas_afrr_down*capacity_mult_D*stack_capacity*acceptance_rate)</f>
        <v/>
      </c>
      <c r="G204" s="42">
        <f>IF(C204="aFRR+",DAMAS_Daily!I204,DAMAS_Daily!J204)</f>
        <v/>
      </c>
      <c r="H204" s="43">
        <f>IF(C204="aFRR+",DAMAS_Daily!E204,DAMAS_Daily!F204)</f>
        <v/>
      </c>
      <c r="I204" s="43">
        <f>IF(C204="aFRR+",DAMAS_Daily!G204,DAMAS_Daily!H204)</f>
        <v/>
      </c>
      <c r="J204" s="45">
        <f>IF(C204="aFRR+",DAMAS_Daily!C204,DAMAS_Daily!D204)</f>
        <v/>
      </c>
      <c r="K204" s="45">
        <f>IF(C204="aFRR+",MIN(DAMAS_Daily!C204*market_share_D*acceptance_rate*stack_activation,power_mw*hours_per_day,capacity_mwh),MIN(DAMAS_Daily!D204*market_share_D*acceptance_rate*stack_activation,power_mw*hours_per_day,capacity_mwh))</f>
        <v/>
      </c>
      <c r="L204" s="42">
        <f>IF(K204&gt;=capacity_mwh-0.01,"yes","no")</f>
        <v/>
      </c>
      <c r="M204" s="28">
        <f>IF(C204="aFRR+",(MIN(DAMAS_Daily!C204*market_share_D*acceptance_rate*stack_activation,power_mw*hours_per_day,capacity_mwh))*DAMAS_Daily!E204*activation_mult_D,(MIN(DAMAS_Daily!D204*market_share_D*acceptance_rate*stack_activation,power_mw*hours_per_day,capacity_mwh))*DAMAS_Daily!F204*activation_mult_D)</f>
        <v/>
      </c>
      <c r="N204" s="29">
        <f>F204+M204</f>
        <v/>
      </c>
    </row>
    <row r="205">
      <c r="A205" s="41">
        <f>DAMAS_Daily!A205</f>
        <v/>
      </c>
      <c r="B205" s="42">
        <f>DAMAS_Daily!B205</f>
        <v/>
      </c>
      <c r="C205" s="42">
        <f>IF((power_mw*hours_per_day*damas_afrr_up*capacity_mult_D*stack_capacity*acceptance_rate+(MIN(DAMAS_Daily!C205*market_share_D*acceptance_rate*stack_activation,power_mw*hours_per_day,capacity_mwh))*DAMAS_Daily!E205*activation_mult_D)&gt;=(power_mw*hours_per_day*damas_afrr_down*capacity_mult_D*stack_capacity*acceptance_rate+(MIN(DAMAS_Daily!D205*market_share_D*acceptance_rate*stack_activation,power_mw*hours_per_day,capacity_mwh))*DAMAS_Daily!F205*activation_mult_D),"aFRR+","aFRR-")</f>
        <v/>
      </c>
      <c r="D205" s="43">
        <f>IF(C205="aFRR+",damas_afrr_up*capacity_mult_D,damas_afrr_down*capacity_mult_D)</f>
        <v/>
      </c>
      <c r="E205" s="44">
        <f>acceptance_rate</f>
        <v/>
      </c>
      <c r="F205" s="28">
        <f>IF(C205="aFRR+",power_mw*hours_per_day*damas_afrr_up*capacity_mult_D*stack_capacity*acceptance_rate,power_mw*hours_per_day*damas_afrr_down*capacity_mult_D*stack_capacity*acceptance_rate)</f>
        <v/>
      </c>
      <c r="G205" s="42">
        <f>IF(C205="aFRR+",DAMAS_Daily!I205,DAMAS_Daily!J205)</f>
        <v/>
      </c>
      <c r="H205" s="43">
        <f>IF(C205="aFRR+",DAMAS_Daily!E205,DAMAS_Daily!F205)</f>
        <v/>
      </c>
      <c r="I205" s="43">
        <f>IF(C205="aFRR+",DAMAS_Daily!G205,DAMAS_Daily!H205)</f>
        <v/>
      </c>
      <c r="J205" s="45">
        <f>IF(C205="aFRR+",DAMAS_Daily!C205,DAMAS_Daily!D205)</f>
        <v/>
      </c>
      <c r="K205" s="45">
        <f>IF(C205="aFRR+",MIN(DAMAS_Daily!C205*market_share_D*acceptance_rate*stack_activation,power_mw*hours_per_day,capacity_mwh),MIN(DAMAS_Daily!D205*market_share_D*acceptance_rate*stack_activation,power_mw*hours_per_day,capacity_mwh))</f>
        <v/>
      </c>
      <c r="L205" s="42">
        <f>IF(K205&gt;=capacity_mwh-0.01,"yes","no")</f>
        <v/>
      </c>
      <c r="M205" s="28">
        <f>IF(C205="aFRR+",(MIN(DAMAS_Daily!C205*market_share_D*acceptance_rate*stack_activation,power_mw*hours_per_day,capacity_mwh))*DAMAS_Daily!E205*activation_mult_D,(MIN(DAMAS_Daily!D205*market_share_D*acceptance_rate*stack_activation,power_mw*hours_per_day,capacity_mwh))*DAMAS_Daily!F205*activation_mult_D)</f>
        <v/>
      </c>
      <c r="N205" s="29">
        <f>F205+M205</f>
        <v/>
      </c>
    </row>
    <row r="206">
      <c r="A206" s="41">
        <f>DAMAS_Daily!A206</f>
        <v/>
      </c>
      <c r="B206" s="42">
        <f>DAMAS_Daily!B206</f>
        <v/>
      </c>
      <c r="C206" s="42">
        <f>IF((power_mw*hours_per_day*damas_afrr_up*capacity_mult_D*stack_capacity*acceptance_rate+(MIN(DAMAS_Daily!C206*market_share_D*acceptance_rate*stack_activation,power_mw*hours_per_day,capacity_mwh))*DAMAS_Daily!E206*activation_mult_D)&gt;=(power_mw*hours_per_day*damas_afrr_down*capacity_mult_D*stack_capacity*acceptance_rate+(MIN(DAMAS_Daily!D206*market_share_D*acceptance_rate*stack_activation,power_mw*hours_per_day,capacity_mwh))*DAMAS_Daily!F206*activation_mult_D),"aFRR+","aFRR-")</f>
        <v/>
      </c>
      <c r="D206" s="43">
        <f>IF(C206="aFRR+",damas_afrr_up*capacity_mult_D,damas_afrr_down*capacity_mult_D)</f>
        <v/>
      </c>
      <c r="E206" s="44">
        <f>acceptance_rate</f>
        <v/>
      </c>
      <c r="F206" s="28">
        <f>IF(C206="aFRR+",power_mw*hours_per_day*damas_afrr_up*capacity_mult_D*stack_capacity*acceptance_rate,power_mw*hours_per_day*damas_afrr_down*capacity_mult_D*stack_capacity*acceptance_rate)</f>
        <v/>
      </c>
      <c r="G206" s="42">
        <f>IF(C206="aFRR+",DAMAS_Daily!I206,DAMAS_Daily!J206)</f>
        <v/>
      </c>
      <c r="H206" s="43">
        <f>IF(C206="aFRR+",DAMAS_Daily!E206,DAMAS_Daily!F206)</f>
        <v/>
      </c>
      <c r="I206" s="43">
        <f>IF(C206="aFRR+",DAMAS_Daily!G206,DAMAS_Daily!H206)</f>
        <v/>
      </c>
      <c r="J206" s="45">
        <f>IF(C206="aFRR+",DAMAS_Daily!C206,DAMAS_Daily!D206)</f>
        <v/>
      </c>
      <c r="K206" s="45">
        <f>IF(C206="aFRR+",MIN(DAMAS_Daily!C206*market_share_D*acceptance_rate*stack_activation,power_mw*hours_per_day,capacity_mwh),MIN(DAMAS_Daily!D206*market_share_D*acceptance_rate*stack_activation,power_mw*hours_per_day,capacity_mwh))</f>
        <v/>
      </c>
      <c r="L206" s="42">
        <f>IF(K206&gt;=capacity_mwh-0.01,"yes","no")</f>
        <v/>
      </c>
      <c r="M206" s="28">
        <f>IF(C206="aFRR+",(MIN(DAMAS_Daily!C206*market_share_D*acceptance_rate*stack_activation,power_mw*hours_per_day,capacity_mwh))*DAMAS_Daily!E206*activation_mult_D,(MIN(DAMAS_Daily!D206*market_share_D*acceptance_rate*stack_activation,power_mw*hours_per_day,capacity_mwh))*DAMAS_Daily!F206*activation_mult_D)</f>
        <v/>
      </c>
      <c r="N206" s="29">
        <f>F206+M206</f>
        <v/>
      </c>
    </row>
    <row r="207">
      <c r="A207" s="41">
        <f>DAMAS_Daily!A207</f>
        <v/>
      </c>
      <c r="B207" s="42">
        <f>DAMAS_Daily!B207</f>
        <v/>
      </c>
      <c r="C207" s="42">
        <f>IF((power_mw*hours_per_day*damas_afrr_up*capacity_mult_D*stack_capacity*acceptance_rate+(MIN(DAMAS_Daily!C207*market_share_D*acceptance_rate*stack_activation,power_mw*hours_per_day,capacity_mwh))*DAMAS_Daily!E207*activation_mult_D)&gt;=(power_mw*hours_per_day*damas_afrr_down*capacity_mult_D*stack_capacity*acceptance_rate+(MIN(DAMAS_Daily!D207*market_share_D*acceptance_rate*stack_activation,power_mw*hours_per_day,capacity_mwh))*DAMAS_Daily!F207*activation_mult_D),"aFRR+","aFRR-")</f>
        <v/>
      </c>
      <c r="D207" s="43">
        <f>IF(C207="aFRR+",damas_afrr_up*capacity_mult_D,damas_afrr_down*capacity_mult_D)</f>
        <v/>
      </c>
      <c r="E207" s="44">
        <f>acceptance_rate</f>
        <v/>
      </c>
      <c r="F207" s="28">
        <f>IF(C207="aFRR+",power_mw*hours_per_day*damas_afrr_up*capacity_mult_D*stack_capacity*acceptance_rate,power_mw*hours_per_day*damas_afrr_down*capacity_mult_D*stack_capacity*acceptance_rate)</f>
        <v/>
      </c>
      <c r="G207" s="42">
        <f>IF(C207="aFRR+",DAMAS_Daily!I207,DAMAS_Daily!J207)</f>
        <v/>
      </c>
      <c r="H207" s="43">
        <f>IF(C207="aFRR+",DAMAS_Daily!E207,DAMAS_Daily!F207)</f>
        <v/>
      </c>
      <c r="I207" s="43">
        <f>IF(C207="aFRR+",DAMAS_Daily!G207,DAMAS_Daily!H207)</f>
        <v/>
      </c>
      <c r="J207" s="45">
        <f>IF(C207="aFRR+",DAMAS_Daily!C207,DAMAS_Daily!D207)</f>
        <v/>
      </c>
      <c r="K207" s="45">
        <f>IF(C207="aFRR+",MIN(DAMAS_Daily!C207*market_share_D*acceptance_rate*stack_activation,power_mw*hours_per_day,capacity_mwh),MIN(DAMAS_Daily!D207*market_share_D*acceptance_rate*stack_activation,power_mw*hours_per_day,capacity_mwh))</f>
        <v/>
      </c>
      <c r="L207" s="42">
        <f>IF(K207&gt;=capacity_mwh-0.01,"yes","no")</f>
        <v/>
      </c>
      <c r="M207" s="28">
        <f>IF(C207="aFRR+",(MIN(DAMAS_Daily!C207*market_share_D*acceptance_rate*stack_activation,power_mw*hours_per_day,capacity_mwh))*DAMAS_Daily!E207*activation_mult_D,(MIN(DAMAS_Daily!D207*market_share_D*acceptance_rate*stack_activation,power_mw*hours_per_day,capacity_mwh))*DAMAS_Daily!F207*activation_mult_D)</f>
        <v/>
      </c>
      <c r="N207" s="29">
        <f>F207+M207</f>
        <v/>
      </c>
    </row>
    <row r="208">
      <c r="A208" s="41">
        <f>DAMAS_Daily!A208</f>
        <v/>
      </c>
      <c r="B208" s="42">
        <f>DAMAS_Daily!B208</f>
        <v/>
      </c>
      <c r="C208" s="42">
        <f>IF((power_mw*hours_per_day*damas_afrr_up*capacity_mult_D*stack_capacity*acceptance_rate+(MIN(DAMAS_Daily!C208*market_share_D*acceptance_rate*stack_activation,power_mw*hours_per_day,capacity_mwh))*DAMAS_Daily!E208*activation_mult_D)&gt;=(power_mw*hours_per_day*damas_afrr_down*capacity_mult_D*stack_capacity*acceptance_rate+(MIN(DAMAS_Daily!D208*market_share_D*acceptance_rate*stack_activation,power_mw*hours_per_day,capacity_mwh))*DAMAS_Daily!F208*activation_mult_D),"aFRR+","aFRR-")</f>
        <v/>
      </c>
      <c r="D208" s="43">
        <f>IF(C208="aFRR+",damas_afrr_up*capacity_mult_D,damas_afrr_down*capacity_mult_D)</f>
        <v/>
      </c>
      <c r="E208" s="44">
        <f>acceptance_rate</f>
        <v/>
      </c>
      <c r="F208" s="28">
        <f>IF(C208="aFRR+",power_mw*hours_per_day*damas_afrr_up*capacity_mult_D*stack_capacity*acceptance_rate,power_mw*hours_per_day*damas_afrr_down*capacity_mult_D*stack_capacity*acceptance_rate)</f>
        <v/>
      </c>
      <c r="G208" s="42">
        <f>IF(C208="aFRR+",DAMAS_Daily!I208,DAMAS_Daily!J208)</f>
        <v/>
      </c>
      <c r="H208" s="43">
        <f>IF(C208="aFRR+",DAMAS_Daily!E208,DAMAS_Daily!F208)</f>
        <v/>
      </c>
      <c r="I208" s="43">
        <f>IF(C208="aFRR+",DAMAS_Daily!G208,DAMAS_Daily!H208)</f>
        <v/>
      </c>
      <c r="J208" s="45">
        <f>IF(C208="aFRR+",DAMAS_Daily!C208,DAMAS_Daily!D208)</f>
        <v/>
      </c>
      <c r="K208" s="45">
        <f>IF(C208="aFRR+",MIN(DAMAS_Daily!C208*market_share_D*acceptance_rate*stack_activation,power_mw*hours_per_day,capacity_mwh),MIN(DAMAS_Daily!D208*market_share_D*acceptance_rate*stack_activation,power_mw*hours_per_day,capacity_mwh))</f>
        <v/>
      </c>
      <c r="L208" s="42">
        <f>IF(K208&gt;=capacity_mwh-0.01,"yes","no")</f>
        <v/>
      </c>
      <c r="M208" s="28">
        <f>IF(C208="aFRR+",(MIN(DAMAS_Daily!C208*market_share_D*acceptance_rate*stack_activation,power_mw*hours_per_day,capacity_mwh))*DAMAS_Daily!E208*activation_mult_D,(MIN(DAMAS_Daily!D208*market_share_D*acceptance_rate*stack_activation,power_mw*hours_per_day,capacity_mwh))*DAMAS_Daily!F208*activation_mult_D)</f>
        <v/>
      </c>
      <c r="N208" s="29">
        <f>F208+M208</f>
        <v/>
      </c>
    </row>
    <row r="209">
      <c r="A209" s="41">
        <f>DAMAS_Daily!A209</f>
        <v/>
      </c>
      <c r="B209" s="42">
        <f>DAMAS_Daily!B209</f>
        <v/>
      </c>
      <c r="C209" s="42">
        <f>IF((power_mw*hours_per_day*damas_afrr_up*capacity_mult_D*stack_capacity*acceptance_rate+(MIN(DAMAS_Daily!C209*market_share_D*acceptance_rate*stack_activation,power_mw*hours_per_day,capacity_mwh))*DAMAS_Daily!E209*activation_mult_D)&gt;=(power_mw*hours_per_day*damas_afrr_down*capacity_mult_D*stack_capacity*acceptance_rate+(MIN(DAMAS_Daily!D209*market_share_D*acceptance_rate*stack_activation,power_mw*hours_per_day,capacity_mwh))*DAMAS_Daily!F209*activation_mult_D),"aFRR+","aFRR-")</f>
        <v/>
      </c>
      <c r="D209" s="43">
        <f>IF(C209="aFRR+",damas_afrr_up*capacity_mult_D,damas_afrr_down*capacity_mult_D)</f>
        <v/>
      </c>
      <c r="E209" s="44">
        <f>acceptance_rate</f>
        <v/>
      </c>
      <c r="F209" s="28">
        <f>IF(C209="aFRR+",power_mw*hours_per_day*damas_afrr_up*capacity_mult_D*stack_capacity*acceptance_rate,power_mw*hours_per_day*damas_afrr_down*capacity_mult_D*stack_capacity*acceptance_rate)</f>
        <v/>
      </c>
      <c r="G209" s="42">
        <f>IF(C209="aFRR+",DAMAS_Daily!I209,DAMAS_Daily!J209)</f>
        <v/>
      </c>
      <c r="H209" s="43">
        <f>IF(C209="aFRR+",DAMAS_Daily!E209,DAMAS_Daily!F209)</f>
        <v/>
      </c>
      <c r="I209" s="43">
        <f>IF(C209="aFRR+",DAMAS_Daily!G209,DAMAS_Daily!H209)</f>
        <v/>
      </c>
      <c r="J209" s="45">
        <f>IF(C209="aFRR+",DAMAS_Daily!C209,DAMAS_Daily!D209)</f>
        <v/>
      </c>
      <c r="K209" s="45">
        <f>IF(C209="aFRR+",MIN(DAMAS_Daily!C209*market_share_D*acceptance_rate*stack_activation,power_mw*hours_per_day,capacity_mwh),MIN(DAMAS_Daily!D209*market_share_D*acceptance_rate*stack_activation,power_mw*hours_per_day,capacity_mwh))</f>
        <v/>
      </c>
      <c r="L209" s="42">
        <f>IF(K209&gt;=capacity_mwh-0.01,"yes","no")</f>
        <v/>
      </c>
      <c r="M209" s="28">
        <f>IF(C209="aFRR+",(MIN(DAMAS_Daily!C209*market_share_D*acceptance_rate*stack_activation,power_mw*hours_per_day,capacity_mwh))*DAMAS_Daily!E209*activation_mult_D,(MIN(DAMAS_Daily!D209*market_share_D*acceptance_rate*stack_activation,power_mw*hours_per_day,capacity_mwh))*DAMAS_Daily!F209*activation_mult_D)</f>
        <v/>
      </c>
      <c r="N209" s="29">
        <f>F209+M209</f>
        <v/>
      </c>
    </row>
    <row r="210">
      <c r="A210" s="41">
        <f>DAMAS_Daily!A210</f>
        <v/>
      </c>
      <c r="B210" s="42">
        <f>DAMAS_Daily!B210</f>
        <v/>
      </c>
      <c r="C210" s="42">
        <f>IF((power_mw*hours_per_day*damas_afrr_up*capacity_mult_D*stack_capacity*acceptance_rate+(MIN(DAMAS_Daily!C210*market_share_D*acceptance_rate*stack_activation,power_mw*hours_per_day,capacity_mwh))*DAMAS_Daily!E210*activation_mult_D)&gt;=(power_mw*hours_per_day*damas_afrr_down*capacity_mult_D*stack_capacity*acceptance_rate+(MIN(DAMAS_Daily!D210*market_share_D*acceptance_rate*stack_activation,power_mw*hours_per_day,capacity_mwh))*DAMAS_Daily!F210*activation_mult_D),"aFRR+","aFRR-")</f>
        <v/>
      </c>
      <c r="D210" s="43">
        <f>IF(C210="aFRR+",damas_afrr_up*capacity_mult_D,damas_afrr_down*capacity_mult_D)</f>
        <v/>
      </c>
      <c r="E210" s="44">
        <f>acceptance_rate</f>
        <v/>
      </c>
      <c r="F210" s="28">
        <f>IF(C210="aFRR+",power_mw*hours_per_day*damas_afrr_up*capacity_mult_D*stack_capacity*acceptance_rate,power_mw*hours_per_day*damas_afrr_down*capacity_mult_D*stack_capacity*acceptance_rate)</f>
        <v/>
      </c>
      <c r="G210" s="42">
        <f>IF(C210="aFRR+",DAMAS_Daily!I210,DAMAS_Daily!J210)</f>
        <v/>
      </c>
      <c r="H210" s="43">
        <f>IF(C210="aFRR+",DAMAS_Daily!E210,DAMAS_Daily!F210)</f>
        <v/>
      </c>
      <c r="I210" s="43">
        <f>IF(C210="aFRR+",DAMAS_Daily!G210,DAMAS_Daily!H210)</f>
        <v/>
      </c>
      <c r="J210" s="45">
        <f>IF(C210="aFRR+",DAMAS_Daily!C210,DAMAS_Daily!D210)</f>
        <v/>
      </c>
      <c r="K210" s="45">
        <f>IF(C210="aFRR+",MIN(DAMAS_Daily!C210*market_share_D*acceptance_rate*stack_activation,power_mw*hours_per_day,capacity_mwh),MIN(DAMAS_Daily!D210*market_share_D*acceptance_rate*stack_activation,power_mw*hours_per_day,capacity_mwh))</f>
        <v/>
      </c>
      <c r="L210" s="42">
        <f>IF(K210&gt;=capacity_mwh-0.01,"yes","no")</f>
        <v/>
      </c>
      <c r="M210" s="28">
        <f>IF(C210="aFRR+",(MIN(DAMAS_Daily!C210*market_share_D*acceptance_rate*stack_activation,power_mw*hours_per_day,capacity_mwh))*DAMAS_Daily!E210*activation_mult_D,(MIN(DAMAS_Daily!D210*market_share_D*acceptance_rate*stack_activation,power_mw*hours_per_day,capacity_mwh))*DAMAS_Daily!F210*activation_mult_D)</f>
        <v/>
      </c>
      <c r="N210" s="29">
        <f>F210+M210</f>
        <v/>
      </c>
    </row>
    <row r="211">
      <c r="A211" s="41">
        <f>DAMAS_Daily!A211</f>
        <v/>
      </c>
      <c r="B211" s="42">
        <f>DAMAS_Daily!B211</f>
        <v/>
      </c>
      <c r="C211" s="42">
        <f>IF((power_mw*hours_per_day*damas_afrr_up*capacity_mult_D*stack_capacity*acceptance_rate+(MIN(DAMAS_Daily!C211*market_share_D*acceptance_rate*stack_activation,power_mw*hours_per_day,capacity_mwh))*DAMAS_Daily!E211*activation_mult_D)&gt;=(power_mw*hours_per_day*damas_afrr_down*capacity_mult_D*stack_capacity*acceptance_rate+(MIN(DAMAS_Daily!D211*market_share_D*acceptance_rate*stack_activation,power_mw*hours_per_day,capacity_mwh))*DAMAS_Daily!F211*activation_mult_D),"aFRR+","aFRR-")</f>
        <v/>
      </c>
      <c r="D211" s="43">
        <f>IF(C211="aFRR+",damas_afrr_up*capacity_mult_D,damas_afrr_down*capacity_mult_D)</f>
        <v/>
      </c>
      <c r="E211" s="44">
        <f>acceptance_rate</f>
        <v/>
      </c>
      <c r="F211" s="28">
        <f>IF(C211="aFRR+",power_mw*hours_per_day*damas_afrr_up*capacity_mult_D*stack_capacity*acceptance_rate,power_mw*hours_per_day*damas_afrr_down*capacity_mult_D*stack_capacity*acceptance_rate)</f>
        <v/>
      </c>
      <c r="G211" s="42">
        <f>IF(C211="aFRR+",DAMAS_Daily!I211,DAMAS_Daily!J211)</f>
        <v/>
      </c>
      <c r="H211" s="43">
        <f>IF(C211="aFRR+",DAMAS_Daily!E211,DAMAS_Daily!F211)</f>
        <v/>
      </c>
      <c r="I211" s="43">
        <f>IF(C211="aFRR+",DAMAS_Daily!G211,DAMAS_Daily!H211)</f>
        <v/>
      </c>
      <c r="J211" s="45">
        <f>IF(C211="aFRR+",DAMAS_Daily!C211,DAMAS_Daily!D211)</f>
        <v/>
      </c>
      <c r="K211" s="45">
        <f>IF(C211="aFRR+",MIN(DAMAS_Daily!C211*market_share_D*acceptance_rate*stack_activation,power_mw*hours_per_day,capacity_mwh),MIN(DAMAS_Daily!D211*market_share_D*acceptance_rate*stack_activation,power_mw*hours_per_day,capacity_mwh))</f>
        <v/>
      </c>
      <c r="L211" s="42">
        <f>IF(K211&gt;=capacity_mwh-0.01,"yes","no")</f>
        <v/>
      </c>
      <c r="M211" s="28">
        <f>IF(C211="aFRR+",(MIN(DAMAS_Daily!C211*market_share_D*acceptance_rate*stack_activation,power_mw*hours_per_day,capacity_mwh))*DAMAS_Daily!E211*activation_mult_D,(MIN(DAMAS_Daily!D211*market_share_D*acceptance_rate*stack_activation,power_mw*hours_per_day,capacity_mwh))*DAMAS_Daily!F211*activation_mult_D)</f>
        <v/>
      </c>
      <c r="N211" s="29">
        <f>F211+M211</f>
        <v/>
      </c>
    </row>
    <row r="212">
      <c r="A212" s="41">
        <f>DAMAS_Daily!A212</f>
        <v/>
      </c>
      <c r="B212" s="42">
        <f>DAMAS_Daily!B212</f>
        <v/>
      </c>
      <c r="C212" s="42">
        <f>IF((power_mw*hours_per_day*damas_afrr_up*capacity_mult_D*stack_capacity*acceptance_rate+(MIN(DAMAS_Daily!C212*market_share_D*acceptance_rate*stack_activation,power_mw*hours_per_day,capacity_mwh))*DAMAS_Daily!E212*activation_mult_D)&gt;=(power_mw*hours_per_day*damas_afrr_down*capacity_mult_D*stack_capacity*acceptance_rate+(MIN(DAMAS_Daily!D212*market_share_D*acceptance_rate*stack_activation,power_mw*hours_per_day,capacity_mwh))*DAMAS_Daily!F212*activation_mult_D),"aFRR+","aFRR-")</f>
        <v/>
      </c>
      <c r="D212" s="43">
        <f>IF(C212="aFRR+",damas_afrr_up*capacity_mult_D,damas_afrr_down*capacity_mult_D)</f>
        <v/>
      </c>
      <c r="E212" s="44">
        <f>acceptance_rate</f>
        <v/>
      </c>
      <c r="F212" s="28">
        <f>IF(C212="aFRR+",power_mw*hours_per_day*damas_afrr_up*capacity_mult_D*stack_capacity*acceptance_rate,power_mw*hours_per_day*damas_afrr_down*capacity_mult_D*stack_capacity*acceptance_rate)</f>
        <v/>
      </c>
      <c r="G212" s="42">
        <f>IF(C212="aFRR+",DAMAS_Daily!I212,DAMAS_Daily!J212)</f>
        <v/>
      </c>
      <c r="H212" s="43">
        <f>IF(C212="aFRR+",DAMAS_Daily!E212,DAMAS_Daily!F212)</f>
        <v/>
      </c>
      <c r="I212" s="43">
        <f>IF(C212="aFRR+",DAMAS_Daily!G212,DAMAS_Daily!H212)</f>
        <v/>
      </c>
      <c r="J212" s="45">
        <f>IF(C212="aFRR+",DAMAS_Daily!C212,DAMAS_Daily!D212)</f>
        <v/>
      </c>
      <c r="K212" s="45">
        <f>IF(C212="aFRR+",MIN(DAMAS_Daily!C212*market_share_D*acceptance_rate*stack_activation,power_mw*hours_per_day,capacity_mwh),MIN(DAMAS_Daily!D212*market_share_D*acceptance_rate*stack_activation,power_mw*hours_per_day,capacity_mwh))</f>
        <v/>
      </c>
      <c r="L212" s="42">
        <f>IF(K212&gt;=capacity_mwh-0.01,"yes","no")</f>
        <v/>
      </c>
      <c r="M212" s="28">
        <f>IF(C212="aFRR+",(MIN(DAMAS_Daily!C212*market_share_D*acceptance_rate*stack_activation,power_mw*hours_per_day,capacity_mwh))*DAMAS_Daily!E212*activation_mult_D,(MIN(DAMAS_Daily!D212*market_share_D*acceptance_rate*stack_activation,power_mw*hours_per_day,capacity_mwh))*DAMAS_Daily!F212*activation_mult_D)</f>
        <v/>
      </c>
      <c r="N212" s="29">
        <f>F212+M212</f>
        <v/>
      </c>
    </row>
    <row r="213">
      <c r="A213" s="41">
        <f>DAMAS_Daily!A213</f>
        <v/>
      </c>
      <c r="B213" s="42">
        <f>DAMAS_Daily!B213</f>
        <v/>
      </c>
      <c r="C213" s="42">
        <f>IF((power_mw*hours_per_day*damas_afrr_up*capacity_mult_D*stack_capacity*acceptance_rate+(MIN(DAMAS_Daily!C213*market_share_D*acceptance_rate*stack_activation,power_mw*hours_per_day,capacity_mwh))*DAMAS_Daily!E213*activation_mult_D)&gt;=(power_mw*hours_per_day*damas_afrr_down*capacity_mult_D*stack_capacity*acceptance_rate+(MIN(DAMAS_Daily!D213*market_share_D*acceptance_rate*stack_activation,power_mw*hours_per_day,capacity_mwh))*DAMAS_Daily!F213*activation_mult_D),"aFRR+","aFRR-")</f>
        <v/>
      </c>
      <c r="D213" s="43">
        <f>IF(C213="aFRR+",damas_afrr_up*capacity_mult_D,damas_afrr_down*capacity_mult_D)</f>
        <v/>
      </c>
      <c r="E213" s="44">
        <f>acceptance_rate</f>
        <v/>
      </c>
      <c r="F213" s="28">
        <f>IF(C213="aFRR+",power_mw*hours_per_day*damas_afrr_up*capacity_mult_D*stack_capacity*acceptance_rate,power_mw*hours_per_day*damas_afrr_down*capacity_mult_D*stack_capacity*acceptance_rate)</f>
        <v/>
      </c>
      <c r="G213" s="42">
        <f>IF(C213="aFRR+",DAMAS_Daily!I213,DAMAS_Daily!J213)</f>
        <v/>
      </c>
      <c r="H213" s="43">
        <f>IF(C213="aFRR+",DAMAS_Daily!E213,DAMAS_Daily!F213)</f>
        <v/>
      </c>
      <c r="I213" s="43">
        <f>IF(C213="aFRR+",DAMAS_Daily!G213,DAMAS_Daily!H213)</f>
        <v/>
      </c>
      <c r="J213" s="45">
        <f>IF(C213="aFRR+",DAMAS_Daily!C213,DAMAS_Daily!D213)</f>
        <v/>
      </c>
      <c r="K213" s="45">
        <f>IF(C213="aFRR+",MIN(DAMAS_Daily!C213*market_share_D*acceptance_rate*stack_activation,power_mw*hours_per_day,capacity_mwh),MIN(DAMAS_Daily!D213*market_share_D*acceptance_rate*stack_activation,power_mw*hours_per_day,capacity_mwh))</f>
        <v/>
      </c>
      <c r="L213" s="42">
        <f>IF(K213&gt;=capacity_mwh-0.01,"yes","no")</f>
        <v/>
      </c>
      <c r="M213" s="28">
        <f>IF(C213="aFRR+",(MIN(DAMAS_Daily!C213*market_share_D*acceptance_rate*stack_activation,power_mw*hours_per_day,capacity_mwh))*DAMAS_Daily!E213*activation_mult_D,(MIN(DAMAS_Daily!D213*market_share_D*acceptance_rate*stack_activation,power_mw*hours_per_day,capacity_mwh))*DAMAS_Daily!F213*activation_mult_D)</f>
        <v/>
      </c>
      <c r="N213" s="29">
        <f>F213+M213</f>
        <v/>
      </c>
    </row>
    <row r="214">
      <c r="A214" s="41">
        <f>DAMAS_Daily!A214</f>
        <v/>
      </c>
      <c r="B214" s="42">
        <f>DAMAS_Daily!B214</f>
        <v/>
      </c>
      <c r="C214" s="42">
        <f>IF((power_mw*hours_per_day*damas_afrr_up*capacity_mult_D*stack_capacity*acceptance_rate+(MIN(DAMAS_Daily!C214*market_share_D*acceptance_rate*stack_activation,power_mw*hours_per_day,capacity_mwh))*DAMAS_Daily!E214*activation_mult_D)&gt;=(power_mw*hours_per_day*damas_afrr_down*capacity_mult_D*stack_capacity*acceptance_rate+(MIN(DAMAS_Daily!D214*market_share_D*acceptance_rate*stack_activation,power_mw*hours_per_day,capacity_mwh))*DAMAS_Daily!F214*activation_mult_D),"aFRR+","aFRR-")</f>
        <v/>
      </c>
      <c r="D214" s="43">
        <f>IF(C214="aFRR+",damas_afrr_up*capacity_mult_D,damas_afrr_down*capacity_mult_D)</f>
        <v/>
      </c>
      <c r="E214" s="44">
        <f>acceptance_rate</f>
        <v/>
      </c>
      <c r="F214" s="28">
        <f>IF(C214="aFRR+",power_mw*hours_per_day*damas_afrr_up*capacity_mult_D*stack_capacity*acceptance_rate,power_mw*hours_per_day*damas_afrr_down*capacity_mult_D*stack_capacity*acceptance_rate)</f>
        <v/>
      </c>
      <c r="G214" s="42">
        <f>IF(C214="aFRR+",DAMAS_Daily!I214,DAMAS_Daily!J214)</f>
        <v/>
      </c>
      <c r="H214" s="43">
        <f>IF(C214="aFRR+",DAMAS_Daily!E214,DAMAS_Daily!F214)</f>
        <v/>
      </c>
      <c r="I214" s="43">
        <f>IF(C214="aFRR+",DAMAS_Daily!G214,DAMAS_Daily!H214)</f>
        <v/>
      </c>
      <c r="J214" s="45">
        <f>IF(C214="aFRR+",DAMAS_Daily!C214,DAMAS_Daily!D214)</f>
        <v/>
      </c>
      <c r="K214" s="45">
        <f>IF(C214="aFRR+",MIN(DAMAS_Daily!C214*market_share_D*acceptance_rate*stack_activation,power_mw*hours_per_day,capacity_mwh),MIN(DAMAS_Daily!D214*market_share_D*acceptance_rate*stack_activation,power_mw*hours_per_day,capacity_mwh))</f>
        <v/>
      </c>
      <c r="L214" s="42">
        <f>IF(K214&gt;=capacity_mwh-0.01,"yes","no")</f>
        <v/>
      </c>
      <c r="M214" s="28">
        <f>IF(C214="aFRR+",(MIN(DAMAS_Daily!C214*market_share_D*acceptance_rate*stack_activation,power_mw*hours_per_day,capacity_mwh))*DAMAS_Daily!E214*activation_mult_D,(MIN(DAMAS_Daily!D214*market_share_D*acceptance_rate*stack_activation,power_mw*hours_per_day,capacity_mwh))*DAMAS_Daily!F214*activation_mult_D)</f>
        <v/>
      </c>
      <c r="N214" s="29">
        <f>F214+M214</f>
        <v/>
      </c>
    </row>
    <row r="215">
      <c r="A215" s="41">
        <f>DAMAS_Daily!A215</f>
        <v/>
      </c>
      <c r="B215" s="42">
        <f>DAMAS_Daily!B215</f>
        <v/>
      </c>
      <c r="C215" s="42">
        <f>IF((power_mw*hours_per_day*damas_afrr_up*capacity_mult_D*stack_capacity*acceptance_rate+(MIN(DAMAS_Daily!C215*market_share_D*acceptance_rate*stack_activation,power_mw*hours_per_day,capacity_mwh))*DAMAS_Daily!E215*activation_mult_D)&gt;=(power_mw*hours_per_day*damas_afrr_down*capacity_mult_D*stack_capacity*acceptance_rate+(MIN(DAMAS_Daily!D215*market_share_D*acceptance_rate*stack_activation,power_mw*hours_per_day,capacity_mwh))*DAMAS_Daily!F215*activation_mult_D),"aFRR+","aFRR-")</f>
        <v/>
      </c>
      <c r="D215" s="43">
        <f>IF(C215="aFRR+",damas_afrr_up*capacity_mult_D,damas_afrr_down*capacity_mult_D)</f>
        <v/>
      </c>
      <c r="E215" s="44">
        <f>acceptance_rate</f>
        <v/>
      </c>
      <c r="F215" s="28">
        <f>IF(C215="aFRR+",power_mw*hours_per_day*damas_afrr_up*capacity_mult_D*stack_capacity*acceptance_rate,power_mw*hours_per_day*damas_afrr_down*capacity_mult_D*stack_capacity*acceptance_rate)</f>
        <v/>
      </c>
      <c r="G215" s="42">
        <f>IF(C215="aFRR+",DAMAS_Daily!I215,DAMAS_Daily!J215)</f>
        <v/>
      </c>
      <c r="H215" s="43">
        <f>IF(C215="aFRR+",DAMAS_Daily!E215,DAMAS_Daily!F215)</f>
        <v/>
      </c>
      <c r="I215" s="43">
        <f>IF(C215="aFRR+",DAMAS_Daily!G215,DAMAS_Daily!H215)</f>
        <v/>
      </c>
      <c r="J215" s="45">
        <f>IF(C215="aFRR+",DAMAS_Daily!C215,DAMAS_Daily!D215)</f>
        <v/>
      </c>
      <c r="K215" s="45">
        <f>IF(C215="aFRR+",MIN(DAMAS_Daily!C215*market_share_D*acceptance_rate*stack_activation,power_mw*hours_per_day,capacity_mwh),MIN(DAMAS_Daily!D215*market_share_D*acceptance_rate*stack_activation,power_mw*hours_per_day,capacity_mwh))</f>
        <v/>
      </c>
      <c r="L215" s="42">
        <f>IF(K215&gt;=capacity_mwh-0.01,"yes","no")</f>
        <v/>
      </c>
      <c r="M215" s="28">
        <f>IF(C215="aFRR+",(MIN(DAMAS_Daily!C215*market_share_D*acceptance_rate*stack_activation,power_mw*hours_per_day,capacity_mwh))*DAMAS_Daily!E215*activation_mult_D,(MIN(DAMAS_Daily!D215*market_share_D*acceptance_rate*stack_activation,power_mw*hours_per_day,capacity_mwh))*DAMAS_Daily!F215*activation_mult_D)</f>
        <v/>
      </c>
      <c r="N215" s="29">
        <f>F215+M215</f>
        <v/>
      </c>
    </row>
    <row r="216">
      <c r="A216" s="41">
        <f>DAMAS_Daily!A216</f>
        <v/>
      </c>
      <c r="B216" s="42">
        <f>DAMAS_Daily!B216</f>
        <v/>
      </c>
      <c r="C216" s="42">
        <f>IF((power_mw*hours_per_day*damas_afrr_up*capacity_mult_D*stack_capacity*acceptance_rate+(MIN(DAMAS_Daily!C216*market_share_D*acceptance_rate*stack_activation,power_mw*hours_per_day,capacity_mwh))*DAMAS_Daily!E216*activation_mult_D)&gt;=(power_mw*hours_per_day*damas_afrr_down*capacity_mult_D*stack_capacity*acceptance_rate+(MIN(DAMAS_Daily!D216*market_share_D*acceptance_rate*stack_activation,power_mw*hours_per_day,capacity_mwh))*DAMAS_Daily!F216*activation_mult_D),"aFRR+","aFRR-")</f>
        <v/>
      </c>
      <c r="D216" s="43">
        <f>IF(C216="aFRR+",damas_afrr_up*capacity_mult_D,damas_afrr_down*capacity_mult_D)</f>
        <v/>
      </c>
      <c r="E216" s="44">
        <f>acceptance_rate</f>
        <v/>
      </c>
      <c r="F216" s="28">
        <f>IF(C216="aFRR+",power_mw*hours_per_day*damas_afrr_up*capacity_mult_D*stack_capacity*acceptance_rate,power_mw*hours_per_day*damas_afrr_down*capacity_mult_D*stack_capacity*acceptance_rate)</f>
        <v/>
      </c>
      <c r="G216" s="42">
        <f>IF(C216="aFRR+",DAMAS_Daily!I216,DAMAS_Daily!J216)</f>
        <v/>
      </c>
      <c r="H216" s="43">
        <f>IF(C216="aFRR+",DAMAS_Daily!E216,DAMAS_Daily!F216)</f>
        <v/>
      </c>
      <c r="I216" s="43">
        <f>IF(C216="aFRR+",DAMAS_Daily!G216,DAMAS_Daily!H216)</f>
        <v/>
      </c>
      <c r="J216" s="45">
        <f>IF(C216="aFRR+",DAMAS_Daily!C216,DAMAS_Daily!D216)</f>
        <v/>
      </c>
      <c r="K216" s="45">
        <f>IF(C216="aFRR+",MIN(DAMAS_Daily!C216*market_share_D*acceptance_rate*stack_activation,power_mw*hours_per_day,capacity_mwh),MIN(DAMAS_Daily!D216*market_share_D*acceptance_rate*stack_activation,power_mw*hours_per_day,capacity_mwh))</f>
        <v/>
      </c>
      <c r="L216" s="42">
        <f>IF(K216&gt;=capacity_mwh-0.01,"yes","no")</f>
        <v/>
      </c>
      <c r="M216" s="28">
        <f>IF(C216="aFRR+",(MIN(DAMAS_Daily!C216*market_share_D*acceptance_rate*stack_activation,power_mw*hours_per_day,capacity_mwh))*DAMAS_Daily!E216*activation_mult_D,(MIN(DAMAS_Daily!D216*market_share_D*acceptance_rate*stack_activation,power_mw*hours_per_day,capacity_mwh))*DAMAS_Daily!F216*activation_mult_D)</f>
        <v/>
      </c>
      <c r="N216" s="29">
        <f>F216+M216</f>
        <v/>
      </c>
    </row>
    <row r="217">
      <c r="A217" s="41">
        <f>DAMAS_Daily!A217</f>
        <v/>
      </c>
      <c r="B217" s="42">
        <f>DAMAS_Daily!B217</f>
        <v/>
      </c>
      <c r="C217" s="42">
        <f>IF((power_mw*hours_per_day*damas_afrr_up*capacity_mult_D*stack_capacity*acceptance_rate+(MIN(DAMAS_Daily!C217*market_share_D*acceptance_rate*stack_activation,power_mw*hours_per_day,capacity_mwh))*DAMAS_Daily!E217*activation_mult_D)&gt;=(power_mw*hours_per_day*damas_afrr_down*capacity_mult_D*stack_capacity*acceptance_rate+(MIN(DAMAS_Daily!D217*market_share_D*acceptance_rate*stack_activation,power_mw*hours_per_day,capacity_mwh))*DAMAS_Daily!F217*activation_mult_D),"aFRR+","aFRR-")</f>
        <v/>
      </c>
      <c r="D217" s="43">
        <f>IF(C217="aFRR+",damas_afrr_up*capacity_mult_D,damas_afrr_down*capacity_mult_D)</f>
        <v/>
      </c>
      <c r="E217" s="44">
        <f>acceptance_rate</f>
        <v/>
      </c>
      <c r="F217" s="28">
        <f>IF(C217="aFRR+",power_mw*hours_per_day*damas_afrr_up*capacity_mult_D*stack_capacity*acceptance_rate,power_mw*hours_per_day*damas_afrr_down*capacity_mult_D*stack_capacity*acceptance_rate)</f>
        <v/>
      </c>
      <c r="G217" s="42">
        <f>IF(C217="aFRR+",DAMAS_Daily!I217,DAMAS_Daily!J217)</f>
        <v/>
      </c>
      <c r="H217" s="43">
        <f>IF(C217="aFRR+",DAMAS_Daily!E217,DAMAS_Daily!F217)</f>
        <v/>
      </c>
      <c r="I217" s="43">
        <f>IF(C217="aFRR+",DAMAS_Daily!G217,DAMAS_Daily!H217)</f>
        <v/>
      </c>
      <c r="J217" s="45">
        <f>IF(C217="aFRR+",DAMAS_Daily!C217,DAMAS_Daily!D217)</f>
        <v/>
      </c>
      <c r="K217" s="45">
        <f>IF(C217="aFRR+",MIN(DAMAS_Daily!C217*market_share_D*acceptance_rate*stack_activation,power_mw*hours_per_day,capacity_mwh),MIN(DAMAS_Daily!D217*market_share_D*acceptance_rate*stack_activation,power_mw*hours_per_day,capacity_mwh))</f>
        <v/>
      </c>
      <c r="L217" s="42">
        <f>IF(K217&gt;=capacity_mwh-0.01,"yes","no")</f>
        <v/>
      </c>
      <c r="M217" s="28">
        <f>IF(C217="aFRR+",(MIN(DAMAS_Daily!C217*market_share_D*acceptance_rate*stack_activation,power_mw*hours_per_day,capacity_mwh))*DAMAS_Daily!E217*activation_mult_D,(MIN(DAMAS_Daily!D217*market_share_D*acceptance_rate*stack_activation,power_mw*hours_per_day,capacity_mwh))*DAMAS_Daily!F217*activation_mult_D)</f>
        <v/>
      </c>
      <c r="N217" s="29">
        <f>F217+M217</f>
        <v/>
      </c>
    </row>
    <row r="218">
      <c r="A218" s="41">
        <f>DAMAS_Daily!A218</f>
        <v/>
      </c>
      <c r="B218" s="42">
        <f>DAMAS_Daily!B218</f>
        <v/>
      </c>
      <c r="C218" s="42">
        <f>IF((power_mw*hours_per_day*damas_afrr_up*capacity_mult_D*stack_capacity*acceptance_rate+(MIN(DAMAS_Daily!C218*market_share_D*acceptance_rate*stack_activation,power_mw*hours_per_day,capacity_mwh))*DAMAS_Daily!E218*activation_mult_D)&gt;=(power_mw*hours_per_day*damas_afrr_down*capacity_mult_D*stack_capacity*acceptance_rate+(MIN(DAMAS_Daily!D218*market_share_D*acceptance_rate*stack_activation,power_mw*hours_per_day,capacity_mwh))*DAMAS_Daily!F218*activation_mult_D),"aFRR+","aFRR-")</f>
        <v/>
      </c>
      <c r="D218" s="43">
        <f>IF(C218="aFRR+",damas_afrr_up*capacity_mult_D,damas_afrr_down*capacity_mult_D)</f>
        <v/>
      </c>
      <c r="E218" s="44">
        <f>acceptance_rate</f>
        <v/>
      </c>
      <c r="F218" s="28">
        <f>IF(C218="aFRR+",power_mw*hours_per_day*damas_afrr_up*capacity_mult_D*stack_capacity*acceptance_rate,power_mw*hours_per_day*damas_afrr_down*capacity_mult_D*stack_capacity*acceptance_rate)</f>
        <v/>
      </c>
      <c r="G218" s="42">
        <f>IF(C218="aFRR+",DAMAS_Daily!I218,DAMAS_Daily!J218)</f>
        <v/>
      </c>
      <c r="H218" s="43">
        <f>IF(C218="aFRR+",DAMAS_Daily!E218,DAMAS_Daily!F218)</f>
        <v/>
      </c>
      <c r="I218" s="43">
        <f>IF(C218="aFRR+",DAMAS_Daily!G218,DAMAS_Daily!H218)</f>
        <v/>
      </c>
      <c r="J218" s="45">
        <f>IF(C218="aFRR+",DAMAS_Daily!C218,DAMAS_Daily!D218)</f>
        <v/>
      </c>
      <c r="K218" s="45">
        <f>IF(C218="aFRR+",MIN(DAMAS_Daily!C218*market_share_D*acceptance_rate*stack_activation,power_mw*hours_per_day,capacity_mwh),MIN(DAMAS_Daily!D218*market_share_D*acceptance_rate*stack_activation,power_mw*hours_per_day,capacity_mwh))</f>
        <v/>
      </c>
      <c r="L218" s="42">
        <f>IF(K218&gt;=capacity_mwh-0.01,"yes","no")</f>
        <v/>
      </c>
      <c r="M218" s="28">
        <f>IF(C218="aFRR+",(MIN(DAMAS_Daily!C218*market_share_D*acceptance_rate*stack_activation,power_mw*hours_per_day,capacity_mwh))*DAMAS_Daily!E218*activation_mult_D,(MIN(DAMAS_Daily!D218*market_share_D*acceptance_rate*stack_activation,power_mw*hours_per_day,capacity_mwh))*DAMAS_Daily!F218*activation_mult_D)</f>
        <v/>
      </c>
      <c r="N218" s="29">
        <f>F218+M218</f>
        <v/>
      </c>
    </row>
    <row r="219">
      <c r="A219" s="41">
        <f>DAMAS_Daily!A219</f>
        <v/>
      </c>
      <c r="B219" s="42">
        <f>DAMAS_Daily!B219</f>
        <v/>
      </c>
      <c r="C219" s="42">
        <f>IF((power_mw*hours_per_day*damas_afrr_up*capacity_mult_D*stack_capacity*acceptance_rate+(MIN(DAMAS_Daily!C219*market_share_D*acceptance_rate*stack_activation,power_mw*hours_per_day,capacity_mwh))*DAMAS_Daily!E219*activation_mult_D)&gt;=(power_mw*hours_per_day*damas_afrr_down*capacity_mult_D*stack_capacity*acceptance_rate+(MIN(DAMAS_Daily!D219*market_share_D*acceptance_rate*stack_activation,power_mw*hours_per_day,capacity_mwh))*DAMAS_Daily!F219*activation_mult_D),"aFRR+","aFRR-")</f>
        <v/>
      </c>
      <c r="D219" s="43">
        <f>IF(C219="aFRR+",damas_afrr_up*capacity_mult_D,damas_afrr_down*capacity_mult_D)</f>
        <v/>
      </c>
      <c r="E219" s="44">
        <f>acceptance_rate</f>
        <v/>
      </c>
      <c r="F219" s="28">
        <f>IF(C219="aFRR+",power_mw*hours_per_day*damas_afrr_up*capacity_mult_D*stack_capacity*acceptance_rate,power_mw*hours_per_day*damas_afrr_down*capacity_mult_D*stack_capacity*acceptance_rate)</f>
        <v/>
      </c>
      <c r="G219" s="42">
        <f>IF(C219="aFRR+",DAMAS_Daily!I219,DAMAS_Daily!J219)</f>
        <v/>
      </c>
      <c r="H219" s="43">
        <f>IF(C219="aFRR+",DAMAS_Daily!E219,DAMAS_Daily!F219)</f>
        <v/>
      </c>
      <c r="I219" s="43">
        <f>IF(C219="aFRR+",DAMAS_Daily!G219,DAMAS_Daily!H219)</f>
        <v/>
      </c>
      <c r="J219" s="45">
        <f>IF(C219="aFRR+",DAMAS_Daily!C219,DAMAS_Daily!D219)</f>
        <v/>
      </c>
      <c r="K219" s="45">
        <f>IF(C219="aFRR+",MIN(DAMAS_Daily!C219*market_share_D*acceptance_rate*stack_activation,power_mw*hours_per_day,capacity_mwh),MIN(DAMAS_Daily!D219*market_share_D*acceptance_rate*stack_activation,power_mw*hours_per_day,capacity_mwh))</f>
        <v/>
      </c>
      <c r="L219" s="42">
        <f>IF(K219&gt;=capacity_mwh-0.01,"yes","no")</f>
        <v/>
      </c>
      <c r="M219" s="28">
        <f>IF(C219="aFRR+",(MIN(DAMAS_Daily!C219*market_share_D*acceptance_rate*stack_activation,power_mw*hours_per_day,capacity_mwh))*DAMAS_Daily!E219*activation_mult_D,(MIN(DAMAS_Daily!D219*market_share_D*acceptance_rate*stack_activation,power_mw*hours_per_day,capacity_mwh))*DAMAS_Daily!F219*activation_mult_D)</f>
        <v/>
      </c>
      <c r="N219" s="29">
        <f>F219+M219</f>
        <v/>
      </c>
    </row>
    <row r="220">
      <c r="A220" s="41">
        <f>DAMAS_Daily!A220</f>
        <v/>
      </c>
      <c r="B220" s="42">
        <f>DAMAS_Daily!B220</f>
        <v/>
      </c>
      <c r="C220" s="42">
        <f>IF((power_mw*hours_per_day*damas_afrr_up*capacity_mult_D*stack_capacity*acceptance_rate+(MIN(DAMAS_Daily!C220*market_share_D*acceptance_rate*stack_activation,power_mw*hours_per_day,capacity_mwh))*DAMAS_Daily!E220*activation_mult_D)&gt;=(power_mw*hours_per_day*damas_afrr_down*capacity_mult_D*stack_capacity*acceptance_rate+(MIN(DAMAS_Daily!D220*market_share_D*acceptance_rate*stack_activation,power_mw*hours_per_day,capacity_mwh))*DAMAS_Daily!F220*activation_mult_D),"aFRR+","aFRR-")</f>
        <v/>
      </c>
      <c r="D220" s="43">
        <f>IF(C220="aFRR+",damas_afrr_up*capacity_mult_D,damas_afrr_down*capacity_mult_D)</f>
        <v/>
      </c>
      <c r="E220" s="44">
        <f>acceptance_rate</f>
        <v/>
      </c>
      <c r="F220" s="28">
        <f>IF(C220="aFRR+",power_mw*hours_per_day*damas_afrr_up*capacity_mult_D*stack_capacity*acceptance_rate,power_mw*hours_per_day*damas_afrr_down*capacity_mult_D*stack_capacity*acceptance_rate)</f>
        <v/>
      </c>
      <c r="G220" s="42">
        <f>IF(C220="aFRR+",DAMAS_Daily!I220,DAMAS_Daily!J220)</f>
        <v/>
      </c>
      <c r="H220" s="43">
        <f>IF(C220="aFRR+",DAMAS_Daily!E220,DAMAS_Daily!F220)</f>
        <v/>
      </c>
      <c r="I220" s="43">
        <f>IF(C220="aFRR+",DAMAS_Daily!G220,DAMAS_Daily!H220)</f>
        <v/>
      </c>
      <c r="J220" s="45">
        <f>IF(C220="aFRR+",DAMAS_Daily!C220,DAMAS_Daily!D220)</f>
        <v/>
      </c>
      <c r="K220" s="45">
        <f>IF(C220="aFRR+",MIN(DAMAS_Daily!C220*market_share_D*acceptance_rate*stack_activation,power_mw*hours_per_day,capacity_mwh),MIN(DAMAS_Daily!D220*market_share_D*acceptance_rate*stack_activation,power_mw*hours_per_day,capacity_mwh))</f>
        <v/>
      </c>
      <c r="L220" s="42">
        <f>IF(K220&gt;=capacity_mwh-0.01,"yes","no")</f>
        <v/>
      </c>
      <c r="M220" s="28">
        <f>IF(C220="aFRR+",(MIN(DAMAS_Daily!C220*market_share_D*acceptance_rate*stack_activation,power_mw*hours_per_day,capacity_mwh))*DAMAS_Daily!E220*activation_mult_D,(MIN(DAMAS_Daily!D220*market_share_D*acceptance_rate*stack_activation,power_mw*hours_per_day,capacity_mwh))*DAMAS_Daily!F220*activation_mult_D)</f>
        <v/>
      </c>
      <c r="N220" s="29">
        <f>F220+M220</f>
        <v/>
      </c>
    </row>
    <row r="221">
      <c r="A221" s="41">
        <f>DAMAS_Daily!A221</f>
        <v/>
      </c>
      <c r="B221" s="42">
        <f>DAMAS_Daily!B221</f>
        <v/>
      </c>
      <c r="C221" s="42">
        <f>IF((power_mw*hours_per_day*damas_afrr_up*capacity_mult_D*stack_capacity*acceptance_rate+(MIN(DAMAS_Daily!C221*market_share_D*acceptance_rate*stack_activation,power_mw*hours_per_day,capacity_mwh))*DAMAS_Daily!E221*activation_mult_D)&gt;=(power_mw*hours_per_day*damas_afrr_down*capacity_mult_D*stack_capacity*acceptance_rate+(MIN(DAMAS_Daily!D221*market_share_D*acceptance_rate*stack_activation,power_mw*hours_per_day,capacity_mwh))*DAMAS_Daily!F221*activation_mult_D),"aFRR+","aFRR-")</f>
        <v/>
      </c>
      <c r="D221" s="43">
        <f>IF(C221="aFRR+",damas_afrr_up*capacity_mult_D,damas_afrr_down*capacity_mult_D)</f>
        <v/>
      </c>
      <c r="E221" s="44">
        <f>acceptance_rate</f>
        <v/>
      </c>
      <c r="F221" s="28">
        <f>IF(C221="aFRR+",power_mw*hours_per_day*damas_afrr_up*capacity_mult_D*stack_capacity*acceptance_rate,power_mw*hours_per_day*damas_afrr_down*capacity_mult_D*stack_capacity*acceptance_rate)</f>
        <v/>
      </c>
      <c r="G221" s="42">
        <f>IF(C221="aFRR+",DAMAS_Daily!I221,DAMAS_Daily!J221)</f>
        <v/>
      </c>
      <c r="H221" s="43">
        <f>IF(C221="aFRR+",DAMAS_Daily!E221,DAMAS_Daily!F221)</f>
        <v/>
      </c>
      <c r="I221" s="43">
        <f>IF(C221="aFRR+",DAMAS_Daily!G221,DAMAS_Daily!H221)</f>
        <v/>
      </c>
      <c r="J221" s="45">
        <f>IF(C221="aFRR+",DAMAS_Daily!C221,DAMAS_Daily!D221)</f>
        <v/>
      </c>
      <c r="K221" s="45">
        <f>IF(C221="aFRR+",MIN(DAMAS_Daily!C221*market_share_D*acceptance_rate*stack_activation,power_mw*hours_per_day,capacity_mwh),MIN(DAMAS_Daily!D221*market_share_D*acceptance_rate*stack_activation,power_mw*hours_per_day,capacity_mwh))</f>
        <v/>
      </c>
      <c r="L221" s="42">
        <f>IF(K221&gt;=capacity_mwh-0.01,"yes","no")</f>
        <v/>
      </c>
      <c r="M221" s="28">
        <f>IF(C221="aFRR+",(MIN(DAMAS_Daily!C221*market_share_D*acceptance_rate*stack_activation,power_mw*hours_per_day,capacity_mwh))*DAMAS_Daily!E221*activation_mult_D,(MIN(DAMAS_Daily!D221*market_share_D*acceptance_rate*stack_activation,power_mw*hours_per_day,capacity_mwh))*DAMAS_Daily!F221*activation_mult_D)</f>
        <v/>
      </c>
      <c r="N221" s="29">
        <f>F221+M221</f>
        <v/>
      </c>
    </row>
    <row r="222">
      <c r="A222" s="41">
        <f>DAMAS_Daily!A222</f>
        <v/>
      </c>
      <c r="B222" s="42">
        <f>DAMAS_Daily!B222</f>
        <v/>
      </c>
      <c r="C222" s="42">
        <f>IF((power_mw*hours_per_day*damas_afrr_up*capacity_mult_D*stack_capacity*acceptance_rate+(MIN(DAMAS_Daily!C222*market_share_D*acceptance_rate*stack_activation,power_mw*hours_per_day,capacity_mwh))*DAMAS_Daily!E222*activation_mult_D)&gt;=(power_mw*hours_per_day*damas_afrr_down*capacity_mult_D*stack_capacity*acceptance_rate+(MIN(DAMAS_Daily!D222*market_share_D*acceptance_rate*stack_activation,power_mw*hours_per_day,capacity_mwh))*DAMAS_Daily!F222*activation_mult_D),"aFRR+","aFRR-")</f>
        <v/>
      </c>
      <c r="D222" s="43">
        <f>IF(C222="aFRR+",damas_afrr_up*capacity_mult_D,damas_afrr_down*capacity_mult_D)</f>
        <v/>
      </c>
      <c r="E222" s="44">
        <f>acceptance_rate</f>
        <v/>
      </c>
      <c r="F222" s="28">
        <f>IF(C222="aFRR+",power_mw*hours_per_day*damas_afrr_up*capacity_mult_D*stack_capacity*acceptance_rate,power_mw*hours_per_day*damas_afrr_down*capacity_mult_D*stack_capacity*acceptance_rate)</f>
        <v/>
      </c>
      <c r="G222" s="42">
        <f>IF(C222="aFRR+",DAMAS_Daily!I222,DAMAS_Daily!J222)</f>
        <v/>
      </c>
      <c r="H222" s="43">
        <f>IF(C222="aFRR+",DAMAS_Daily!E222,DAMAS_Daily!F222)</f>
        <v/>
      </c>
      <c r="I222" s="43">
        <f>IF(C222="aFRR+",DAMAS_Daily!G222,DAMAS_Daily!H222)</f>
        <v/>
      </c>
      <c r="J222" s="45">
        <f>IF(C222="aFRR+",DAMAS_Daily!C222,DAMAS_Daily!D222)</f>
        <v/>
      </c>
      <c r="K222" s="45">
        <f>IF(C222="aFRR+",MIN(DAMAS_Daily!C222*market_share_D*acceptance_rate*stack_activation,power_mw*hours_per_day,capacity_mwh),MIN(DAMAS_Daily!D222*market_share_D*acceptance_rate*stack_activation,power_mw*hours_per_day,capacity_mwh))</f>
        <v/>
      </c>
      <c r="L222" s="42">
        <f>IF(K222&gt;=capacity_mwh-0.01,"yes","no")</f>
        <v/>
      </c>
      <c r="M222" s="28">
        <f>IF(C222="aFRR+",(MIN(DAMAS_Daily!C222*market_share_D*acceptance_rate*stack_activation,power_mw*hours_per_day,capacity_mwh))*DAMAS_Daily!E222*activation_mult_D,(MIN(DAMAS_Daily!D222*market_share_D*acceptance_rate*stack_activation,power_mw*hours_per_day,capacity_mwh))*DAMAS_Daily!F222*activation_mult_D)</f>
        <v/>
      </c>
      <c r="N222" s="29">
        <f>F222+M222</f>
        <v/>
      </c>
    </row>
    <row r="223">
      <c r="A223" s="41">
        <f>DAMAS_Daily!A223</f>
        <v/>
      </c>
      <c r="B223" s="42">
        <f>DAMAS_Daily!B223</f>
        <v/>
      </c>
      <c r="C223" s="42">
        <f>IF((power_mw*hours_per_day*damas_afrr_up*capacity_mult_D*stack_capacity*acceptance_rate+(MIN(DAMAS_Daily!C223*market_share_D*acceptance_rate*stack_activation,power_mw*hours_per_day,capacity_mwh))*DAMAS_Daily!E223*activation_mult_D)&gt;=(power_mw*hours_per_day*damas_afrr_down*capacity_mult_D*stack_capacity*acceptance_rate+(MIN(DAMAS_Daily!D223*market_share_D*acceptance_rate*stack_activation,power_mw*hours_per_day,capacity_mwh))*DAMAS_Daily!F223*activation_mult_D),"aFRR+","aFRR-")</f>
        <v/>
      </c>
      <c r="D223" s="43">
        <f>IF(C223="aFRR+",damas_afrr_up*capacity_mult_D,damas_afrr_down*capacity_mult_D)</f>
        <v/>
      </c>
      <c r="E223" s="44">
        <f>acceptance_rate</f>
        <v/>
      </c>
      <c r="F223" s="28">
        <f>IF(C223="aFRR+",power_mw*hours_per_day*damas_afrr_up*capacity_mult_D*stack_capacity*acceptance_rate,power_mw*hours_per_day*damas_afrr_down*capacity_mult_D*stack_capacity*acceptance_rate)</f>
        <v/>
      </c>
      <c r="G223" s="42">
        <f>IF(C223="aFRR+",DAMAS_Daily!I223,DAMAS_Daily!J223)</f>
        <v/>
      </c>
      <c r="H223" s="43">
        <f>IF(C223="aFRR+",DAMAS_Daily!E223,DAMAS_Daily!F223)</f>
        <v/>
      </c>
      <c r="I223" s="43">
        <f>IF(C223="aFRR+",DAMAS_Daily!G223,DAMAS_Daily!H223)</f>
        <v/>
      </c>
      <c r="J223" s="45">
        <f>IF(C223="aFRR+",DAMAS_Daily!C223,DAMAS_Daily!D223)</f>
        <v/>
      </c>
      <c r="K223" s="45">
        <f>IF(C223="aFRR+",MIN(DAMAS_Daily!C223*market_share_D*acceptance_rate*stack_activation,power_mw*hours_per_day,capacity_mwh),MIN(DAMAS_Daily!D223*market_share_D*acceptance_rate*stack_activation,power_mw*hours_per_day,capacity_mwh))</f>
        <v/>
      </c>
      <c r="L223" s="42">
        <f>IF(K223&gt;=capacity_mwh-0.01,"yes","no")</f>
        <v/>
      </c>
      <c r="M223" s="28">
        <f>IF(C223="aFRR+",(MIN(DAMAS_Daily!C223*market_share_D*acceptance_rate*stack_activation,power_mw*hours_per_day,capacity_mwh))*DAMAS_Daily!E223*activation_mult_D,(MIN(DAMAS_Daily!D223*market_share_D*acceptance_rate*stack_activation,power_mw*hours_per_day,capacity_mwh))*DAMAS_Daily!F223*activation_mult_D)</f>
        <v/>
      </c>
      <c r="N223" s="29">
        <f>F223+M223</f>
        <v/>
      </c>
    </row>
    <row r="224">
      <c r="A224" s="41">
        <f>DAMAS_Daily!A224</f>
        <v/>
      </c>
      <c r="B224" s="42">
        <f>DAMAS_Daily!B224</f>
        <v/>
      </c>
      <c r="C224" s="42">
        <f>IF((power_mw*hours_per_day*damas_afrr_up*capacity_mult_D*stack_capacity*acceptance_rate+(MIN(DAMAS_Daily!C224*market_share_D*acceptance_rate*stack_activation,power_mw*hours_per_day,capacity_mwh))*DAMAS_Daily!E224*activation_mult_D)&gt;=(power_mw*hours_per_day*damas_afrr_down*capacity_mult_D*stack_capacity*acceptance_rate+(MIN(DAMAS_Daily!D224*market_share_D*acceptance_rate*stack_activation,power_mw*hours_per_day,capacity_mwh))*DAMAS_Daily!F224*activation_mult_D),"aFRR+","aFRR-")</f>
        <v/>
      </c>
      <c r="D224" s="43">
        <f>IF(C224="aFRR+",damas_afrr_up*capacity_mult_D,damas_afrr_down*capacity_mult_D)</f>
        <v/>
      </c>
      <c r="E224" s="44">
        <f>acceptance_rate</f>
        <v/>
      </c>
      <c r="F224" s="28">
        <f>IF(C224="aFRR+",power_mw*hours_per_day*damas_afrr_up*capacity_mult_D*stack_capacity*acceptance_rate,power_mw*hours_per_day*damas_afrr_down*capacity_mult_D*stack_capacity*acceptance_rate)</f>
        <v/>
      </c>
      <c r="G224" s="42">
        <f>IF(C224="aFRR+",DAMAS_Daily!I224,DAMAS_Daily!J224)</f>
        <v/>
      </c>
      <c r="H224" s="43">
        <f>IF(C224="aFRR+",DAMAS_Daily!E224,DAMAS_Daily!F224)</f>
        <v/>
      </c>
      <c r="I224" s="43">
        <f>IF(C224="aFRR+",DAMAS_Daily!G224,DAMAS_Daily!H224)</f>
        <v/>
      </c>
      <c r="J224" s="45">
        <f>IF(C224="aFRR+",DAMAS_Daily!C224,DAMAS_Daily!D224)</f>
        <v/>
      </c>
      <c r="K224" s="45">
        <f>IF(C224="aFRR+",MIN(DAMAS_Daily!C224*market_share_D*acceptance_rate*stack_activation,power_mw*hours_per_day,capacity_mwh),MIN(DAMAS_Daily!D224*market_share_D*acceptance_rate*stack_activation,power_mw*hours_per_day,capacity_mwh))</f>
        <v/>
      </c>
      <c r="L224" s="42">
        <f>IF(K224&gt;=capacity_mwh-0.01,"yes","no")</f>
        <v/>
      </c>
      <c r="M224" s="28">
        <f>IF(C224="aFRR+",(MIN(DAMAS_Daily!C224*market_share_D*acceptance_rate*stack_activation,power_mw*hours_per_day,capacity_mwh))*DAMAS_Daily!E224*activation_mult_D,(MIN(DAMAS_Daily!D224*market_share_D*acceptance_rate*stack_activation,power_mw*hours_per_day,capacity_mwh))*DAMAS_Daily!F224*activation_mult_D)</f>
        <v/>
      </c>
      <c r="N224" s="29">
        <f>F224+M224</f>
        <v/>
      </c>
    </row>
    <row r="225">
      <c r="A225" s="41">
        <f>DAMAS_Daily!A225</f>
        <v/>
      </c>
      <c r="B225" s="42">
        <f>DAMAS_Daily!B225</f>
        <v/>
      </c>
      <c r="C225" s="42">
        <f>IF((power_mw*hours_per_day*damas_afrr_up*capacity_mult_D*stack_capacity*acceptance_rate+(MIN(DAMAS_Daily!C225*market_share_D*acceptance_rate*stack_activation,power_mw*hours_per_day,capacity_mwh))*DAMAS_Daily!E225*activation_mult_D)&gt;=(power_mw*hours_per_day*damas_afrr_down*capacity_mult_D*stack_capacity*acceptance_rate+(MIN(DAMAS_Daily!D225*market_share_D*acceptance_rate*stack_activation,power_mw*hours_per_day,capacity_mwh))*DAMAS_Daily!F225*activation_mult_D),"aFRR+","aFRR-")</f>
        <v/>
      </c>
      <c r="D225" s="43">
        <f>IF(C225="aFRR+",damas_afrr_up*capacity_mult_D,damas_afrr_down*capacity_mult_D)</f>
        <v/>
      </c>
      <c r="E225" s="44">
        <f>acceptance_rate</f>
        <v/>
      </c>
      <c r="F225" s="28">
        <f>IF(C225="aFRR+",power_mw*hours_per_day*damas_afrr_up*capacity_mult_D*stack_capacity*acceptance_rate,power_mw*hours_per_day*damas_afrr_down*capacity_mult_D*stack_capacity*acceptance_rate)</f>
        <v/>
      </c>
      <c r="G225" s="42">
        <f>IF(C225="aFRR+",DAMAS_Daily!I225,DAMAS_Daily!J225)</f>
        <v/>
      </c>
      <c r="H225" s="43">
        <f>IF(C225="aFRR+",DAMAS_Daily!E225,DAMAS_Daily!F225)</f>
        <v/>
      </c>
      <c r="I225" s="43">
        <f>IF(C225="aFRR+",DAMAS_Daily!G225,DAMAS_Daily!H225)</f>
        <v/>
      </c>
      <c r="J225" s="45">
        <f>IF(C225="aFRR+",DAMAS_Daily!C225,DAMAS_Daily!D225)</f>
        <v/>
      </c>
      <c r="K225" s="45">
        <f>IF(C225="aFRR+",MIN(DAMAS_Daily!C225*market_share_D*acceptance_rate*stack_activation,power_mw*hours_per_day,capacity_mwh),MIN(DAMAS_Daily!D225*market_share_D*acceptance_rate*stack_activation,power_mw*hours_per_day,capacity_mwh))</f>
        <v/>
      </c>
      <c r="L225" s="42">
        <f>IF(K225&gt;=capacity_mwh-0.01,"yes","no")</f>
        <v/>
      </c>
      <c r="M225" s="28">
        <f>IF(C225="aFRR+",(MIN(DAMAS_Daily!C225*market_share_D*acceptance_rate*stack_activation,power_mw*hours_per_day,capacity_mwh))*DAMAS_Daily!E225*activation_mult_D,(MIN(DAMAS_Daily!D225*market_share_D*acceptance_rate*stack_activation,power_mw*hours_per_day,capacity_mwh))*DAMAS_Daily!F225*activation_mult_D)</f>
        <v/>
      </c>
      <c r="N225" s="29">
        <f>F225+M225</f>
        <v/>
      </c>
    </row>
    <row r="226">
      <c r="A226" s="41">
        <f>DAMAS_Daily!A226</f>
        <v/>
      </c>
      <c r="B226" s="42">
        <f>DAMAS_Daily!B226</f>
        <v/>
      </c>
      <c r="C226" s="42">
        <f>IF((power_mw*hours_per_day*damas_afrr_up*capacity_mult_D*stack_capacity*acceptance_rate+(MIN(DAMAS_Daily!C226*market_share_D*acceptance_rate*stack_activation,power_mw*hours_per_day,capacity_mwh))*DAMAS_Daily!E226*activation_mult_D)&gt;=(power_mw*hours_per_day*damas_afrr_down*capacity_mult_D*stack_capacity*acceptance_rate+(MIN(DAMAS_Daily!D226*market_share_D*acceptance_rate*stack_activation,power_mw*hours_per_day,capacity_mwh))*DAMAS_Daily!F226*activation_mult_D),"aFRR+","aFRR-")</f>
        <v/>
      </c>
      <c r="D226" s="43">
        <f>IF(C226="aFRR+",damas_afrr_up*capacity_mult_D,damas_afrr_down*capacity_mult_D)</f>
        <v/>
      </c>
      <c r="E226" s="44">
        <f>acceptance_rate</f>
        <v/>
      </c>
      <c r="F226" s="28">
        <f>IF(C226="aFRR+",power_mw*hours_per_day*damas_afrr_up*capacity_mult_D*stack_capacity*acceptance_rate,power_mw*hours_per_day*damas_afrr_down*capacity_mult_D*stack_capacity*acceptance_rate)</f>
        <v/>
      </c>
      <c r="G226" s="42">
        <f>IF(C226="aFRR+",DAMAS_Daily!I226,DAMAS_Daily!J226)</f>
        <v/>
      </c>
      <c r="H226" s="43">
        <f>IF(C226="aFRR+",DAMAS_Daily!E226,DAMAS_Daily!F226)</f>
        <v/>
      </c>
      <c r="I226" s="43">
        <f>IF(C226="aFRR+",DAMAS_Daily!G226,DAMAS_Daily!H226)</f>
        <v/>
      </c>
      <c r="J226" s="45">
        <f>IF(C226="aFRR+",DAMAS_Daily!C226,DAMAS_Daily!D226)</f>
        <v/>
      </c>
      <c r="K226" s="45">
        <f>IF(C226="aFRR+",MIN(DAMAS_Daily!C226*market_share_D*acceptance_rate*stack_activation,power_mw*hours_per_day,capacity_mwh),MIN(DAMAS_Daily!D226*market_share_D*acceptance_rate*stack_activation,power_mw*hours_per_day,capacity_mwh))</f>
        <v/>
      </c>
      <c r="L226" s="42">
        <f>IF(K226&gt;=capacity_mwh-0.01,"yes","no")</f>
        <v/>
      </c>
      <c r="M226" s="28">
        <f>IF(C226="aFRR+",(MIN(DAMAS_Daily!C226*market_share_D*acceptance_rate*stack_activation,power_mw*hours_per_day,capacity_mwh))*DAMAS_Daily!E226*activation_mult_D,(MIN(DAMAS_Daily!D226*market_share_D*acceptance_rate*stack_activation,power_mw*hours_per_day,capacity_mwh))*DAMAS_Daily!F226*activation_mult_D)</f>
        <v/>
      </c>
      <c r="N226" s="29">
        <f>F226+M226</f>
        <v/>
      </c>
    </row>
    <row r="227">
      <c r="A227" s="41">
        <f>DAMAS_Daily!A227</f>
        <v/>
      </c>
      <c r="B227" s="42">
        <f>DAMAS_Daily!B227</f>
        <v/>
      </c>
      <c r="C227" s="42">
        <f>IF((power_mw*hours_per_day*damas_afrr_up*capacity_mult_D*stack_capacity*acceptance_rate+(MIN(DAMAS_Daily!C227*market_share_D*acceptance_rate*stack_activation,power_mw*hours_per_day,capacity_mwh))*DAMAS_Daily!E227*activation_mult_D)&gt;=(power_mw*hours_per_day*damas_afrr_down*capacity_mult_D*stack_capacity*acceptance_rate+(MIN(DAMAS_Daily!D227*market_share_D*acceptance_rate*stack_activation,power_mw*hours_per_day,capacity_mwh))*DAMAS_Daily!F227*activation_mult_D),"aFRR+","aFRR-")</f>
        <v/>
      </c>
      <c r="D227" s="43">
        <f>IF(C227="aFRR+",damas_afrr_up*capacity_mult_D,damas_afrr_down*capacity_mult_D)</f>
        <v/>
      </c>
      <c r="E227" s="44">
        <f>acceptance_rate</f>
        <v/>
      </c>
      <c r="F227" s="28">
        <f>IF(C227="aFRR+",power_mw*hours_per_day*damas_afrr_up*capacity_mult_D*stack_capacity*acceptance_rate,power_mw*hours_per_day*damas_afrr_down*capacity_mult_D*stack_capacity*acceptance_rate)</f>
        <v/>
      </c>
      <c r="G227" s="42">
        <f>IF(C227="aFRR+",DAMAS_Daily!I227,DAMAS_Daily!J227)</f>
        <v/>
      </c>
      <c r="H227" s="43">
        <f>IF(C227="aFRR+",DAMAS_Daily!E227,DAMAS_Daily!F227)</f>
        <v/>
      </c>
      <c r="I227" s="43">
        <f>IF(C227="aFRR+",DAMAS_Daily!G227,DAMAS_Daily!H227)</f>
        <v/>
      </c>
      <c r="J227" s="45">
        <f>IF(C227="aFRR+",DAMAS_Daily!C227,DAMAS_Daily!D227)</f>
        <v/>
      </c>
      <c r="K227" s="45">
        <f>IF(C227="aFRR+",MIN(DAMAS_Daily!C227*market_share_D*acceptance_rate*stack_activation,power_mw*hours_per_day,capacity_mwh),MIN(DAMAS_Daily!D227*market_share_D*acceptance_rate*stack_activation,power_mw*hours_per_day,capacity_mwh))</f>
        <v/>
      </c>
      <c r="L227" s="42">
        <f>IF(K227&gt;=capacity_mwh-0.01,"yes","no")</f>
        <v/>
      </c>
      <c r="M227" s="28">
        <f>IF(C227="aFRR+",(MIN(DAMAS_Daily!C227*market_share_D*acceptance_rate*stack_activation,power_mw*hours_per_day,capacity_mwh))*DAMAS_Daily!E227*activation_mult_D,(MIN(DAMAS_Daily!D227*market_share_D*acceptance_rate*stack_activation,power_mw*hours_per_day,capacity_mwh))*DAMAS_Daily!F227*activation_mult_D)</f>
        <v/>
      </c>
      <c r="N227" s="29">
        <f>F227+M227</f>
        <v/>
      </c>
    </row>
    <row r="228">
      <c r="A228" s="41">
        <f>DAMAS_Daily!A228</f>
        <v/>
      </c>
      <c r="B228" s="42">
        <f>DAMAS_Daily!B228</f>
        <v/>
      </c>
      <c r="C228" s="42">
        <f>IF((power_mw*hours_per_day*damas_afrr_up*capacity_mult_D*stack_capacity*acceptance_rate+(MIN(DAMAS_Daily!C228*market_share_D*acceptance_rate*stack_activation,power_mw*hours_per_day,capacity_mwh))*DAMAS_Daily!E228*activation_mult_D)&gt;=(power_mw*hours_per_day*damas_afrr_down*capacity_mult_D*stack_capacity*acceptance_rate+(MIN(DAMAS_Daily!D228*market_share_D*acceptance_rate*stack_activation,power_mw*hours_per_day,capacity_mwh))*DAMAS_Daily!F228*activation_mult_D),"aFRR+","aFRR-")</f>
        <v/>
      </c>
      <c r="D228" s="43">
        <f>IF(C228="aFRR+",damas_afrr_up*capacity_mult_D,damas_afrr_down*capacity_mult_D)</f>
        <v/>
      </c>
      <c r="E228" s="44">
        <f>acceptance_rate</f>
        <v/>
      </c>
      <c r="F228" s="28">
        <f>IF(C228="aFRR+",power_mw*hours_per_day*damas_afrr_up*capacity_mult_D*stack_capacity*acceptance_rate,power_mw*hours_per_day*damas_afrr_down*capacity_mult_D*stack_capacity*acceptance_rate)</f>
        <v/>
      </c>
      <c r="G228" s="42">
        <f>IF(C228="aFRR+",DAMAS_Daily!I228,DAMAS_Daily!J228)</f>
        <v/>
      </c>
      <c r="H228" s="43">
        <f>IF(C228="aFRR+",DAMAS_Daily!E228,DAMAS_Daily!F228)</f>
        <v/>
      </c>
      <c r="I228" s="43">
        <f>IF(C228="aFRR+",DAMAS_Daily!G228,DAMAS_Daily!H228)</f>
        <v/>
      </c>
      <c r="J228" s="45">
        <f>IF(C228="aFRR+",DAMAS_Daily!C228,DAMAS_Daily!D228)</f>
        <v/>
      </c>
      <c r="K228" s="45">
        <f>IF(C228="aFRR+",MIN(DAMAS_Daily!C228*market_share_D*acceptance_rate*stack_activation,power_mw*hours_per_day,capacity_mwh),MIN(DAMAS_Daily!D228*market_share_D*acceptance_rate*stack_activation,power_mw*hours_per_day,capacity_mwh))</f>
        <v/>
      </c>
      <c r="L228" s="42">
        <f>IF(K228&gt;=capacity_mwh-0.01,"yes","no")</f>
        <v/>
      </c>
      <c r="M228" s="28">
        <f>IF(C228="aFRR+",(MIN(DAMAS_Daily!C228*market_share_D*acceptance_rate*stack_activation,power_mw*hours_per_day,capacity_mwh))*DAMAS_Daily!E228*activation_mult_D,(MIN(DAMAS_Daily!D228*market_share_D*acceptance_rate*stack_activation,power_mw*hours_per_day,capacity_mwh))*DAMAS_Daily!F228*activation_mult_D)</f>
        <v/>
      </c>
      <c r="N228" s="29">
        <f>F228+M228</f>
        <v/>
      </c>
    </row>
    <row r="229">
      <c r="A229" s="41">
        <f>DAMAS_Daily!A229</f>
        <v/>
      </c>
      <c r="B229" s="42">
        <f>DAMAS_Daily!B229</f>
        <v/>
      </c>
      <c r="C229" s="42">
        <f>IF((power_mw*hours_per_day*damas_afrr_up*capacity_mult_D*stack_capacity*acceptance_rate+(MIN(DAMAS_Daily!C229*market_share_D*acceptance_rate*stack_activation,power_mw*hours_per_day,capacity_mwh))*DAMAS_Daily!E229*activation_mult_D)&gt;=(power_mw*hours_per_day*damas_afrr_down*capacity_mult_D*stack_capacity*acceptance_rate+(MIN(DAMAS_Daily!D229*market_share_D*acceptance_rate*stack_activation,power_mw*hours_per_day,capacity_mwh))*DAMAS_Daily!F229*activation_mult_D),"aFRR+","aFRR-")</f>
        <v/>
      </c>
      <c r="D229" s="43">
        <f>IF(C229="aFRR+",damas_afrr_up*capacity_mult_D,damas_afrr_down*capacity_mult_D)</f>
        <v/>
      </c>
      <c r="E229" s="44">
        <f>acceptance_rate</f>
        <v/>
      </c>
      <c r="F229" s="28">
        <f>IF(C229="aFRR+",power_mw*hours_per_day*damas_afrr_up*capacity_mult_D*stack_capacity*acceptance_rate,power_mw*hours_per_day*damas_afrr_down*capacity_mult_D*stack_capacity*acceptance_rate)</f>
        <v/>
      </c>
      <c r="G229" s="42">
        <f>IF(C229="aFRR+",DAMAS_Daily!I229,DAMAS_Daily!J229)</f>
        <v/>
      </c>
      <c r="H229" s="43">
        <f>IF(C229="aFRR+",DAMAS_Daily!E229,DAMAS_Daily!F229)</f>
        <v/>
      </c>
      <c r="I229" s="43">
        <f>IF(C229="aFRR+",DAMAS_Daily!G229,DAMAS_Daily!H229)</f>
        <v/>
      </c>
      <c r="J229" s="45">
        <f>IF(C229="aFRR+",DAMAS_Daily!C229,DAMAS_Daily!D229)</f>
        <v/>
      </c>
      <c r="K229" s="45">
        <f>IF(C229="aFRR+",MIN(DAMAS_Daily!C229*market_share_D*acceptance_rate*stack_activation,power_mw*hours_per_day,capacity_mwh),MIN(DAMAS_Daily!D229*market_share_D*acceptance_rate*stack_activation,power_mw*hours_per_day,capacity_mwh))</f>
        <v/>
      </c>
      <c r="L229" s="42">
        <f>IF(K229&gt;=capacity_mwh-0.01,"yes","no")</f>
        <v/>
      </c>
      <c r="M229" s="28">
        <f>IF(C229="aFRR+",(MIN(DAMAS_Daily!C229*market_share_D*acceptance_rate*stack_activation,power_mw*hours_per_day,capacity_mwh))*DAMAS_Daily!E229*activation_mult_D,(MIN(DAMAS_Daily!D229*market_share_D*acceptance_rate*stack_activation,power_mw*hours_per_day,capacity_mwh))*DAMAS_Daily!F229*activation_mult_D)</f>
        <v/>
      </c>
      <c r="N229" s="29">
        <f>F229+M229</f>
        <v/>
      </c>
    </row>
    <row r="230">
      <c r="A230" s="41">
        <f>DAMAS_Daily!A230</f>
        <v/>
      </c>
      <c r="B230" s="42">
        <f>DAMAS_Daily!B230</f>
        <v/>
      </c>
      <c r="C230" s="42">
        <f>IF((power_mw*hours_per_day*damas_afrr_up*capacity_mult_D*stack_capacity*acceptance_rate+(MIN(DAMAS_Daily!C230*market_share_D*acceptance_rate*stack_activation,power_mw*hours_per_day,capacity_mwh))*DAMAS_Daily!E230*activation_mult_D)&gt;=(power_mw*hours_per_day*damas_afrr_down*capacity_mult_D*stack_capacity*acceptance_rate+(MIN(DAMAS_Daily!D230*market_share_D*acceptance_rate*stack_activation,power_mw*hours_per_day,capacity_mwh))*DAMAS_Daily!F230*activation_mult_D),"aFRR+","aFRR-")</f>
        <v/>
      </c>
      <c r="D230" s="43">
        <f>IF(C230="aFRR+",damas_afrr_up*capacity_mult_D,damas_afrr_down*capacity_mult_D)</f>
        <v/>
      </c>
      <c r="E230" s="44">
        <f>acceptance_rate</f>
        <v/>
      </c>
      <c r="F230" s="28">
        <f>IF(C230="aFRR+",power_mw*hours_per_day*damas_afrr_up*capacity_mult_D*stack_capacity*acceptance_rate,power_mw*hours_per_day*damas_afrr_down*capacity_mult_D*stack_capacity*acceptance_rate)</f>
        <v/>
      </c>
      <c r="G230" s="42">
        <f>IF(C230="aFRR+",DAMAS_Daily!I230,DAMAS_Daily!J230)</f>
        <v/>
      </c>
      <c r="H230" s="43">
        <f>IF(C230="aFRR+",DAMAS_Daily!E230,DAMAS_Daily!F230)</f>
        <v/>
      </c>
      <c r="I230" s="43">
        <f>IF(C230="aFRR+",DAMAS_Daily!G230,DAMAS_Daily!H230)</f>
        <v/>
      </c>
      <c r="J230" s="45">
        <f>IF(C230="aFRR+",DAMAS_Daily!C230,DAMAS_Daily!D230)</f>
        <v/>
      </c>
      <c r="K230" s="45">
        <f>IF(C230="aFRR+",MIN(DAMAS_Daily!C230*market_share_D*acceptance_rate*stack_activation,power_mw*hours_per_day,capacity_mwh),MIN(DAMAS_Daily!D230*market_share_D*acceptance_rate*stack_activation,power_mw*hours_per_day,capacity_mwh))</f>
        <v/>
      </c>
      <c r="L230" s="42">
        <f>IF(K230&gt;=capacity_mwh-0.01,"yes","no")</f>
        <v/>
      </c>
      <c r="M230" s="28">
        <f>IF(C230="aFRR+",(MIN(DAMAS_Daily!C230*market_share_D*acceptance_rate*stack_activation,power_mw*hours_per_day,capacity_mwh))*DAMAS_Daily!E230*activation_mult_D,(MIN(DAMAS_Daily!D230*market_share_D*acceptance_rate*stack_activation,power_mw*hours_per_day,capacity_mwh))*DAMAS_Daily!F230*activation_mult_D)</f>
        <v/>
      </c>
      <c r="N230" s="29">
        <f>F230+M230</f>
        <v/>
      </c>
    </row>
    <row r="231">
      <c r="A231" s="41">
        <f>DAMAS_Daily!A231</f>
        <v/>
      </c>
      <c r="B231" s="42">
        <f>DAMAS_Daily!B231</f>
        <v/>
      </c>
      <c r="C231" s="42">
        <f>IF((power_mw*hours_per_day*damas_afrr_up*capacity_mult_D*stack_capacity*acceptance_rate+(MIN(DAMAS_Daily!C231*market_share_D*acceptance_rate*stack_activation,power_mw*hours_per_day,capacity_mwh))*DAMAS_Daily!E231*activation_mult_D)&gt;=(power_mw*hours_per_day*damas_afrr_down*capacity_mult_D*stack_capacity*acceptance_rate+(MIN(DAMAS_Daily!D231*market_share_D*acceptance_rate*stack_activation,power_mw*hours_per_day,capacity_mwh))*DAMAS_Daily!F231*activation_mult_D),"aFRR+","aFRR-")</f>
        <v/>
      </c>
      <c r="D231" s="43">
        <f>IF(C231="aFRR+",damas_afrr_up*capacity_mult_D,damas_afrr_down*capacity_mult_D)</f>
        <v/>
      </c>
      <c r="E231" s="44">
        <f>acceptance_rate</f>
        <v/>
      </c>
      <c r="F231" s="28">
        <f>IF(C231="aFRR+",power_mw*hours_per_day*damas_afrr_up*capacity_mult_D*stack_capacity*acceptance_rate,power_mw*hours_per_day*damas_afrr_down*capacity_mult_D*stack_capacity*acceptance_rate)</f>
        <v/>
      </c>
      <c r="G231" s="42">
        <f>IF(C231="aFRR+",DAMAS_Daily!I231,DAMAS_Daily!J231)</f>
        <v/>
      </c>
      <c r="H231" s="43">
        <f>IF(C231="aFRR+",DAMAS_Daily!E231,DAMAS_Daily!F231)</f>
        <v/>
      </c>
      <c r="I231" s="43">
        <f>IF(C231="aFRR+",DAMAS_Daily!G231,DAMAS_Daily!H231)</f>
        <v/>
      </c>
      <c r="J231" s="45">
        <f>IF(C231="aFRR+",DAMAS_Daily!C231,DAMAS_Daily!D231)</f>
        <v/>
      </c>
      <c r="K231" s="45">
        <f>IF(C231="aFRR+",MIN(DAMAS_Daily!C231*market_share_D*acceptance_rate*stack_activation,power_mw*hours_per_day,capacity_mwh),MIN(DAMAS_Daily!D231*market_share_D*acceptance_rate*stack_activation,power_mw*hours_per_day,capacity_mwh))</f>
        <v/>
      </c>
      <c r="L231" s="42">
        <f>IF(K231&gt;=capacity_mwh-0.01,"yes","no")</f>
        <v/>
      </c>
      <c r="M231" s="28">
        <f>IF(C231="aFRR+",(MIN(DAMAS_Daily!C231*market_share_D*acceptance_rate*stack_activation,power_mw*hours_per_day,capacity_mwh))*DAMAS_Daily!E231*activation_mult_D,(MIN(DAMAS_Daily!D231*market_share_D*acceptance_rate*stack_activation,power_mw*hours_per_day,capacity_mwh))*DAMAS_Daily!F231*activation_mult_D)</f>
        <v/>
      </c>
      <c r="N231" s="29">
        <f>F231+M231</f>
        <v/>
      </c>
    </row>
    <row r="232">
      <c r="A232" s="41">
        <f>DAMAS_Daily!A232</f>
        <v/>
      </c>
      <c r="B232" s="42">
        <f>DAMAS_Daily!B232</f>
        <v/>
      </c>
      <c r="C232" s="42">
        <f>IF((power_mw*hours_per_day*damas_afrr_up*capacity_mult_D*stack_capacity*acceptance_rate+(MIN(DAMAS_Daily!C232*market_share_D*acceptance_rate*stack_activation,power_mw*hours_per_day,capacity_mwh))*DAMAS_Daily!E232*activation_mult_D)&gt;=(power_mw*hours_per_day*damas_afrr_down*capacity_mult_D*stack_capacity*acceptance_rate+(MIN(DAMAS_Daily!D232*market_share_D*acceptance_rate*stack_activation,power_mw*hours_per_day,capacity_mwh))*DAMAS_Daily!F232*activation_mult_D),"aFRR+","aFRR-")</f>
        <v/>
      </c>
      <c r="D232" s="43">
        <f>IF(C232="aFRR+",damas_afrr_up*capacity_mult_D,damas_afrr_down*capacity_mult_D)</f>
        <v/>
      </c>
      <c r="E232" s="44">
        <f>acceptance_rate</f>
        <v/>
      </c>
      <c r="F232" s="28">
        <f>IF(C232="aFRR+",power_mw*hours_per_day*damas_afrr_up*capacity_mult_D*stack_capacity*acceptance_rate,power_mw*hours_per_day*damas_afrr_down*capacity_mult_D*stack_capacity*acceptance_rate)</f>
        <v/>
      </c>
      <c r="G232" s="42">
        <f>IF(C232="aFRR+",DAMAS_Daily!I232,DAMAS_Daily!J232)</f>
        <v/>
      </c>
      <c r="H232" s="43">
        <f>IF(C232="aFRR+",DAMAS_Daily!E232,DAMAS_Daily!F232)</f>
        <v/>
      </c>
      <c r="I232" s="43">
        <f>IF(C232="aFRR+",DAMAS_Daily!G232,DAMAS_Daily!H232)</f>
        <v/>
      </c>
      <c r="J232" s="45">
        <f>IF(C232="aFRR+",DAMAS_Daily!C232,DAMAS_Daily!D232)</f>
        <v/>
      </c>
      <c r="K232" s="45">
        <f>IF(C232="aFRR+",MIN(DAMAS_Daily!C232*market_share_D*acceptance_rate*stack_activation,power_mw*hours_per_day,capacity_mwh),MIN(DAMAS_Daily!D232*market_share_D*acceptance_rate*stack_activation,power_mw*hours_per_day,capacity_mwh))</f>
        <v/>
      </c>
      <c r="L232" s="42">
        <f>IF(K232&gt;=capacity_mwh-0.01,"yes","no")</f>
        <v/>
      </c>
      <c r="M232" s="28">
        <f>IF(C232="aFRR+",(MIN(DAMAS_Daily!C232*market_share_D*acceptance_rate*stack_activation,power_mw*hours_per_day,capacity_mwh))*DAMAS_Daily!E232*activation_mult_D,(MIN(DAMAS_Daily!D232*market_share_D*acceptance_rate*stack_activation,power_mw*hours_per_day,capacity_mwh))*DAMAS_Daily!F232*activation_mult_D)</f>
        <v/>
      </c>
      <c r="N232" s="29">
        <f>F232+M232</f>
        <v/>
      </c>
    </row>
    <row r="233">
      <c r="A233" s="41">
        <f>DAMAS_Daily!A233</f>
        <v/>
      </c>
      <c r="B233" s="42">
        <f>DAMAS_Daily!B233</f>
        <v/>
      </c>
      <c r="C233" s="42">
        <f>IF((power_mw*hours_per_day*damas_afrr_up*capacity_mult_D*stack_capacity*acceptance_rate+(MIN(DAMAS_Daily!C233*market_share_D*acceptance_rate*stack_activation,power_mw*hours_per_day,capacity_mwh))*DAMAS_Daily!E233*activation_mult_D)&gt;=(power_mw*hours_per_day*damas_afrr_down*capacity_mult_D*stack_capacity*acceptance_rate+(MIN(DAMAS_Daily!D233*market_share_D*acceptance_rate*stack_activation,power_mw*hours_per_day,capacity_mwh))*DAMAS_Daily!F233*activation_mult_D),"aFRR+","aFRR-")</f>
        <v/>
      </c>
      <c r="D233" s="43">
        <f>IF(C233="aFRR+",damas_afrr_up*capacity_mult_D,damas_afrr_down*capacity_mult_D)</f>
        <v/>
      </c>
      <c r="E233" s="44">
        <f>acceptance_rate</f>
        <v/>
      </c>
      <c r="F233" s="28">
        <f>IF(C233="aFRR+",power_mw*hours_per_day*damas_afrr_up*capacity_mult_D*stack_capacity*acceptance_rate,power_mw*hours_per_day*damas_afrr_down*capacity_mult_D*stack_capacity*acceptance_rate)</f>
        <v/>
      </c>
      <c r="G233" s="42">
        <f>IF(C233="aFRR+",DAMAS_Daily!I233,DAMAS_Daily!J233)</f>
        <v/>
      </c>
      <c r="H233" s="43">
        <f>IF(C233="aFRR+",DAMAS_Daily!E233,DAMAS_Daily!F233)</f>
        <v/>
      </c>
      <c r="I233" s="43">
        <f>IF(C233="aFRR+",DAMAS_Daily!G233,DAMAS_Daily!H233)</f>
        <v/>
      </c>
      <c r="J233" s="45">
        <f>IF(C233="aFRR+",DAMAS_Daily!C233,DAMAS_Daily!D233)</f>
        <v/>
      </c>
      <c r="K233" s="45">
        <f>IF(C233="aFRR+",MIN(DAMAS_Daily!C233*market_share_D*acceptance_rate*stack_activation,power_mw*hours_per_day,capacity_mwh),MIN(DAMAS_Daily!D233*market_share_D*acceptance_rate*stack_activation,power_mw*hours_per_day,capacity_mwh))</f>
        <v/>
      </c>
      <c r="L233" s="42">
        <f>IF(K233&gt;=capacity_mwh-0.01,"yes","no")</f>
        <v/>
      </c>
      <c r="M233" s="28">
        <f>IF(C233="aFRR+",(MIN(DAMAS_Daily!C233*market_share_D*acceptance_rate*stack_activation,power_mw*hours_per_day,capacity_mwh))*DAMAS_Daily!E233*activation_mult_D,(MIN(DAMAS_Daily!D233*market_share_D*acceptance_rate*stack_activation,power_mw*hours_per_day,capacity_mwh))*DAMAS_Daily!F233*activation_mult_D)</f>
        <v/>
      </c>
      <c r="N233" s="29">
        <f>F233+M233</f>
        <v/>
      </c>
    </row>
    <row r="234">
      <c r="A234" s="41">
        <f>DAMAS_Daily!A234</f>
        <v/>
      </c>
      <c r="B234" s="42">
        <f>DAMAS_Daily!B234</f>
        <v/>
      </c>
      <c r="C234" s="42">
        <f>IF((power_mw*hours_per_day*damas_afrr_up*capacity_mult_D*stack_capacity*acceptance_rate+(MIN(DAMAS_Daily!C234*market_share_D*acceptance_rate*stack_activation,power_mw*hours_per_day,capacity_mwh))*DAMAS_Daily!E234*activation_mult_D)&gt;=(power_mw*hours_per_day*damas_afrr_down*capacity_mult_D*stack_capacity*acceptance_rate+(MIN(DAMAS_Daily!D234*market_share_D*acceptance_rate*stack_activation,power_mw*hours_per_day,capacity_mwh))*DAMAS_Daily!F234*activation_mult_D),"aFRR+","aFRR-")</f>
        <v/>
      </c>
      <c r="D234" s="43">
        <f>IF(C234="aFRR+",damas_afrr_up*capacity_mult_D,damas_afrr_down*capacity_mult_D)</f>
        <v/>
      </c>
      <c r="E234" s="44">
        <f>acceptance_rate</f>
        <v/>
      </c>
      <c r="F234" s="28">
        <f>IF(C234="aFRR+",power_mw*hours_per_day*damas_afrr_up*capacity_mult_D*stack_capacity*acceptance_rate,power_mw*hours_per_day*damas_afrr_down*capacity_mult_D*stack_capacity*acceptance_rate)</f>
        <v/>
      </c>
      <c r="G234" s="42">
        <f>IF(C234="aFRR+",DAMAS_Daily!I234,DAMAS_Daily!J234)</f>
        <v/>
      </c>
      <c r="H234" s="43">
        <f>IF(C234="aFRR+",DAMAS_Daily!E234,DAMAS_Daily!F234)</f>
        <v/>
      </c>
      <c r="I234" s="43">
        <f>IF(C234="aFRR+",DAMAS_Daily!G234,DAMAS_Daily!H234)</f>
        <v/>
      </c>
      <c r="J234" s="45">
        <f>IF(C234="aFRR+",DAMAS_Daily!C234,DAMAS_Daily!D234)</f>
        <v/>
      </c>
      <c r="K234" s="45">
        <f>IF(C234="aFRR+",MIN(DAMAS_Daily!C234*market_share_D*acceptance_rate*stack_activation,power_mw*hours_per_day,capacity_mwh),MIN(DAMAS_Daily!D234*market_share_D*acceptance_rate*stack_activation,power_mw*hours_per_day,capacity_mwh))</f>
        <v/>
      </c>
      <c r="L234" s="42">
        <f>IF(K234&gt;=capacity_mwh-0.01,"yes","no")</f>
        <v/>
      </c>
      <c r="M234" s="28">
        <f>IF(C234="aFRR+",(MIN(DAMAS_Daily!C234*market_share_D*acceptance_rate*stack_activation,power_mw*hours_per_day,capacity_mwh))*DAMAS_Daily!E234*activation_mult_D,(MIN(DAMAS_Daily!D234*market_share_D*acceptance_rate*stack_activation,power_mw*hours_per_day,capacity_mwh))*DAMAS_Daily!F234*activation_mult_D)</f>
        <v/>
      </c>
      <c r="N234" s="29">
        <f>F234+M234</f>
        <v/>
      </c>
    </row>
    <row r="235">
      <c r="A235" s="41">
        <f>DAMAS_Daily!A235</f>
        <v/>
      </c>
      <c r="B235" s="42">
        <f>DAMAS_Daily!B235</f>
        <v/>
      </c>
      <c r="C235" s="42">
        <f>IF((power_mw*hours_per_day*damas_afrr_up*capacity_mult_D*stack_capacity*acceptance_rate+(MIN(DAMAS_Daily!C235*market_share_D*acceptance_rate*stack_activation,power_mw*hours_per_day,capacity_mwh))*DAMAS_Daily!E235*activation_mult_D)&gt;=(power_mw*hours_per_day*damas_afrr_down*capacity_mult_D*stack_capacity*acceptance_rate+(MIN(DAMAS_Daily!D235*market_share_D*acceptance_rate*stack_activation,power_mw*hours_per_day,capacity_mwh))*DAMAS_Daily!F235*activation_mult_D),"aFRR+","aFRR-")</f>
        <v/>
      </c>
      <c r="D235" s="43">
        <f>IF(C235="aFRR+",damas_afrr_up*capacity_mult_D,damas_afrr_down*capacity_mult_D)</f>
        <v/>
      </c>
      <c r="E235" s="44">
        <f>acceptance_rate</f>
        <v/>
      </c>
      <c r="F235" s="28">
        <f>IF(C235="aFRR+",power_mw*hours_per_day*damas_afrr_up*capacity_mult_D*stack_capacity*acceptance_rate,power_mw*hours_per_day*damas_afrr_down*capacity_mult_D*stack_capacity*acceptance_rate)</f>
        <v/>
      </c>
      <c r="G235" s="42">
        <f>IF(C235="aFRR+",DAMAS_Daily!I235,DAMAS_Daily!J235)</f>
        <v/>
      </c>
      <c r="H235" s="43">
        <f>IF(C235="aFRR+",DAMAS_Daily!E235,DAMAS_Daily!F235)</f>
        <v/>
      </c>
      <c r="I235" s="43">
        <f>IF(C235="aFRR+",DAMAS_Daily!G235,DAMAS_Daily!H235)</f>
        <v/>
      </c>
      <c r="J235" s="45">
        <f>IF(C235="aFRR+",DAMAS_Daily!C235,DAMAS_Daily!D235)</f>
        <v/>
      </c>
      <c r="K235" s="45">
        <f>IF(C235="aFRR+",MIN(DAMAS_Daily!C235*market_share_D*acceptance_rate*stack_activation,power_mw*hours_per_day,capacity_mwh),MIN(DAMAS_Daily!D235*market_share_D*acceptance_rate*stack_activation,power_mw*hours_per_day,capacity_mwh))</f>
        <v/>
      </c>
      <c r="L235" s="42">
        <f>IF(K235&gt;=capacity_mwh-0.01,"yes","no")</f>
        <v/>
      </c>
      <c r="M235" s="28">
        <f>IF(C235="aFRR+",(MIN(DAMAS_Daily!C235*market_share_D*acceptance_rate*stack_activation,power_mw*hours_per_day,capacity_mwh))*DAMAS_Daily!E235*activation_mult_D,(MIN(DAMAS_Daily!D235*market_share_D*acceptance_rate*stack_activation,power_mw*hours_per_day,capacity_mwh))*DAMAS_Daily!F235*activation_mult_D)</f>
        <v/>
      </c>
      <c r="N235" s="29">
        <f>F235+M235</f>
        <v/>
      </c>
    </row>
    <row r="236">
      <c r="A236" s="41">
        <f>DAMAS_Daily!A236</f>
        <v/>
      </c>
      <c r="B236" s="42">
        <f>DAMAS_Daily!B236</f>
        <v/>
      </c>
      <c r="C236" s="42">
        <f>IF((power_mw*hours_per_day*damas_afrr_up*capacity_mult_D*stack_capacity*acceptance_rate+(MIN(DAMAS_Daily!C236*market_share_D*acceptance_rate*stack_activation,power_mw*hours_per_day,capacity_mwh))*DAMAS_Daily!E236*activation_mult_D)&gt;=(power_mw*hours_per_day*damas_afrr_down*capacity_mult_D*stack_capacity*acceptance_rate+(MIN(DAMAS_Daily!D236*market_share_D*acceptance_rate*stack_activation,power_mw*hours_per_day,capacity_mwh))*DAMAS_Daily!F236*activation_mult_D),"aFRR+","aFRR-")</f>
        <v/>
      </c>
      <c r="D236" s="43">
        <f>IF(C236="aFRR+",damas_afrr_up*capacity_mult_D,damas_afrr_down*capacity_mult_D)</f>
        <v/>
      </c>
      <c r="E236" s="44">
        <f>acceptance_rate</f>
        <v/>
      </c>
      <c r="F236" s="28">
        <f>IF(C236="aFRR+",power_mw*hours_per_day*damas_afrr_up*capacity_mult_D*stack_capacity*acceptance_rate,power_mw*hours_per_day*damas_afrr_down*capacity_mult_D*stack_capacity*acceptance_rate)</f>
        <v/>
      </c>
      <c r="G236" s="42">
        <f>IF(C236="aFRR+",DAMAS_Daily!I236,DAMAS_Daily!J236)</f>
        <v/>
      </c>
      <c r="H236" s="43">
        <f>IF(C236="aFRR+",DAMAS_Daily!E236,DAMAS_Daily!F236)</f>
        <v/>
      </c>
      <c r="I236" s="43">
        <f>IF(C236="aFRR+",DAMAS_Daily!G236,DAMAS_Daily!H236)</f>
        <v/>
      </c>
      <c r="J236" s="45">
        <f>IF(C236="aFRR+",DAMAS_Daily!C236,DAMAS_Daily!D236)</f>
        <v/>
      </c>
      <c r="K236" s="45">
        <f>IF(C236="aFRR+",MIN(DAMAS_Daily!C236*market_share_D*acceptance_rate*stack_activation,power_mw*hours_per_day,capacity_mwh),MIN(DAMAS_Daily!D236*market_share_D*acceptance_rate*stack_activation,power_mw*hours_per_day,capacity_mwh))</f>
        <v/>
      </c>
      <c r="L236" s="42">
        <f>IF(K236&gt;=capacity_mwh-0.01,"yes","no")</f>
        <v/>
      </c>
      <c r="M236" s="28">
        <f>IF(C236="aFRR+",(MIN(DAMAS_Daily!C236*market_share_D*acceptance_rate*stack_activation,power_mw*hours_per_day,capacity_mwh))*DAMAS_Daily!E236*activation_mult_D,(MIN(DAMAS_Daily!D236*market_share_D*acceptance_rate*stack_activation,power_mw*hours_per_day,capacity_mwh))*DAMAS_Daily!F236*activation_mult_D)</f>
        <v/>
      </c>
      <c r="N236" s="29">
        <f>F236+M236</f>
        <v/>
      </c>
    </row>
    <row r="237">
      <c r="A237" s="41">
        <f>DAMAS_Daily!A237</f>
        <v/>
      </c>
      <c r="B237" s="42">
        <f>DAMAS_Daily!B237</f>
        <v/>
      </c>
      <c r="C237" s="42">
        <f>IF((power_mw*hours_per_day*damas_afrr_up*capacity_mult_D*stack_capacity*acceptance_rate+(MIN(DAMAS_Daily!C237*market_share_D*acceptance_rate*stack_activation,power_mw*hours_per_day,capacity_mwh))*DAMAS_Daily!E237*activation_mult_D)&gt;=(power_mw*hours_per_day*damas_afrr_down*capacity_mult_D*stack_capacity*acceptance_rate+(MIN(DAMAS_Daily!D237*market_share_D*acceptance_rate*stack_activation,power_mw*hours_per_day,capacity_mwh))*DAMAS_Daily!F237*activation_mult_D),"aFRR+","aFRR-")</f>
        <v/>
      </c>
      <c r="D237" s="43">
        <f>IF(C237="aFRR+",damas_afrr_up*capacity_mult_D,damas_afrr_down*capacity_mult_D)</f>
        <v/>
      </c>
      <c r="E237" s="44">
        <f>acceptance_rate</f>
        <v/>
      </c>
      <c r="F237" s="28">
        <f>IF(C237="aFRR+",power_mw*hours_per_day*damas_afrr_up*capacity_mult_D*stack_capacity*acceptance_rate,power_mw*hours_per_day*damas_afrr_down*capacity_mult_D*stack_capacity*acceptance_rate)</f>
        <v/>
      </c>
      <c r="G237" s="42">
        <f>IF(C237="aFRR+",DAMAS_Daily!I237,DAMAS_Daily!J237)</f>
        <v/>
      </c>
      <c r="H237" s="43">
        <f>IF(C237="aFRR+",DAMAS_Daily!E237,DAMAS_Daily!F237)</f>
        <v/>
      </c>
      <c r="I237" s="43">
        <f>IF(C237="aFRR+",DAMAS_Daily!G237,DAMAS_Daily!H237)</f>
        <v/>
      </c>
      <c r="J237" s="45">
        <f>IF(C237="aFRR+",DAMAS_Daily!C237,DAMAS_Daily!D237)</f>
        <v/>
      </c>
      <c r="K237" s="45">
        <f>IF(C237="aFRR+",MIN(DAMAS_Daily!C237*market_share_D*acceptance_rate*stack_activation,power_mw*hours_per_day,capacity_mwh),MIN(DAMAS_Daily!D237*market_share_D*acceptance_rate*stack_activation,power_mw*hours_per_day,capacity_mwh))</f>
        <v/>
      </c>
      <c r="L237" s="42">
        <f>IF(K237&gt;=capacity_mwh-0.01,"yes","no")</f>
        <v/>
      </c>
      <c r="M237" s="28">
        <f>IF(C237="aFRR+",(MIN(DAMAS_Daily!C237*market_share_D*acceptance_rate*stack_activation,power_mw*hours_per_day,capacity_mwh))*DAMAS_Daily!E237*activation_mult_D,(MIN(DAMAS_Daily!D237*market_share_D*acceptance_rate*stack_activation,power_mw*hours_per_day,capacity_mwh))*DAMAS_Daily!F237*activation_mult_D)</f>
        <v/>
      </c>
      <c r="N237" s="29">
        <f>F237+M237</f>
        <v/>
      </c>
    </row>
    <row r="238">
      <c r="A238" s="41">
        <f>DAMAS_Daily!A238</f>
        <v/>
      </c>
      <c r="B238" s="42">
        <f>DAMAS_Daily!B238</f>
        <v/>
      </c>
      <c r="C238" s="42">
        <f>IF((power_mw*hours_per_day*damas_afrr_up*capacity_mult_D*stack_capacity*acceptance_rate+(MIN(DAMAS_Daily!C238*market_share_D*acceptance_rate*stack_activation,power_mw*hours_per_day,capacity_mwh))*DAMAS_Daily!E238*activation_mult_D)&gt;=(power_mw*hours_per_day*damas_afrr_down*capacity_mult_D*stack_capacity*acceptance_rate+(MIN(DAMAS_Daily!D238*market_share_D*acceptance_rate*stack_activation,power_mw*hours_per_day,capacity_mwh))*DAMAS_Daily!F238*activation_mult_D),"aFRR+","aFRR-")</f>
        <v/>
      </c>
      <c r="D238" s="43">
        <f>IF(C238="aFRR+",damas_afrr_up*capacity_mult_D,damas_afrr_down*capacity_mult_D)</f>
        <v/>
      </c>
      <c r="E238" s="44">
        <f>acceptance_rate</f>
        <v/>
      </c>
      <c r="F238" s="28">
        <f>IF(C238="aFRR+",power_mw*hours_per_day*damas_afrr_up*capacity_mult_D*stack_capacity*acceptance_rate,power_mw*hours_per_day*damas_afrr_down*capacity_mult_D*stack_capacity*acceptance_rate)</f>
        <v/>
      </c>
      <c r="G238" s="42">
        <f>IF(C238="aFRR+",DAMAS_Daily!I238,DAMAS_Daily!J238)</f>
        <v/>
      </c>
      <c r="H238" s="43">
        <f>IF(C238="aFRR+",DAMAS_Daily!E238,DAMAS_Daily!F238)</f>
        <v/>
      </c>
      <c r="I238" s="43">
        <f>IF(C238="aFRR+",DAMAS_Daily!G238,DAMAS_Daily!H238)</f>
        <v/>
      </c>
      <c r="J238" s="45">
        <f>IF(C238="aFRR+",DAMAS_Daily!C238,DAMAS_Daily!D238)</f>
        <v/>
      </c>
      <c r="K238" s="45">
        <f>IF(C238="aFRR+",MIN(DAMAS_Daily!C238*market_share_D*acceptance_rate*stack_activation,power_mw*hours_per_day,capacity_mwh),MIN(DAMAS_Daily!D238*market_share_D*acceptance_rate*stack_activation,power_mw*hours_per_day,capacity_mwh))</f>
        <v/>
      </c>
      <c r="L238" s="42">
        <f>IF(K238&gt;=capacity_mwh-0.01,"yes","no")</f>
        <v/>
      </c>
      <c r="M238" s="28">
        <f>IF(C238="aFRR+",(MIN(DAMAS_Daily!C238*market_share_D*acceptance_rate*stack_activation,power_mw*hours_per_day,capacity_mwh))*DAMAS_Daily!E238*activation_mult_D,(MIN(DAMAS_Daily!D238*market_share_D*acceptance_rate*stack_activation,power_mw*hours_per_day,capacity_mwh))*DAMAS_Daily!F238*activation_mult_D)</f>
        <v/>
      </c>
      <c r="N238" s="29">
        <f>F238+M238</f>
        <v/>
      </c>
    </row>
    <row r="239">
      <c r="A239" s="41">
        <f>DAMAS_Daily!A239</f>
        <v/>
      </c>
      <c r="B239" s="42">
        <f>DAMAS_Daily!B239</f>
        <v/>
      </c>
      <c r="C239" s="42">
        <f>IF((power_mw*hours_per_day*damas_afrr_up*capacity_mult_D*stack_capacity*acceptance_rate+(MIN(DAMAS_Daily!C239*market_share_D*acceptance_rate*stack_activation,power_mw*hours_per_day,capacity_mwh))*DAMAS_Daily!E239*activation_mult_D)&gt;=(power_mw*hours_per_day*damas_afrr_down*capacity_mult_D*stack_capacity*acceptance_rate+(MIN(DAMAS_Daily!D239*market_share_D*acceptance_rate*stack_activation,power_mw*hours_per_day,capacity_mwh))*DAMAS_Daily!F239*activation_mult_D),"aFRR+","aFRR-")</f>
        <v/>
      </c>
      <c r="D239" s="43">
        <f>IF(C239="aFRR+",damas_afrr_up*capacity_mult_D,damas_afrr_down*capacity_mult_D)</f>
        <v/>
      </c>
      <c r="E239" s="44">
        <f>acceptance_rate</f>
        <v/>
      </c>
      <c r="F239" s="28">
        <f>IF(C239="aFRR+",power_mw*hours_per_day*damas_afrr_up*capacity_mult_D*stack_capacity*acceptance_rate,power_mw*hours_per_day*damas_afrr_down*capacity_mult_D*stack_capacity*acceptance_rate)</f>
        <v/>
      </c>
      <c r="G239" s="42">
        <f>IF(C239="aFRR+",DAMAS_Daily!I239,DAMAS_Daily!J239)</f>
        <v/>
      </c>
      <c r="H239" s="43">
        <f>IF(C239="aFRR+",DAMAS_Daily!E239,DAMAS_Daily!F239)</f>
        <v/>
      </c>
      <c r="I239" s="43">
        <f>IF(C239="aFRR+",DAMAS_Daily!G239,DAMAS_Daily!H239)</f>
        <v/>
      </c>
      <c r="J239" s="45">
        <f>IF(C239="aFRR+",DAMAS_Daily!C239,DAMAS_Daily!D239)</f>
        <v/>
      </c>
      <c r="K239" s="45">
        <f>IF(C239="aFRR+",MIN(DAMAS_Daily!C239*market_share_D*acceptance_rate*stack_activation,power_mw*hours_per_day,capacity_mwh),MIN(DAMAS_Daily!D239*market_share_D*acceptance_rate*stack_activation,power_mw*hours_per_day,capacity_mwh))</f>
        <v/>
      </c>
      <c r="L239" s="42">
        <f>IF(K239&gt;=capacity_mwh-0.01,"yes","no")</f>
        <v/>
      </c>
      <c r="M239" s="28">
        <f>IF(C239="aFRR+",(MIN(DAMAS_Daily!C239*market_share_D*acceptance_rate*stack_activation,power_mw*hours_per_day,capacity_mwh))*DAMAS_Daily!E239*activation_mult_D,(MIN(DAMAS_Daily!D239*market_share_D*acceptance_rate*stack_activation,power_mw*hours_per_day,capacity_mwh))*DAMAS_Daily!F239*activation_mult_D)</f>
        <v/>
      </c>
      <c r="N239" s="29">
        <f>F239+M239</f>
        <v/>
      </c>
    </row>
    <row r="240">
      <c r="A240" s="41">
        <f>DAMAS_Daily!A240</f>
        <v/>
      </c>
      <c r="B240" s="42">
        <f>DAMAS_Daily!B240</f>
        <v/>
      </c>
      <c r="C240" s="42">
        <f>IF((power_mw*hours_per_day*damas_afrr_up*capacity_mult_D*stack_capacity*acceptance_rate+(MIN(DAMAS_Daily!C240*market_share_D*acceptance_rate*stack_activation,power_mw*hours_per_day,capacity_mwh))*DAMAS_Daily!E240*activation_mult_D)&gt;=(power_mw*hours_per_day*damas_afrr_down*capacity_mult_D*stack_capacity*acceptance_rate+(MIN(DAMAS_Daily!D240*market_share_D*acceptance_rate*stack_activation,power_mw*hours_per_day,capacity_mwh))*DAMAS_Daily!F240*activation_mult_D),"aFRR+","aFRR-")</f>
        <v/>
      </c>
      <c r="D240" s="43">
        <f>IF(C240="aFRR+",damas_afrr_up*capacity_mult_D,damas_afrr_down*capacity_mult_D)</f>
        <v/>
      </c>
      <c r="E240" s="44">
        <f>acceptance_rate</f>
        <v/>
      </c>
      <c r="F240" s="28">
        <f>IF(C240="aFRR+",power_mw*hours_per_day*damas_afrr_up*capacity_mult_D*stack_capacity*acceptance_rate,power_mw*hours_per_day*damas_afrr_down*capacity_mult_D*stack_capacity*acceptance_rate)</f>
        <v/>
      </c>
      <c r="G240" s="42">
        <f>IF(C240="aFRR+",DAMAS_Daily!I240,DAMAS_Daily!J240)</f>
        <v/>
      </c>
      <c r="H240" s="43">
        <f>IF(C240="aFRR+",DAMAS_Daily!E240,DAMAS_Daily!F240)</f>
        <v/>
      </c>
      <c r="I240" s="43">
        <f>IF(C240="aFRR+",DAMAS_Daily!G240,DAMAS_Daily!H240)</f>
        <v/>
      </c>
      <c r="J240" s="45">
        <f>IF(C240="aFRR+",DAMAS_Daily!C240,DAMAS_Daily!D240)</f>
        <v/>
      </c>
      <c r="K240" s="45">
        <f>IF(C240="aFRR+",MIN(DAMAS_Daily!C240*market_share_D*acceptance_rate*stack_activation,power_mw*hours_per_day,capacity_mwh),MIN(DAMAS_Daily!D240*market_share_D*acceptance_rate*stack_activation,power_mw*hours_per_day,capacity_mwh))</f>
        <v/>
      </c>
      <c r="L240" s="42">
        <f>IF(K240&gt;=capacity_mwh-0.01,"yes","no")</f>
        <v/>
      </c>
      <c r="M240" s="28">
        <f>IF(C240="aFRR+",(MIN(DAMAS_Daily!C240*market_share_D*acceptance_rate*stack_activation,power_mw*hours_per_day,capacity_mwh))*DAMAS_Daily!E240*activation_mult_D,(MIN(DAMAS_Daily!D240*market_share_D*acceptance_rate*stack_activation,power_mw*hours_per_day,capacity_mwh))*DAMAS_Daily!F240*activation_mult_D)</f>
        <v/>
      </c>
      <c r="N240" s="29">
        <f>F240+M240</f>
        <v/>
      </c>
    </row>
    <row r="241">
      <c r="A241" s="41">
        <f>DAMAS_Daily!A241</f>
        <v/>
      </c>
      <c r="B241" s="42">
        <f>DAMAS_Daily!B241</f>
        <v/>
      </c>
      <c r="C241" s="42">
        <f>IF((power_mw*hours_per_day*damas_afrr_up*capacity_mult_D*stack_capacity*acceptance_rate+(MIN(DAMAS_Daily!C241*market_share_D*acceptance_rate*stack_activation,power_mw*hours_per_day,capacity_mwh))*DAMAS_Daily!E241*activation_mult_D)&gt;=(power_mw*hours_per_day*damas_afrr_down*capacity_mult_D*stack_capacity*acceptance_rate+(MIN(DAMAS_Daily!D241*market_share_D*acceptance_rate*stack_activation,power_mw*hours_per_day,capacity_mwh))*DAMAS_Daily!F241*activation_mult_D),"aFRR+","aFRR-")</f>
        <v/>
      </c>
      <c r="D241" s="43">
        <f>IF(C241="aFRR+",damas_afrr_up*capacity_mult_D,damas_afrr_down*capacity_mult_D)</f>
        <v/>
      </c>
      <c r="E241" s="44">
        <f>acceptance_rate</f>
        <v/>
      </c>
      <c r="F241" s="28">
        <f>IF(C241="aFRR+",power_mw*hours_per_day*damas_afrr_up*capacity_mult_D*stack_capacity*acceptance_rate,power_mw*hours_per_day*damas_afrr_down*capacity_mult_D*stack_capacity*acceptance_rate)</f>
        <v/>
      </c>
      <c r="G241" s="42">
        <f>IF(C241="aFRR+",DAMAS_Daily!I241,DAMAS_Daily!J241)</f>
        <v/>
      </c>
      <c r="H241" s="43">
        <f>IF(C241="aFRR+",DAMAS_Daily!E241,DAMAS_Daily!F241)</f>
        <v/>
      </c>
      <c r="I241" s="43">
        <f>IF(C241="aFRR+",DAMAS_Daily!G241,DAMAS_Daily!H241)</f>
        <v/>
      </c>
      <c r="J241" s="45">
        <f>IF(C241="aFRR+",DAMAS_Daily!C241,DAMAS_Daily!D241)</f>
        <v/>
      </c>
      <c r="K241" s="45">
        <f>IF(C241="aFRR+",MIN(DAMAS_Daily!C241*market_share_D*acceptance_rate*stack_activation,power_mw*hours_per_day,capacity_mwh),MIN(DAMAS_Daily!D241*market_share_D*acceptance_rate*stack_activation,power_mw*hours_per_day,capacity_mwh))</f>
        <v/>
      </c>
      <c r="L241" s="42">
        <f>IF(K241&gt;=capacity_mwh-0.01,"yes","no")</f>
        <v/>
      </c>
      <c r="M241" s="28">
        <f>IF(C241="aFRR+",(MIN(DAMAS_Daily!C241*market_share_D*acceptance_rate*stack_activation,power_mw*hours_per_day,capacity_mwh))*DAMAS_Daily!E241*activation_mult_D,(MIN(DAMAS_Daily!D241*market_share_D*acceptance_rate*stack_activation,power_mw*hours_per_day,capacity_mwh))*DAMAS_Daily!F241*activation_mult_D)</f>
        <v/>
      </c>
      <c r="N241" s="29">
        <f>F241+M241</f>
        <v/>
      </c>
    </row>
    <row r="242">
      <c r="A242" s="41">
        <f>DAMAS_Daily!A242</f>
        <v/>
      </c>
      <c r="B242" s="42">
        <f>DAMAS_Daily!B242</f>
        <v/>
      </c>
      <c r="C242" s="42">
        <f>IF((power_mw*hours_per_day*damas_afrr_up*capacity_mult_D*stack_capacity*acceptance_rate+(MIN(DAMAS_Daily!C242*market_share_D*acceptance_rate*stack_activation,power_mw*hours_per_day,capacity_mwh))*DAMAS_Daily!E242*activation_mult_D)&gt;=(power_mw*hours_per_day*damas_afrr_down*capacity_mult_D*stack_capacity*acceptance_rate+(MIN(DAMAS_Daily!D242*market_share_D*acceptance_rate*stack_activation,power_mw*hours_per_day,capacity_mwh))*DAMAS_Daily!F242*activation_mult_D),"aFRR+","aFRR-")</f>
        <v/>
      </c>
      <c r="D242" s="43">
        <f>IF(C242="aFRR+",damas_afrr_up*capacity_mult_D,damas_afrr_down*capacity_mult_D)</f>
        <v/>
      </c>
      <c r="E242" s="44">
        <f>acceptance_rate</f>
        <v/>
      </c>
      <c r="F242" s="28">
        <f>IF(C242="aFRR+",power_mw*hours_per_day*damas_afrr_up*capacity_mult_D*stack_capacity*acceptance_rate,power_mw*hours_per_day*damas_afrr_down*capacity_mult_D*stack_capacity*acceptance_rate)</f>
        <v/>
      </c>
      <c r="G242" s="42">
        <f>IF(C242="aFRR+",DAMAS_Daily!I242,DAMAS_Daily!J242)</f>
        <v/>
      </c>
      <c r="H242" s="43">
        <f>IF(C242="aFRR+",DAMAS_Daily!E242,DAMAS_Daily!F242)</f>
        <v/>
      </c>
      <c r="I242" s="43">
        <f>IF(C242="aFRR+",DAMAS_Daily!G242,DAMAS_Daily!H242)</f>
        <v/>
      </c>
      <c r="J242" s="45">
        <f>IF(C242="aFRR+",DAMAS_Daily!C242,DAMAS_Daily!D242)</f>
        <v/>
      </c>
      <c r="K242" s="45">
        <f>IF(C242="aFRR+",MIN(DAMAS_Daily!C242*market_share_D*acceptance_rate*stack_activation,power_mw*hours_per_day,capacity_mwh),MIN(DAMAS_Daily!D242*market_share_D*acceptance_rate*stack_activation,power_mw*hours_per_day,capacity_mwh))</f>
        <v/>
      </c>
      <c r="L242" s="42">
        <f>IF(K242&gt;=capacity_mwh-0.01,"yes","no")</f>
        <v/>
      </c>
      <c r="M242" s="28">
        <f>IF(C242="aFRR+",(MIN(DAMAS_Daily!C242*market_share_D*acceptance_rate*stack_activation,power_mw*hours_per_day,capacity_mwh))*DAMAS_Daily!E242*activation_mult_D,(MIN(DAMAS_Daily!D242*market_share_D*acceptance_rate*stack_activation,power_mw*hours_per_day,capacity_mwh))*DAMAS_Daily!F242*activation_mult_D)</f>
        <v/>
      </c>
      <c r="N242" s="29">
        <f>F242+M242</f>
        <v/>
      </c>
    </row>
    <row r="243">
      <c r="A243" s="41">
        <f>DAMAS_Daily!A243</f>
        <v/>
      </c>
      <c r="B243" s="42">
        <f>DAMAS_Daily!B243</f>
        <v/>
      </c>
      <c r="C243" s="42">
        <f>IF((power_mw*hours_per_day*damas_afrr_up*capacity_mult_D*stack_capacity*acceptance_rate+(MIN(DAMAS_Daily!C243*market_share_D*acceptance_rate*stack_activation,power_mw*hours_per_day,capacity_mwh))*DAMAS_Daily!E243*activation_mult_D)&gt;=(power_mw*hours_per_day*damas_afrr_down*capacity_mult_D*stack_capacity*acceptance_rate+(MIN(DAMAS_Daily!D243*market_share_D*acceptance_rate*stack_activation,power_mw*hours_per_day,capacity_mwh))*DAMAS_Daily!F243*activation_mult_D),"aFRR+","aFRR-")</f>
        <v/>
      </c>
      <c r="D243" s="43">
        <f>IF(C243="aFRR+",damas_afrr_up*capacity_mult_D,damas_afrr_down*capacity_mult_D)</f>
        <v/>
      </c>
      <c r="E243" s="44">
        <f>acceptance_rate</f>
        <v/>
      </c>
      <c r="F243" s="28">
        <f>IF(C243="aFRR+",power_mw*hours_per_day*damas_afrr_up*capacity_mult_D*stack_capacity*acceptance_rate,power_mw*hours_per_day*damas_afrr_down*capacity_mult_D*stack_capacity*acceptance_rate)</f>
        <v/>
      </c>
      <c r="G243" s="42">
        <f>IF(C243="aFRR+",DAMAS_Daily!I243,DAMAS_Daily!J243)</f>
        <v/>
      </c>
      <c r="H243" s="43">
        <f>IF(C243="aFRR+",DAMAS_Daily!E243,DAMAS_Daily!F243)</f>
        <v/>
      </c>
      <c r="I243" s="43">
        <f>IF(C243="aFRR+",DAMAS_Daily!G243,DAMAS_Daily!H243)</f>
        <v/>
      </c>
      <c r="J243" s="45">
        <f>IF(C243="aFRR+",DAMAS_Daily!C243,DAMAS_Daily!D243)</f>
        <v/>
      </c>
      <c r="K243" s="45">
        <f>IF(C243="aFRR+",MIN(DAMAS_Daily!C243*market_share_D*acceptance_rate*stack_activation,power_mw*hours_per_day,capacity_mwh),MIN(DAMAS_Daily!D243*market_share_D*acceptance_rate*stack_activation,power_mw*hours_per_day,capacity_mwh))</f>
        <v/>
      </c>
      <c r="L243" s="42">
        <f>IF(K243&gt;=capacity_mwh-0.01,"yes","no")</f>
        <v/>
      </c>
      <c r="M243" s="28">
        <f>IF(C243="aFRR+",(MIN(DAMAS_Daily!C243*market_share_D*acceptance_rate*stack_activation,power_mw*hours_per_day,capacity_mwh))*DAMAS_Daily!E243*activation_mult_D,(MIN(DAMAS_Daily!D243*market_share_D*acceptance_rate*stack_activation,power_mw*hours_per_day,capacity_mwh))*DAMAS_Daily!F243*activation_mult_D)</f>
        <v/>
      </c>
      <c r="N243" s="29">
        <f>F243+M243</f>
        <v/>
      </c>
    </row>
    <row r="244">
      <c r="A244" s="41">
        <f>DAMAS_Daily!A244</f>
        <v/>
      </c>
      <c r="B244" s="42">
        <f>DAMAS_Daily!B244</f>
        <v/>
      </c>
      <c r="C244" s="42">
        <f>IF((power_mw*hours_per_day*damas_afrr_up*capacity_mult_D*stack_capacity*acceptance_rate+(MIN(DAMAS_Daily!C244*market_share_D*acceptance_rate*stack_activation,power_mw*hours_per_day,capacity_mwh))*DAMAS_Daily!E244*activation_mult_D)&gt;=(power_mw*hours_per_day*damas_afrr_down*capacity_mult_D*stack_capacity*acceptance_rate+(MIN(DAMAS_Daily!D244*market_share_D*acceptance_rate*stack_activation,power_mw*hours_per_day,capacity_mwh))*DAMAS_Daily!F244*activation_mult_D),"aFRR+","aFRR-")</f>
        <v/>
      </c>
      <c r="D244" s="43">
        <f>IF(C244="aFRR+",damas_afrr_up*capacity_mult_D,damas_afrr_down*capacity_mult_D)</f>
        <v/>
      </c>
      <c r="E244" s="44">
        <f>acceptance_rate</f>
        <v/>
      </c>
      <c r="F244" s="28">
        <f>IF(C244="aFRR+",power_mw*hours_per_day*damas_afrr_up*capacity_mult_D*stack_capacity*acceptance_rate,power_mw*hours_per_day*damas_afrr_down*capacity_mult_D*stack_capacity*acceptance_rate)</f>
        <v/>
      </c>
      <c r="G244" s="42">
        <f>IF(C244="aFRR+",DAMAS_Daily!I244,DAMAS_Daily!J244)</f>
        <v/>
      </c>
      <c r="H244" s="43">
        <f>IF(C244="aFRR+",DAMAS_Daily!E244,DAMAS_Daily!F244)</f>
        <v/>
      </c>
      <c r="I244" s="43">
        <f>IF(C244="aFRR+",DAMAS_Daily!G244,DAMAS_Daily!H244)</f>
        <v/>
      </c>
      <c r="J244" s="45">
        <f>IF(C244="aFRR+",DAMAS_Daily!C244,DAMAS_Daily!D244)</f>
        <v/>
      </c>
      <c r="K244" s="45">
        <f>IF(C244="aFRR+",MIN(DAMAS_Daily!C244*market_share_D*acceptance_rate*stack_activation,power_mw*hours_per_day,capacity_mwh),MIN(DAMAS_Daily!D244*market_share_D*acceptance_rate*stack_activation,power_mw*hours_per_day,capacity_mwh))</f>
        <v/>
      </c>
      <c r="L244" s="42">
        <f>IF(K244&gt;=capacity_mwh-0.01,"yes","no")</f>
        <v/>
      </c>
      <c r="M244" s="28">
        <f>IF(C244="aFRR+",(MIN(DAMAS_Daily!C244*market_share_D*acceptance_rate*stack_activation,power_mw*hours_per_day,capacity_mwh))*DAMAS_Daily!E244*activation_mult_D,(MIN(DAMAS_Daily!D244*market_share_D*acceptance_rate*stack_activation,power_mw*hours_per_day,capacity_mwh))*DAMAS_Daily!F244*activation_mult_D)</f>
        <v/>
      </c>
      <c r="N244" s="29">
        <f>F244+M244</f>
        <v/>
      </c>
    </row>
    <row r="245">
      <c r="A245" s="41">
        <f>DAMAS_Daily!A245</f>
        <v/>
      </c>
      <c r="B245" s="42">
        <f>DAMAS_Daily!B245</f>
        <v/>
      </c>
      <c r="C245" s="42">
        <f>IF((power_mw*hours_per_day*damas_afrr_up*capacity_mult_D*stack_capacity*acceptance_rate+(MIN(DAMAS_Daily!C245*market_share_D*acceptance_rate*stack_activation,power_mw*hours_per_day,capacity_mwh))*DAMAS_Daily!E245*activation_mult_D)&gt;=(power_mw*hours_per_day*damas_afrr_down*capacity_mult_D*stack_capacity*acceptance_rate+(MIN(DAMAS_Daily!D245*market_share_D*acceptance_rate*stack_activation,power_mw*hours_per_day,capacity_mwh))*DAMAS_Daily!F245*activation_mult_D),"aFRR+","aFRR-")</f>
        <v/>
      </c>
      <c r="D245" s="43">
        <f>IF(C245="aFRR+",damas_afrr_up*capacity_mult_D,damas_afrr_down*capacity_mult_D)</f>
        <v/>
      </c>
      <c r="E245" s="44">
        <f>acceptance_rate</f>
        <v/>
      </c>
      <c r="F245" s="28">
        <f>IF(C245="aFRR+",power_mw*hours_per_day*damas_afrr_up*capacity_mult_D*stack_capacity*acceptance_rate,power_mw*hours_per_day*damas_afrr_down*capacity_mult_D*stack_capacity*acceptance_rate)</f>
        <v/>
      </c>
      <c r="G245" s="42">
        <f>IF(C245="aFRR+",DAMAS_Daily!I245,DAMAS_Daily!J245)</f>
        <v/>
      </c>
      <c r="H245" s="43">
        <f>IF(C245="aFRR+",DAMAS_Daily!E245,DAMAS_Daily!F245)</f>
        <v/>
      </c>
      <c r="I245" s="43">
        <f>IF(C245="aFRR+",DAMAS_Daily!G245,DAMAS_Daily!H245)</f>
        <v/>
      </c>
      <c r="J245" s="45">
        <f>IF(C245="aFRR+",DAMAS_Daily!C245,DAMAS_Daily!D245)</f>
        <v/>
      </c>
      <c r="K245" s="45">
        <f>IF(C245="aFRR+",MIN(DAMAS_Daily!C245*market_share_D*acceptance_rate*stack_activation,power_mw*hours_per_day,capacity_mwh),MIN(DAMAS_Daily!D245*market_share_D*acceptance_rate*stack_activation,power_mw*hours_per_day,capacity_mwh))</f>
        <v/>
      </c>
      <c r="L245" s="42">
        <f>IF(K245&gt;=capacity_mwh-0.01,"yes","no")</f>
        <v/>
      </c>
      <c r="M245" s="28">
        <f>IF(C245="aFRR+",(MIN(DAMAS_Daily!C245*market_share_D*acceptance_rate*stack_activation,power_mw*hours_per_day,capacity_mwh))*DAMAS_Daily!E245*activation_mult_D,(MIN(DAMAS_Daily!D245*market_share_D*acceptance_rate*stack_activation,power_mw*hours_per_day,capacity_mwh))*DAMAS_Daily!F245*activation_mult_D)</f>
        <v/>
      </c>
      <c r="N245" s="29">
        <f>F245+M245</f>
        <v/>
      </c>
    </row>
    <row r="246">
      <c r="A246" s="41">
        <f>DAMAS_Daily!A246</f>
        <v/>
      </c>
      <c r="B246" s="42">
        <f>DAMAS_Daily!B246</f>
        <v/>
      </c>
      <c r="C246" s="42">
        <f>IF((power_mw*hours_per_day*damas_afrr_up*capacity_mult_D*stack_capacity*acceptance_rate+(MIN(DAMAS_Daily!C246*market_share_D*acceptance_rate*stack_activation,power_mw*hours_per_day,capacity_mwh))*DAMAS_Daily!E246*activation_mult_D)&gt;=(power_mw*hours_per_day*damas_afrr_down*capacity_mult_D*stack_capacity*acceptance_rate+(MIN(DAMAS_Daily!D246*market_share_D*acceptance_rate*stack_activation,power_mw*hours_per_day,capacity_mwh))*DAMAS_Daily!F246*activation_mult_D),"aFRR+","aFRR-")</f>
        <v/>
      </c>
      <c r="D246" s="43">
        <f>IF(C246="aFRR+",damas_afrr_up*capacity_mult_D,damas_afrr_down*capacity_mult_D)</f>
        <v/>
      </c>
      <c r="E246" s="44">
        <f>acceptance_rate</f>
        <v/>
      </c>
      <c r="F246" s="28">
        <f>IF(C246="aFRR+",power_mw*hours_per_day*damas_afrr_up*capacity_mult_D*stack_capacity*acceptance_rate,power_mw*hours_per_day*damas_afrr_down*capacity_mult_D*stack_capacity*acceptance_rate)</f>
        <v/>
      </c>
      <c r="G246" s="42">
        <f>IF(C246="aFRR+",DAMAS_Daily!I246,DAMAS_Daily!J246)</f>
        <v/>
      </c>
      <c r="H246" s="43">
        <f>IF(C246="aFRR+",DAMAS_Daily!E246,DAMAS_Daily!F246)</f>
        <v/>
      </c>
      <c r="I246" s="43">
        <f>IF(C246="aFRR+",DAMAS_Daily!G246,DAMAS_Daily!H246)</f>
        <v/>
      </c>
      <c r="J246" s="45">
        <f>IF(C246="aFRR+",DAMAS_Daily!C246,DAMAS_Daily!D246)</f>
        <v/>
      </c>
      <c r="K246" s="45">
        <f>IF(C246="aFRR+",MIN(DAMAS_Daily!C246*market_share_D*acceptance_rate*stack_activation,power_mw*hours_per_day,capacity_mwh),MIN(DAMAS_Daily!D246*market_share_D*acceptance_rate*stack_activation,power_mw*hours_per_day,capacity_mwh))</f>
        <v/>
      </c>
      <c r="L246" s="42">
        <f>IF(K246&gt;=capacity_mwh-0.01,"yes","no")</f>
        <v/>
      </c>
      <c r="M246" s="28">
        <f>IF(C246="aFRR+",(MIN(DAMAS_Daily!C246*market_share_D*acceptance_rate*stack_activation,power_mw*hours_per_day,capacity_mwh))*DAMAS_Daily!E246*activation_mult_D,(MIN(DAMAS_Daily!D246*market_share_D*acceptance_rate*stack_activation,power_mw*hours_per_day,capacity_mwh))*DAMAS_Daily!F246*activation_mult_D)</f>
        <v/>
      </c>
      <c r="N246" s="29">
        <f>F246+M246</f>
        <v/>
      </c>
    </row>
    <row r="247">
      <c r="A247" s="41">
        <f>DAMAS_Daily!A247</f>
        <v/>
      </c>
      <c r="B247" s="42">
        <f>DAMAS_Daily!B247</f>
        <v/>
      </c>
      <c r="C247" s="42">
        <f>IF((power_mw*hours_per_day*damas_afrr_up*capacity_mult_D*stack_capacity*acceptance_rate+(MIN(DAMAS_Daily!C247*market_share_D*acceptance_rate*stack_activation,power_mw*hours_per_day,capacity_mwh))*DAMAS_Daily!E247*activation_mult_D)&gt;=(power_mw*hours_per_day*damas_afrr_down*capacity_mult_D*stack_capacity*acceptance_rate+(MIN(DAMAS_Daily!D247*market_share_D*acceptance_rate*stack_activation,power_mw*hours_per_day,capacity_mwh))*DAMAS_Daily!F247*activation_mult_D),"aFRR+","aFRR-")</f>
        <v/>
      </c>
      <c r="D247" s="43">
        <f>IF(C247="aFRR+",damas_afrr_up*capacity_mult_D,damas_afrr_down*capacity_mult_D)</f>
        <v/>
      </c>
      <c r="E247" s="44">
        <f>acceptance_rate</f>
        <v/>
      </c>
      <c r="F247" s="28">
        <f>IF(C247="aFRR+",power_mw*hours_per_day*damas_afrr_up*capacity_mult_D*stack_capacity*acceptance_rate,power_mw*hours_per_day*damas_afrr_down*capacity_mult_D*stack_capacity*acceptance_rate)</f>
        <v/>
      </c>
      <c r="G247" s="42">
        <f>IF(C247="aFRR+",DAMAS_Daily!I247,DAMAS_Daily!J247)</f>
        <v/>
      </c>
      <c r="H247" s="43">
        <f>IF(C247="aFRR+",DAMAS_Daily!E247,DAMAS_Daily!F247)</f>
        <v/>
      </c>
      <c r="I247" s="43">
        <f>IF(C247="aFRR+",DAMAS_Daily!G247,DAMAS_Daily!H247)</f>
        <v/>
      </c>
      <c r="J247" s="45">
        <f>IF(C247="aFRR+",DAMAS_Daily!C247,DAMAS_Daily!D247)</f>
        <v/>
      </c>
      <c r="K247" s="45">
        <f>IF(C247="aFRR+",MIN(DAMAS_Daily!C247*market_share_D*acceptance_rate*stack_activation,power_mw*hours_per_day,capacity_mwh),MIN(DAMAS_Daily!D247*market_share_D*acceptance_rate*stack_activation,power_mw*hours_per_day,capacity_mwh))</f>
        <v/>
      </c>
      <c r="L247" s="42">
        <f>IF(K247&gt;=capacity_mwh-0.01,"yes","no")</f>
        <v/>
      </c>
      <c r="M247" s="28">
        <f>IF(C247="aFRR+",(MIN(DAMAS_Daily!C247*market_share_D*acceptance_rate*stack_activation,power_mw*hours_per_day,capacity_mwh))*DAMAS_Daily!E247*activation_mult_D,(MIN(DAMAS_Daily!D247*market_share_D*acceptance_rate*stack_activation,power_mw*hours_per_day,capacity_mwh))*DAMAS_Daily!F247*activation_mult_D)</f>
        <v/>
      </c>
      <c r="N247" s="29">
        <f>F247+M247</f>
        <v/>
      </c>
    </row>
    <row r="248">
      <c r="A248" s="41">
        <f>DAMAS_Daily!A248</f>
        <v/>
      </c>
      <c r="B248" s="42">
        <f>DAMAS_Daily!B248</f>
        <v/>
      </c>
      <c r="C248" s="42">
        <f>IF((power_mw*hours_per_day*damas_afrr_up*capacity_mult_D*stack_capacity*acceptance_rate+(MIN(DAMAS_Daily!C248*market_share_D*acceptance_rate*stack_activation,power_mw*hours_per_day,capacity_mwh))*DAMAS_Daily!E248*activation_mult_D)&gt;=(power_mw*hours_per_day*damas_afrr_down*capacity_mult_D*stack_capacity*acceptance_rate+(MIN(DAMAS_Daily!D248*market_share_D*acceptance_rate*stack_activation,power_mw*hours_per_day,capacity_mwh))*DAMAS_Daily!F248*activation_mult_D),"aFRR+","aFRR-")</f>
        <v/>
      </c>
      <c r="D248" s="43">
        <f>IF(C248="aFRR+",damas_afrr_up*capacity_mult_D,damas_afrr_down*capacity_mult_D)</f>
        <v/>
      </c>
      <c r="E248" s="44">
        <f>acceptance_rate</f>
        <v/>
      </c>
      <c r="F248" s="28">
        <f>IF(C248="aFRR+",power_mw*hours_per_day*damas_afrr_up*capacity_mult_D*stack_capacity*acceptance_rate,power_mw*hours_per_day*damas_afrr_down*capacity_mult_D*stack_capacity*acceptance_rate)</f>
        <v/>
      </c>
      <c r="G248" s="42">
        <f>IF(C248="aFRR+",DAMAS_Daily!I248,DAMAS_Daily!J248)</f>
        <v/>
      </c>
      <c r="H248" s="43">
        <f>IF(C248="aFRR+",DAMAS_Daily!E248,DAMAS_Daily!F248)</f>
        <v/>
      </c>
      <c r="I248" s="43">
        <f>IF(C248="aFRR+",DAMAS_Daily!G248,DAMAS_Daily!H248)</f>
        <v/>
      </c>
      <c r="J248" s="45">
        <f>IF(C248="aFRR+",DAMAS_Daily!C248,DAMAS_Daily!D248)</f>
        <v/>
      </c>
      <c r="K248" s="45">
        <f>IF(C248="aFRR+",MIN(DAMAS_Daily!C248*market_share_D*acceptance_rate*stack_activation,power_mw*hours_per_day,capacity_mwh),MIN(DAMAS_Daily!D248*market_share_D*acceptance_rate*stack_activation,power_mw*hours_per_day,capacity_mwh))</f>
        <v/>
      </c>
      <c r="L248" s="42">
        <f>IF(K248&gt;=capacity_mwh-0.01,"yes","no")</f>
        <v/>
      </c>
      <c r="M248" s="28">
        <f>IF(C248="aFRR+",(MIN(DAMAS_Daily!C248*market_share_D*acceptance_rate*stack_activation,power_mw*hours_per_day,capacity_mwh))*DAMAS_Daily!E248*activation_mult_D,(MIN(DAMAS_Daily!D248*market_share_D*acceptance_rate*stack_activation,power_mw*hours_per_day,capacity_mwh))*DAMAS_Daily!F248*activation_mult_D)</f>
        <v/>
      </c>
      <c r="N248" s="29">
        <f>F248+M248</f>
        <v/>
      </c>
    </row>
    <row r="249">
      <c r="A249" s="41">
        <f>DAMAS_Daily!A249</f>
        <v/>
      </c>
      <c r="B249" s="42">
        <f>DAMAS_Daily!B249</f>
        <v/>
      </c>
      <c r="C249" s="42">
        <f>IF((power_mw*hours_per_day*damas_afrr_up*capacity_mult_D*stack_capacity*acceptance_rate+(MIN(DAMAS_Daily!C249*market_share_D*acceptance_rate*stack_activation,power_mw*hours_per_day,capacity_mwh))*DAMAS_Daily!E249*activation_mult_D)&gt;=(power_mw*hours_per_day*damas_afrr_down*capacity_mult_D*stack_capacity*acceptance_rate+(MIN(DAMAS_Daily!D249*market_share_D*acceptance_rate*stack_activation,power_mw*hours_per_day,capacity_mwh))*DAMAS_Daily!F249*activation_mult_D),"aFRR+","aFRR-")</f>
        <v/>
      </c>
      <c r="D249" s="43">
        <f>IF(C249="aFRR+",damas_afrr_up*capacity_mult_D,damas_afrr_down*capacity_mult_D)</f>
        <v/>
      </c>
      <c r="E249" s="44">
        <f>acceptance_rate</f>
        <v/>
      </c>
      <c r="F249" s="28">
        <f>IF(C249="aFRR+",power_mw*hours_per_day*damas_afrr_up*capacity_mult_D*stack_capacity*acceptance_rate,power_mw*hours_per_day*damas_afrr_down*capacity_mult_D*stack_capacity*acceptance_rate)</f>
        <v/>
      </c>
      <c r="G249" s="42">
        <f>IF(C249="aFRR+",DAMAS_Daily!I249,DAMAS_Daily!J249)</f>
        <v/>
      </c>
      <c r="H249" s="43">
        <f>IF(C249="aFRR+",DAMAS_Daily!E249,DAMAS_Daily!F249)</f>
        <v/>
      </c>
      <c r="I249" s="43">
        <f>IF(C249="aFRR+",DAMAS_Daily!G249,DAMAS_Daily!H249)</f>
        <v/>
      </c>
      <c r="J249" s="45">
        <f>IF(C249="aFRR+",DAMAS_Daily!C249,DAMAS_Daily!D249)</f>
        <v/>
      </c>
      <c r="K249" s="45">
        <f>IF(C249="aFRR+",MIN(DAMAS_Daily!C249*market_share_D*acceptance_rate*stack_activation,power_mw*hours_per_day,capacity_mwh),MIN(DAMAS_Daily!D249*market_share_D*acceptance_rate*stack_activation,power_mw*hours_per_day,capacity_mwh))</f>
        <v/>
      </c>
      <c r="L249" s="42">
        <f>IF(K249&gt;=capacity_mwh-0.01,"yes","no")</f>
        <v/>
      </c>
      <c r="M249" s="28">
        <f>IF(C249="aFRR+",(MIN(DAMAS_Daily!C249*market_share_D*acceptance_rate*stack_activation,power_mw*hours_per_day,capacity_mwh))*DAMAS_Daily!E249*activation_mult_D,(MIN(DAMAS_Daily!D249*market_share_D*acceptance_rate*stack_activation,power_mw*hours_per_day,capacity_mwh))*DAMAS_Daily!F249*activation_mult_D)</f>
        <v/>
      </c>
      <c r="N249" s="29">
        <f>F249+M249</f>
        <v/>
      </c>
    </row>
    <row r="250">
      <c r="A250" s="41">
        <f>DAMAS_Daily!A250</f>
        <v/>
      </c>
      <c r="B250" s="42">
        <f>DAMAS_Daily!B250</f>
        <v/>
      </c>
      <c r="C250" s="42">
        <f>IF((power_mw*hours_per_day*damas_afrr_up*capacity_mult_D*stack_capacity*acceptance_rate+(MIN(DAMAS_Daily!C250*market_share_D*acceptance_rate*stack_activation,power_mw*hours_per_day,capacity_mwh))*DAMAS_Daily!E250*activation_mult_D)&gt;=(power_mw*hours_per_day*damas_afrr_down*capacity_mult_D*stack_capacity*acceptance_rate+(MIN(DAMAS_Daily!D250*market_share_D*acceptance_rate*stack_activation,power_mw*hours_per_day,capacity_mwh))*DAMAS_Daily!F250*activation_mult_D),"aFRR+","aFRR-")</f>
        <v/>
      </c>
      <c r="D250" s="43">
        <f>IF(C250="aFRR+",damas_afrr_up*capacity_mult_D,damas_afrr_down*capacity_mult_D)</f>
        <v/>
      </c>
      <c r="E250" s="44">
        <f>acceptance_rate</f>
        <v/>
      </c>
      <c r="F250" s="28">
        <f>IF(C250="aFRR+",power_mw*hours_per_day*damas_afrr_up*capacity_mult_D*stack_capacity*acceptance_rate,power_mw*hours_per_day*damas_afrr_down*capacity_mult_D*stack_capacity*acceptance_rate)</f>
        <v/>
      </c>
      <c r="G250" s="42">
        <f>IF(C250="aFRR+",DAMAS_Daily!I250,DAMAS_Daily!J250)</f>
        <v/>
      </c>
      <c r="H250" s="43">
        <f>IF(C250="aFRR+",DAMAS_Daily!E250,DAMAS_Daily!F250)</f>
        <v/>
      </c>
      <c r="I250" s="43">
        <f>IF(C250="aFRR+",DAMAS_Daily!G250,DAMAS_Daily!H250)</f>
        <v/>
      </c>
      <c r="J250" s="45">
        <f>IF(C250="aFRR+",DAMAS_Daily!C250,DAMAS_Daily!D250)</f>
        <v/>
      </c>
      <c r="K250" s="45">
        <f>IF(C250="aFRR+",MIN(DAMAS_Daily!C250*market_share_D*acceptance_rate*stack_activation,power_mw*hours_per_day,capacity_mwh),MIN(DAMAS_Daily!D250*market_share_D*acceptance_rate*stack_activation,power_mw*hours_per_day,capacity_mwh))</f>
        <v/>
      </c>
      <c r="L250" s="42">
        <f>IF(K250&gt;=capacity_mwh-0.01,"yes","no")</f>
        <v/>
      </c>
      <c r="M250" s="28">
        <f>IF(C250="aFRR+",(MIN(DAMAS_Daily!C250*market_share_D*acceptance_rate*stack_activation,power_mw*hours_per_day,capacity_mwh))*DAMAS_Daily!E250*activation_mult_D,(MIN(DAMAS_Daily!D250*market_share_D*acceptance_rate*stack_activation,power_mw*hours_per_day,capacity_mwh))*DAMAS_Daily!F250*activation_mult_D)</f>
        <v/>
      </c>
      <c r="N250" s="29">
        <f>F250+M250</f>
        <v/>
      </c>
    </row>
    <row r="251">
      <c r="A251" s="41">
        <f>DAMAS_Daily!A251</f>
        <v/>
      </c>
      <c r="B251" s="42">
        <f>DAMAS_Daily!B251</f>
        <v/>
      </c>
      <c r="C251" s="42">
        <f>IF((power_mw*hours_per_day*damas_afrr_up*capacity_mult_D*stack_capacity*acceptance_rate+(MIN(DAMAS_Daily!C251*market_share_D*acceptance_rate*stack_activation,power_mw*hours_per_day,capacity_mwh))*DAMAS_Daily!E251*activation_mult_D)&gt;=(power_mw*hours_per_day*damas_afrr_down*capacity_mult_D*stack_capacity*acceptance_rate+(MIN(DAMAS_Daily!D251*market_share_D*acceptance_rate*stack_activation,power_mw*hours_per_day,capacity_mwh))*DAMAS_Daily!F251*activation_mult_D),"aFRR+","aFRR-")</f>
        <v/>
      </c>
      <c r="D251" s="43">
        <f>IF(C251="aFRR+",damas_afrr_up*capacity_mult_D,damas_afrr_down*capacity_mult_D)</f>
        <v/>
      </c>
      <c r="E251" s="44">
        <f>acceptance_rate</f>
        <v/>
      </c>
      <c r="F251" s="28">
        <f>IF(C251="aFRR+",power_mw*hours_per_day*damas_afrr_up*capacity_mult_D*stack_capacity*acceptance_rate,power_mw*hours_per_day*damas_afrr_down*capacity_mult_D*stack_capacity*acceptance_rate)</f>
        <v/>
      </c>
      <c r="G251" s="42">
        <f>IF(C251="aFRR+",DAMAS_Daily!I251,DAMAS_Daily!J251)</f>
        <v/>
      </c>
      <c r="H251" s="43">
        <f>IF(C251="aFRR+",DAMAS_Daily!E251,DAMAS_Daily!F251)</f>
        <v/>
      </c>
      <c r="I251" s="43">
        <f>IF(C251="aFRR+",DAMAS_Daily!G251,DAMAS_Daily!H251)</f>
        <v/>
      </c>
      <c r="J251" s="45">
        <f>IF(C251="aFRR+",DAMAS_Daily!C251,DAMAS_Daily!D251)</f>
        <v/>
      </c>
      <c r="K251" s="45">
        <f>IF(C251="aFRR+",MIN(DAMAS_Daily!C251*market_share_D*acceptance_rate*stack_activation,power_mw*hours_per_day,capacity_mwh),MIN(DAMAS_Daily!D251*market_share_D*acceptance_rate*stack_activation,power_mw*hours_per_day,capacity_mwh))</f>
        <v/>
      </c>
      <c r="L251" s="42">
        <f>IF(K251&gt;=capacity_mwh-0.01,"yes","no")</f>
        <v/>
      </c>
      <c r="M251" s="28">
        <f>IF(C251="aFRR+",(MIN(DAMAS_Daily!C251*market_share_D*acceptance_rate*stack_activation,power_mw*hours_per_day,capacity_mwh))*DAMAS_Daily!E251*activation_mult_D,(MIN(DAMAS_Daily!D251*market_share_D*acceptance_rate*stack_activation,power_mw*hours_per_day,capacity_mwh))*DAMAS_Daily!F251*activation_mult_D)</f>
        <v/>
      </c>
      <c r="N251" s="29">
        <f>F251+M251</f>
        <v/>
      </c>
    </row>
    <row r="252">
      <c r="A252" s="41">
        <f>DAMAS_Daily!A252</f>
        <v/>
      </c>
      <c r="B252" s="42">
        <f>DAMAS_Daily!B252</f>
        <v/>
      </c>
      <c r="C252" s="42">
        <f>IF((power_mw*hours_per_day*damas_afrr_up*capacity_mult_D*stack_capacity*acceptance_rate+(MIN(DAMAS_Daily!C252*market_share_D*acceptance_rate*stack_activation,power_mw*hours_per_day,capacity_mwh))*DAMAS_Daily!E252*activation_mult_D)&gt;=(power_mw*hours_per_day*damas_afrr_down*capacity_mult_D*stack_capacity*acceptance_rate+(MIN(DAMAS_Daily!D252*market_share_D*acceptance_rate*stack_activation,power_mw*hours_per_day,capacity_mwh))*DAMAS_Daily!F252*activation_mult_D),"aFRR+","aFRR-")</f>
        <v/>
      </c>
      <c r="D252" s="43">
        <f>IF(C252="aFRR+",damas_afrr_up*capacity_mult_D,damas_afrr_down*capacity_mult_D)</f>
        <v/>
      </c>
      <c r="E252" s="44">
        <f>acceptance_rate</f>
        <v/>
      </c>
      <c r="F252" s="28">
        <f>IF(C252="aFRR+",power_mw*hours_per_day*damas_afrr_up*capacity_mult_D*stack_capacity*acceptance_rate,power_mw*hours_per_day*damas_afrr_down*capacity_mult_D*stack_capacity*acceptance_rate)</f>
        <v/>
      </c>
      <c r="G252" s="42">
        <f>IF(C252="aFRR+",DAMAS_Daily!I252,DAMAS_Daily!J252)</f>
        <v/>
      </c>
      <c r="H252" s="43">
        <f>IF(C252="aFRR+",DAMAS_Daily!E252,DAMAS_Daily!F252)</f>
        <v/>
      </c>
      <c r="I252" s="43">
        <f>IF(C252="aFRR+",DAMAS_Daily!G252,DAMAS_Daily!H252)</f>
        <v/>
      </c>
      <c r="J252" s="45">
        <f>IF(C252="aFRR+",DAMAS_Daily!C252,DAMAS_Daily!D252)</f>
        <v/>
      </c>
      <c r="K252" s="45">
        <f>IF(C252="aFRR+",MIN(DAMAS_Daily!C252*market_share_D*acceptance_rate*stack_activation,power_mw*hours_per_day,capacity_mwh),MIN(DAMAS_Daily!D252*market_share_D*acceptance_rate*stack_activation,power_mw*hours_per_day,capacity_mwh))</f>
        <v/>
      </c>
      <c r="L252" s="42">
        <f>IF(K252&gt;=capacity_mwh-0.01,"yes","no")</f>
        <v/>
      </c>
      <c r="M252" s="28">
        <f>IF(C252="aFRR+",(MIN(DAMAS_Daily!C252*market_share_D*acceptance_rate*stack_activation,power_mw*hours_per_day,capacity_mwh))*DAMAS_Daily!E252*activation_mult_D,(MIN(DAMAS_Daily!D252*market_share_D*acceptance_rate*stack_activation,power_mw*hours_per_day,capacity_mwh))*DAMAS_Daily!F252*activation_mult_D)</f>
        <v/>
      </c>
      <c r="N252" s="29">
        <f>F252+M252</f>
        <v/>
      </c>
    </row>
    <row r="253">
      <c r="A253" s="41">
        <f>DAMAS_Daily!A253</f>
        <v/>
      </c>
      <c r="B253" s="42">
        <f>DAMAS_Daily!B253</f>
        <v/>
      </c>
      <c r="C253" s="42">
        <f>IF((power_mw*hours_per_day*damas_afrr_up*capacity_mult_D*stack_capacity*acceptance_rate+(MIN(DAMAS_Daily!C253*market_share_D*acceptance_rate*stack_activation,power_mw*hours_per_day,capacity_mwh))*DAMAS_Daily!E253*activation_mult_D)&gt;=(power_mw*hours_per_day*damas_afrr_down*capacity_mult_D*stack_capacity*acceptance_rate+(MIN(DAMAS_Daily!D253*market_share_D*acceptance_rate*stack_activation,power_mw*hours_per_day,capacity_mwh))*DAMAS_Daily!F253*activation_mult_D),"aFRR+","aFRR-")</f>
        <v/>
      </c>
      <c r="D253" s="43">
        <f>IF(C253="aFRR+",damas_afrr_up*capacity_mult_D,damas_afrr_down*capacity_mult_D)</f>
        <v/>
      </c>
      <c r="E253" s="44">
        <f>acceptance_rate</f>
        <v/>
      </c>
      <c r="F253" s="28">
        <f>IF(C253="aFRR+",power_mw*hours_per_day*damas_afrr_up*capacity_mult_D*stack_capacity*acceptance_rate,power_mw*hours_per_day*damas_afrr_down*capacity_mult_D*stack_capacity*acceptance_rate)</f>
        <v/>
      </c>
      <c r="G253" s="42">
        <f>IF(C253="aFRR+",DAMAS_Daily!I253,DAMAS_Daily!J253)</f>
        <v/>
      </c>
      <c r="H253" s="43">
        <f>IF(C253="aFRR+",DAMAS_Daily!E253,DAMAS_Daily!F253)</f>
        <v/>
      </c>
      <c r="I253" s="43">
        <f>IF(C253="aFRR+",DAMAS_Daily!G253,DAMAS_Daily!H253)</f>
        <v/>
      </c>
      <c r="J253" s="45">
        <f>IF(C253="aFRR+",DAMAS_Daily!C253,DAMAS_Daily!D253)</f>
        <v/>
      </c>
      <c r="K253" s="45">
        <f>IF(C253="aFRR+",MIN(DAMAS_Daily!C253*market_share_D*acceptance_rate*stack_activation,power_mw*hours_per_day,capacity_mwh),MIN(DAMAS_Daily!D253*market_share_D*acceptance_rate*stack_activation,power_mw*hours_per_day,capacity_mwh))</f>
        <v/>
      </c>
      <c r="L253" s="42">
        <f>IF(K253&gt;=capacity_mwh-0.01,"yes","no")</f>
        <v/>
      </c>
      <c r="M253" s="28">
        <f>IF(C253="aFRR+",(MIN(DAMAS_Daily!C253*market_share_D*acceptance_rate*stack_activation,power_mw*hours_per_day,capacity_mwh))*DAMAS_Daily!E253*activation_mult_D,(MIN(DAMAS_Daily!D253*market_share_D*acceptance_rate*stack_activation,power_mw*hours_per_day,capacity_mwh))*DAMAS_Daily!F253*activation_mult_D)</f>
        <v/>
      </c>
      <c r="N253" s="29">
        <f>F253+M253</f>
        <v/>
      </c>
    </row>
    <row r="254">
      <c r="A254" s="41">
        <f>DAMAS_Daily!A254</f>
        <v/>
      </c>
      <c r="B254" s="42">
        <f>DAMAS_Daily!B254</f>
        <v/>
      </c>
      <c r="C254" s="42">
        <f>IF((power_mw*hours_per_day*damas_afrr_up*capacity_mult_D*stack_capacity*acceptance_rate+(MIN(DAMAS_Daily!C254*market_share_D*acceptance_rate*stack_activation,power_mw*hours_per_day,capacity_mwh))*DAMAS_Daily!E254*activation_mult_D)&gt;=(power_mw*hours_per_day*damas_afrr_down*capacity_mult_D*stack_capacity*acceptance_rate+(MIN(DAMAS_Daily!D254*market_share_D*acceptance_rate*stack_activation,power_mw*hours_per_day,capacity_mwh))*DAMAS_Daily!F254*activation_mult_D),"aFRR+","aFRR-")</f>
        <v/>
      </c>
      <c r="D254" s="43">
        <f>IF(C254="aFRR+",damas_afrr_up*capacity_mult_D,damas_afrr_down*capacity_mult_D)</f>
        <v/>
      </c>
      <c r="E254" s="44">
        <f>acceptance_rate</f>
        <v/>
      </c>
      <c r="F254" s="28">
        <f>IF(C254="aFRR+",power_mw*hours_per_day*damas_afrr_up*capacity_mult_D*stack_capacity*acceptance_rate,power_mw*hours_per_day*damas_afrr_down*capacity_mult_D*stack_capacity*acceptance_rate)</f>
        <v/>
      </c>
      <c r="G254" s="42">
        <f>IF(C254="aFRR+",DAMAS_Daily!I254,DAMAS_Daily!J254)</f>
        <v/>
      </c>
      <c r="H254" s="43">
        <f>IF(C254="aFRR+",DAMAS_Daily!E254,DAMAS_Daily!F254)</f>
        <v/>
      </c>
      <c r="I254" s="43">
        <f>IF(C254="aFRR+",DAMAS_Daily!G254,DAMAS_Daily!H254)</f>
        <v/>
      </c>
      <c r="J254" s="45">
        <f>IF(C254="aFRR+",DAMAS_Daily!C254,DAMAS_Daily!D254)</f>
        <v/>
      </c>
      <c r="K254" s="45">
        <f>IF(C254="aFRR+",MIN(DAMAS_Daily!C254*market_share_D*acceptance_rate*stack_activation,power_mw*hours_per_day,capacity_mwh),MIN(DAMAS_Daily!D254*market_share_D*acceptance_rate*stack_activation,power_mw*hours_per_day,capacity_mwh))</f>
        <v/>
      </c>
      <c r="L254" s="42">
        <f>IF(K254&gt;=capacity_mwh-0.01,"yes","no")</f>
        <v/>
      </c>
      <c r="M254" s="28">
        <f>IF(C254="aFRR+",(MIN(DAMAS_Daily!C254*market_share_D*acceptance_rate*stack_activation,power_mw*hours_per_day,capacity_mwh))*DAMAS_Daily!E254*activation_mult_D,(MIN(DAMAS_Daily!D254*market_share_D*acceptance_rate*stack_activation,power_mw*hours_per_day,capacity_mwh))*DAMAS_Daily!F254*activation_mult_D)</f>
        <v/>
      </c>
      <c r="N254" s="29">
        <f>F254+M254</f>
        <v/>
      </c>
    </row>
    <row r="255">
      <c r="A255" s="41">
        <f>DAMAS_Daily!A255</f>
        <v/>
      </c>
      <c r="B255" s="42">
        <f>DAMAS_Daily!B255</f>
        <v/>
      </c>
      <c r="C255" s="42">
        <f>IF((power_mw*hours_per_day*damas_afrr_up*capacity_mult_D*stack_capacity*acceptance_rate+(MIN(DAMAS_Daily!C255*market_share_D*acceptance_rate*stack_activation,power_mw*hours_per_day,capacity_mwh))*DAMAS_Daily!E255*activation_mult_D)&gt;=(power_mw*hours_per_day*damas_afrr_down*capacity_mult_D*stack_capacity*acceptance_rate+(MIN(DAMAS_Daily!D255*market_share_D*acceptance_rate*stack_activation,power_mw*hours_per_day,capacity_mwh))*DAMAS_Daily!F255*activation_mult_D),"aFRR+","aFRR-")</f>
        <v/>
      </c>
      <c r="D255" s="43">
        <f>IF(C255="aFRR+",damas_afrr_up*capacity_mult_D,damas_afrr_down*capacity_mult_D)</f>
        <v/>
      </c>
      <c r="E255" s="44">
        <f>acceptance_rate</f>
        <v/>
      </c>
      <c r="F255" s="28">
        <f>IF(C255="aFRR+",power_mw*hours_per_day*damas_afrr_up*capacity_mult_D*stack_capacity*acceptance_rate,power_mw*hours_per_day*damas_afrr_down*capacity_mult_D*stack_capacity*acceptance_rate)</f>
        <v/>
      </c>
      <c r="G255" s="42">
        <f>IF(C255="aFRR+",DAMAS_Daily!I255,DAMAS_Daily!J255)</f>
        <v/>
      </c>
      <c r="H255" s="43">
        <f>IF(C255="aFRR+",DAMAS_Daily!E255,DAMAS_Daily!F255)</f>
        <v/>
      </c>
      <c r="I255" s="43">
        <f>IF(C255="aFRR+",DAMAS_Daily!G255,DAMAS_Daily!H255)</f>
        <v/>
      </c>
      <c r="J255" s="45">
        <f>IF(C255="aFRR+",DAMAS_Daily!C255,DAMAS_Daily!D255)</f>
        <v/>
      </c>
      <c r="K255" s="45">
        <f>IF(C255="aFRR+",MIN(DAMAS_Daily!C255*market_share_D*acceptance_rate*stack_activation,power_mw*hours_per_day,capacity_mwh),MIN(DAMAS_Daily!D255*market_share_D*acceptance_rate*stack_activation,power_mw*hours_per_day,capacity_mwh))</f>
        <v/>
      </c>
      <c r="L255" s="42">
        <f>IF(K255&gt;=capacity_mwh-0.01,"yes","no")</f>
        <v/>
      </c>
      <c r="M255" s="28">
        <f>IF(C255="aFRR+",(MIN(DAMAS_Daily!C255*market_share_D*acceptance_rate*stack_activation,power_mw*hours_per_day,capacity_mwh))*DAMAS_Daily!E255*activation_mult_D,(MIN(DAMAS_Daily!D255*market_share_D*acceptance_rate*stack_activation,power_mw*hours_per_day,capacity_mwh))*DAMAS_Daily!F255*activation_mult_D)</f>
        <v/>
      </c>
      <c r="N255" s="29">
        <f>F255+M255</f>
        <v/>
      </c>
    </row>
    <row r="256">
      <c r="A256" s="41">
        <f>DAMAS_Daily!A256</f>
        <v/>
      </c>
      <c r="B256" s="42">
        <f>DAMAS_Daily!B256</f>
        <v/>
      </c>
      <c r="C256" s="42">
        <f>IF((power_mw*hours_per_day*damas_afrr_up*capacity_mult_D*stack_capacity*acceptance_rate+(MIN(DAMAS_Daily!C256*market_share_D*acceptance_rate*stack_activation,power_mw*hours_per_day,capacity_mwh))*DAMAS_Daily!E256*activation_mult_D)&gt;=(power_mw*hours_per_day*damas_afrr_down*capacity_mult_D*stack_capacity*acceptance_rate+(MIN(DAMAS_Daily!D256*market_share_D*acceptance_rate*stack_activation,power_mw*hours_per_day,capacity_mwh))*DAMAS_Daily!F256*activation_mult_D),"aFRR+","aFRR-")</f>
        <v/>
      </c>
      <c r="D256" s="43">
        <f>IF(C256="aFRR+",damas_afrr_up*capacity_mult_D,damas_afrr_down*capacity_mult_D)</f>
        <v/>
      </c>
      <c r="E256" s="44">
        <f>acceptance_rate</f>
        <v/>
      </c>
      <c r="F256" s="28">
        <f>IF(C256="aFRR+",power_mw*hours_per_day*damas_afrr_up*capacity_mult_D*stack_capacity*acceptance_rate,power_mw*hours_per_day*damas_afrr_down*capacity_mult_D*stack_capacity*acceptance_rate)</f>
        <v/>
      </c>
      <c r="G256" s="42">
        <f>IF(C256="aFRR+",DAMAS_Daily!I256,DAMAS_Daily!J256)</f>
        <v/>
      </c>
      <c r="H256" s="43">
        <f>IF(C256="aFRR+",DAMAS_Daily!E256,DAMAS_Daily!F256)</f>
        <v/>
      </c>
      <c r="I256" s="43">
        <f>IF(C256="aFRR+",DAMAS_Daily!G256,DAMAS_Daily!H256)</f>
        <v/>
      </c>
      <c r="J256" s="45">
        <f>IF(C256="aFRR+",DAMAS_Daily!C256,DAMAS_Daily!D256)</f>
        <v/>
      </c>
      <c r="K256" s="45">
        <f>IF(C256="aFRR+",MIN(DAMAS_Daily!C256*market_share_D*acceptance_rate*stack_activation,power_mw*hours_per_day,capacity_mwh),MIN(DAMAS_Daily!D256*market_share_D*acceptance_rate*stack_activation,power_mw*hours_per_day,capacity_mwh))</f>
        <v/>
      </c>
      <c r="L256" s="42">
        <f>IF(K256&gt;=capacity_mwh-0.01,"yes","no")</f>
        <v/>
      </c>
      <c r="M256" s="28">
        <f>IF(C256="aFRR+",(MIN(DAMAS_Daily!C256*market_share_D*acceptance_rate*stack_activation,power_mw*hours_per_day,capacity_mwh))*DAMAS_Daily!E256*activation_mult_D,(MIN(DAMAS_Daily!D256*market_share_D*acceptance_rate*stack_activation,power_mw*hours_per_day,capacity_mwh))*DAMAS_Daily!F256*activation_mult_D)</f>
        <v/>
      </c>
      <c r="N256" s="29">
        <f>F256+M256</f>
        <v/>
      </c>
    </row>
    <row r="257">
      <c r="A257" s="41">
        <f>DAMAS_Daily!A257</f>
        <v/>
      </c>
      <c r="B257" s="42">
        <f>DAMAS_Daily!B257</f>
        <v/>
      </c>
      <c r="C257" s="42">
        <f>IF((power_mw*hours_per_day*damas_afrr_up*capacity_mult_D*stack_capacity*acceptance_rate+(MIN(DAMAS_Daily!C257*market_share_D*acceptance_rate*stack_activation,power_mw*hours_per_day,capacity_mwh))*DAMAS_Daily!E257*activation_mult_D)&gt;=(power_mw*hours_per_day*damas_afrr_down*capacity_mult_D*stack_capacity*acceptance_rate+(MIN(DAMAS_Daily!D257*market_share_D*acceptance_rate*stack_activation,power_mw*hours_per_day,capacity_mwh))*DAMAS_Daily!F257*activation_mult_D),"aFRR+","aFRR-")</f>
        <v/>
      </c>
      <c r="D257" s="43">
        <f>IF(C257="aFRR+",damas_afrr_up*capacity_mult_D,damas_afrr_down*capacity_mult_D)</f>
        <v/>
      </c>
      <c r="E257" s="44">
        <f>acceptance_rate</f>
        <v/>
      </c>
      <c r="F257" s="28">
        <f>IF(C257="aFRR+",power_mw*hours_per_day*damas_afrr_up*capacity_mult_D*stack_capacity*acceptance_rate,power_mw*hours_per_day*damas_afrr_down*capacity_mult_D*stack_capacity*acceptance_rate)</f>
        <v/>
      </c>
      <c r="G257" s="42">
        <f>IF(C257="aFRR+",DAMAS_Daily!I257,DAMAS_Daily!J257)</f>
        <v/>
      </c>
      <c r="H257" s="43">
        <f>IF(C257="aFRR+",DAMAS_Daily!E257,DAMAS_Daily!F257)</f>
        <v/>
      </c>
      <c r="I257" s="43">
        <f>IF(C257="aFRR+",DAMAS_Daily!G257,DAMAS_Daily!H257)</f>
        <v/>
      </c>
      <c r="J257" s="45">
        <f>IF(C257="aFRR+",DAMAS_Daily!C257,DAMAS_Daily!D257)</f>
        <v/>
      </c>
      <c r="K257" s="45">
        <f>IF(C257="aFRR+",MIN(DAMAS_Daily!C257*market_share_D*acceptance_rate*stack_activation,power_mw*hours_per_day,capacity_mwh),MIN(DAMAS_Daily!D257*market_share_D*acceptance_rate*stack_activation,power_mw*hours_per_day,capacity_mwh))</f>
        <v/>
      </c>
      <c r="L257" s="42">
        <f>IF(K257&gt;=capacity_mwh-0.01,"yes","no")</f>
        <v/>
      </c>
      <c r="M257" s="28">
        <f>IF(C257="aFRR+",(MIN(DAMAS_Daily!C257*market_share_D*acceptance_rate*stack_activation,power_mw*hours_per_day,capacity_mwh))*DAMAS_Daily!E257*activation_mult_D,(MIN(DAMAS_Daily!D257*market_share_D*acceptance_rate*stack_activation,power_mw*hours_per_day,capacity_mwh))*DAMAS_Daily!F257*activation_mult_D)</f>
        <v/>
      </c>
      <c r="N257" s="29">
        <f>F257+M257</f>
        <v/>
      </c>
    </row>
    <row r="258">
      <c r="A258" s="41">
        <f>DAMAS_Daily!A258</f>
        <v/>
      </c>
      <c r="B258" s="42">
        <f>DAMAS_Daily!B258</f>
        <v/>
      </c>
      <c r="C258" s="42">
        <f>IF((power_mw*hours_per_day*damas_afrr_up*capacity_mult_D*stack_capacity*acceptance_rate+(MIN(DAMAS_Daily!C258*market_share_D*acceptance_rate*stack_activation,power_mw*hours_per_day,capacity_mwh))*DAMAS_Daily!E258*activation_mult_D)&gt;=(power_mw*hours_per_day*damas_afrr_down*capacity_mult_D*stack_capacity*acceptance_rate+(MIN(DAMAS_Daily!D258*market_share_D*acceptance_rate*stack_activation,power_mw*hours_per_day,capacity_mwh))*DAMAS_Daily!F258*activation_mult_D),"aFRR+","aFRR-")</f>
        <v/>
      </c>
      <c r="D258" s="43">
        <f>IF(C258="aFRR+",damas_afrr_up*capacity_mult_D,damas_afrr_down*capacity_mult_D)</f>
        <v/>
      </c>
      <c r="E258" s="44">
        <f>acceptance_rate</f>
        <v/>
      </c>
      <c r="F258" s="28">
        <f>IF(C258="aFRR+",power_mw*hours_per_day*damas_afrr_up*capacity_mult_D*stack_capacity*acceptance_rate,power_mw*hours_per_day*damas_afrr_down*capacity_mult_D*stack_capacity*acceptance_rate)</f>
        <v/>
      </c>
      <c r="G258" s="42">
        <f>IF(C258="aFRR+",DAMAS_Daily!I258,DAMAS_Daily!J258)</f>
        <v/>
      </c>
      <c r="H258" s="43">
        <f>IF(C258="aFRR+",DAMAS_Daily!E258,DAMAS_Daily!F258)</f>
        <v/>
      </c>
      <c r="I258" s="43">
        <f>IF(C258="aFRR+",DAMAS_Daily!G258,DAMAS_Daily!H258)</f>
        <v/>
      </c>
      <c r="J258" s="45">
        <f>IF(C258="aFRR+",DAMAS_Daily!C258,DAMAS_Daily!D258)</f>
        <v/>
      </c>
      <c r="K258" s="45">
        <f>IF(C258="aFRR+",MIN(DAMAS_Daily!C258*market_share_D*acceptance_rate*stack_activation,power_mw*hours_per_day,capacity_mwh),MIN(DAMAS_Daily!D258*market_share_D*acceptance_rate*stack_activation,power_mw*hours_per_day,capacity_mwh))</f>
        <v/>
      </c>
      <c r="L258" s="42">
        <f>IF(K258&gt;=capacity_mwh-0.01,"yes","no")</f>
        <v/>
      </c>
      <c r="M258" s="28">
        <f>IF(C258="aFRR+",(MIN(DAMAS_Daily!C258*market_share_D*acceptance_rate*stack_activation,power_mw*hours_per_day,capacity_mwh))*DAMAS_Daily!E258*activation_mult_D,(MIN(DAMAS_Daily!D258*market_share_D*acceptance_rate*stack_activation,power_mw*hours_per_day,capacity_mwh))*DAMAS_Daily!F258*activation_mult_D)</f>
        <v/>
      </c>
      <c r="N258" s="29">
        <f>F258+M258</f>
        <v/>
      </c>
    </row>
    <row r="259">
      <c r="A259" s="41">
        <f>DAMAS_Daily!A259</f>
        <v/>
      </c>
      <c r="B259" s="42">
        <f>DAMAS_Daily!B259</f>
        <v/>
      </c>
      <c r="C259" s="42">
        <f>IF((power_mw*hours_per_day*damas_afrr_up*capacity_mult_D*stack_capacity*acceptance_rate+(MIN(DAMAS_Daily!C259*market_share_D*acceptance_rate*stack_activation,power_mw*hours_per_day,capacity_mwh))*DAMAS_Daily!E259*activation_mult_D)&gt;=(power_mw*hours_per_day*damas_afrr_down*capacity_mult_D*stack_capacity*acceptance_rate+(MIN(DAMAS_Daily!D259*market_share_D*acceptance_rate*stack_activation,power_mw*hours_per_day,capacity_mwh))*DAMAS_Daily!F259*activation_mult_D),"aFRR+","aFRR-")</f>
        <v/>
      </c>
      <c r="D259" s="43">
        <f>IF(C259="aFRR+",damas_afrr_up*capacity_mult_D,damas_afrr_down*capacity_mult_D)</f>
        <v/>
      </c>
      <c r="E259" s="44">
        <f>acceptance_rate</f>
        <v/>
      </c>
      <c r="F259" s="28">
        <f>IF(C259="aFRR+",power_mw*hours_per_day*damas_afrr_up*capacity_mult_D*stack_capacity*acceptance_rate,power_mw*hours_per_day*damas_afrr_down*capacity_mult_D*stack_capacity*acceptance_rate)</f>
        <v/>
      </c>
      <c r="G259" s="42">
        <f>IF(C259="aFRR+",DAMAS_Daily!I259,DAMAS_Daily!J259)</f>
        <v/>
      </c>
      <c r="H259" s="43">
        <f>IF(C259="aFRR+",DAMAS_Daily!E259,DAMAS_Daily!F259)</f>
        <v/>
      </c>
      <c r="I259" s="43">
        <f>IF(C259="aFRR+",DAMAS_Daily!G259,DAMAS_Daily!H259)</f>
        <v/>
      </c>
      <c r="J259" s="45">
        <f>IF(C259="aFRR+",DAMAS_Daily!C259,DAMAS_Daily!D259)</f>
        <v/>
      </c>
      <c r="K259" s="45">
        <f>IF(C259="aFRR+",MIN(DAMAS_Daily!C259*market_share_D*acceptance_rate*stack_activation,power_mw*hours_per_day,capacity_mwh),MIN(DAMAS_Daily!D259*market_share_D*acceptance_rate*stack_activation,power_mw*hours_per_day,capacity_mwh))</f>
        <v/>
      </c>
      <c r="L259" s="42">
        <f>IF(K259&gt;=capacity_mwh-0.01,"yes","no")</f>
        <v/>
      </c>
      <c r="M259" s="28">
        <f>IF(C259="aFRR+",(MIN(DAMAS_Daily!C259*market_share_D*acceptance_rate*stack_activation,power_mw*hours_per_day,capacity_mwh))*DAMAS_Daily!E259*activation_mult_D,(MIN(DAMAS_Daily!D259*market_share_D*acceptance_rate*stack_activation,power_mw*hours_per_day,capacity_mwh))*DAMAS_Daily!F259*activation_mult_D)</f>
        <v/>
      </c>
      <c r="N259" s="29">
        <f>F259+M259</f>
        <v/>
      </c>
    </row>
    <row r="260">
      <c r="A260" s="41">
        <f>DAMAS_Daily!A260</f>
        <v/>
      </c>
      <c r="B260" s="42">
        <f>DAMAS_Daily!B260</f>
        <v/>
      </c>
      <c r="C260" s="42">
        <f>IF((power_mw*hours_per_day*damas_afrr_up*capacity_mult_D*stack_capacity*acceptance_rate+(MIN(DAMAS_Daily!C260*market_share_D*acceptance_rate*stack_activation,power_mw*hours_per_day,capacity_mwh))*DAMAS_Daily!E260*activation_mult_D)&gt;=(power_mw*hours_per_day*damas_afrr_down*capacity_mult_D*stack_capacity*acceptance_rate+(MIN(DAMAS_Daily!D260*market_share_D*acceptance_rate*stack_activation,power_mw*hours_per_day,capacity_mwh))*DAMAS_Daily!F260*activation_mult_D),"aFRR+","aFRR-")</f>
        <v/>
      </c>
      <c r="D260" s="43">
        <f>IF(C260="aFRR+",damas_afrr_up*capacity_mult_D,damas_afrr_down*capacity_mult_D)</f>
        <v/>
      </c>
      <c r="E260" s="44">
        <f>acceptance_rate</f>
        <v/>
      </c>
      <c r="F260" s="28">
        <f>IF(C260="aFRR+",power_mw*hours_per_day*damas_afrr_up*capacity_mult_D*stack_capacity*acceptance_rate,power_mw*hours_per_day*damas_afrr_down*capacity_mult_D*stack_capacity*acceptance_rate)</f>
        <v/>
      </c>
      <c r="G260" s="42">
        <f>IF(C260="aFRR+",DAMAS_Daily!I260,DAMAS_Daily!J260)</f>
        <v/>
      </c>
      <c r="H260" s="43">
        <f>IF(C260="aFRR+",DAMAS_Daily!E260,DAMAS_Daily!F260)</f>
        <v/>
      </c>
      <c r="I260" s="43">
        <f>IF(C260="aFRR+",DAMAS_Daily!G260,DAMAS_Daily!H260)</f>
        <v/>
      </c>
      <c r="J260" s="45">
        <f>IF(C260="aFRR+",DAMAS_Daily!C260,DAMAS_Daily!D260)</f>
        <v/>
      </c>
      <c r="K260" s="45">
        <f>IF(C260="aFRR+",MIN(DAMAS_Daily!C260*market_share_D*acceptance_rate*stack_activation,power_mw*hours_per_day,capacity_mwh),MIN(DAMAS_Daily!D260*market_share_D*acceptance_rate*stack_activation,power_mw*hours_per_day,capacity_mwh))</f>
        <v/>
      </c>
      <c r="L260" s="42">
        <f>IF(K260&gt;=capacity_mwh-0.01,"yes","no")</f>
        <v/>
      </c>
      <c r="M260" s="28">
        <f>IF(C260="aFRR+",(MIN(DAMAS_Daily!C260*market_share_D*acceptance_rate*stack_activation,power_mw*hours_per_day,capacity_mwh))*DAMAS_Daily!E260*activation_mult_D,(MIN(DAMAS_Daily!D260*market_share_D*acceptance_rate*stack_activation,power_mw*hours_per_day,capacity_mwh))*DAMAS_Daily!F260*activation_mult_D)</f>
        <v/>
      </c>
      <c r="N260" s="29">
        <f>F260+M260</f>
        <v/>
      </c>
    </row>
    <row r="261">
      <c r="A261" s="41">
        <f>DAMAS_Daily!A261</f>
        <v/>
      </c>
      <c r="B261" s="42">
        <f>DAMAS_Daily!B261</f>
        <v/>
      </c>
      <c r="C261" s="42">
        <f>IF((power_mw*hours_per_day*damas_afrr_up*capacity_mult_D*stack_capacity*acceptance_rate+(MIN(DAMAS_Daily!C261*market_share_D*acceptance_rate*stack_activation,power_mw*hours_per_day,capacity_mwh))*DAMAS_Daily!E261*activation_mult_D)&gt;=(power_mw*hours_per_day*damas_afrr_down*capacity_mult_D*stack_capacity*acceptance_rate+(MIN(DAMAS_Daily!D261*market_share_D*acceptance_rate*stack_activation,power_mw*hours_per_day,capacity_mwh))*DAMAS_Daily!F261*activation_mult_D),"aFRR+","aFRR-")</f>
        <v/>
      </c>
      <c r="D261" s="43">
        <f>IF(C261="aFRR+",damas_afrr_up*capacity_mult_D,damas_afrr_down*capacity_mult_D)</f>
        <v/>
      </c>
      <c r="E261" s="44">
        <f>acceptance_rate</f>
        <v/>
      </c>
      <c r="F261" s="28">
        <f>IF(C261="aFRR+",power_mw*hours_per_day*damas_afrr_up*capacity_mult_D*stack_capacity*acceptance_rate,power_mw*hours_per_day*damas_afrr_down*capacity_mult_D*stack_capacity*acceptance_rate)</f>
        <v/>
      </c>
      <c r="G261" s="42">
        <f>IF(C261="aFRR+",DAMAS_Daily!I261,DAMAS_Daily!J261)</f>
        <v/>
      </c>
      <c r="H261" s="43">
        <f>IF(C261="aFRR+",DAMAS_Daily!E261,DAMAS_Daily!F261)</f>
        <v/>
      </c>
      <c r="I261" s="43">
        <f>IF(C261="aFRR+",DAMAS_Daily!G261,DAMAS_Daily!H261)</f>
        <v/>
      </c>
      <c r="J261" s="45">
        <f>IF(C261="aFRR+",DAMAS_Daily!C261,DAMAS_Daily!D261)</f>
        <v/>
      </c>
      <c r="K261" s="45">
        <f>IF(C261="aFRR+",MIN(DAMAS_Daily!C261*market_share_D*acceptance_rate*stack_activation,power_mw*hours_per_day,capacity_mwh),MIN(DAMAS_Daily!D261*market_share_D*acceptance_rate*stack_activation,power_mw*hours_per_day,capacity_mwh))</f>
        <v/>
      </c>
      <c r="L261" s="42">
        <f>IF(K261&gt;=capacity_mwh-0.01,"yes","no")</f>
        <v/>
      </c>
      <c r="M261" s="28">
        <f>IF(C261="aFRR+",(MIN(DAMAS_Daily!C261*market_share_D*acceptance_rate*stack_activation,power_mw*hours_per_day,capacity_mwh))*DAMAS_Daily!E261*activation_mult_D,(MIN(DAMAS_Daily!D261*market_share_D*acceptance_rate*stack_activation,power_mw*hours_per_day,capacity_mwh))*DAMAS_Daily!F261*activation_mult_D)</f>
        <v/>
      </c>
      <c r="N261" s="29">
        <f>F261+M261</f>
        <v/>
      </c>
    </row>
    <row r="262">
      <c r="A262" s="41">
        <f>DAMAS_Daily!A262</f>
        <v/>
      </c>
      <c r="B262" s="42">
        <f>DAMAS_Daily!B262</f>
        <v/>
      </c>
      <c r="C262" s="42">
        <f>IF((power_mw*hours_per_day*damas_afrr_up*capacity_mult_D*stack_capacity*acceptance_rate+(MIN(DAMAS_Daily!C262*market_share_D*acceptance_rate*stack_activation,power_mw*hours_per_day,capacity_mwh))*DAMAS_Daily!E262*activation_mult_D)&gt;=(power_mw*hours_per_day*damas_afrr_down*capacity_mult_D*stack_capacity*acceptance_rate+(MIN(DAMAS_Daily!D262*market_share_D*acceptance_rate*stack_activation,power_mw*hours_per_day,capacity_mwh))*DAMAS_Daily!F262*activation_mult_D),"aFRR+","aFRR-")</f>
        <v/>
      </c>
      <c r="D262" s="43">
        <f>IF(C262="aFRR+",damas_afrr_up*capacity_mult_D,damas_afrr_down*capacity_mult_D)</f>
        <v/>
      </c>
      <c r="E262" s="44">
        <f>acceptance_rate</f>
        <v/>
      </c>
      <c r="F262" s="28">
        <f>IF(C262="aFRR+",power_mw*hours_per_day*damas_afrr_up*capacity_mult_D*stack_capacity*acceptance_rate,power_mw*hours_per_day*damas_afrr_down*capacity_mult_D*stack_capacity*acceptance_rate)</f>
        <v/>
      </c>
      <c r="G262" s="42">
        <f>IF(C262="aFRR+",DAMAS_Daily!I262,DAMAS_Daily!J262)</f>
        <v/>
      </c>
      <c r="H262" s="43">
        <f>IF(C262="aFRR+",DAMAS_Daily!E262,DAMAS_Daily!F262)</f>
        <v/>
      </c>
      <c r="I262" s="43">
        <f>IF(C262="aFRR+",DAMAS_Daily!G262,DAMAS_Daily!H262)</f>
        <v/>
      </c>
      <c r="J262" s="45">
        <f>IF(C262="aFRR+",DAMAS_Daily!C262,DAMAS_Daily!D262)</f>
        <v/>
      </c>
      <c r="K262" s="45">
        <f>IF(C262="aFRR+",MIN(DAMAS_Daily!C262*market_share_D*acceptance_rate*stack_activation,power_mw*hours_per_day,capacity_mwh),MIN(DAMAS_Daily!D262*market_share_D*acceptance_rate*stack_activation,power_mw*hours_per_day,capacity_mwh))</f>
        <v/>
      </c>
      <c r="L262" s="42">
        <f>IF(K262&gt;=capacity_mwh-0.01,"yes","no")</f>
        <v/>
      </c>
      <c r="M262" s="28">
        <f>IF(C262="aFRR+",(MIN(DAMAS_Daily!C262*market_share_D*acceptance_rate*stack_activation,power_mw*hours_per_day,capacity_mwh))*DAMAS_Daily!E262*activation_mult_D,(MIN(DAMAS_Daily!D262*market_share_D*acceptance_rate*stack_activation,power_mw*hours_per_day,capacity_mwh))*DAMAS_Daily!F262*activation_mult_D)</f>
        <v/>
      </c>
      <c r="N262" s="29">
        <f>F262+M262</f>
        <v/>
      </c>
    </row>
    <row r="263">
      <c r="A263" s="41">
        <f>DAMAS_Daily!A263</f>
        <v/>
      </c>
      <c r="B263" s="42">
        <f>DAMAS_Daily!B263</f>
        <v/>
      </c>
      <c r="C263" s="42">
        <f>IF((power_mw*hours_per_day*damas_afrr_up*capacity_mult_D*stack_capacity*acceptance_rate+(MIN(DAMAS_Daily!C263*market_share_D*acceptance_rate*stack_activation,power_mw*hours_per_day,capacity_mwh))*DAMAS_Daily!E263*activation_mult_D)&gt;=(power_mw*hours_per_day*damas_afrr_down*capacity_mult_D*stack_capacity*acceptance_rate+(MIN(DAMAS_Daily!D263*market_share_D*acceptance_rate*stack_activation,power_mw*hours_per_day,capacity_mwh))*DAMAS_Daily!F263*activation_mult_D),"aFRR+","aFRR-")</f>
        <v/>
      </c>
      <c r="D263" s="43">
        <f>IF(C263="aFRR+",damas_afrr_up*capacity_mult_D,damas_afrr_down*capacity_mult_D)</f>
        <v/>
      </c>
      <c r="E263" s="44">
        <f>acceptance_rate</f>
        <v/>
      </c>
      <c r="F263" s="28">
        <f>IF(C263="aFRR+",power_mw*hours_per_day*damas_afrr_up*capacity_mult_D*stack_capacity*acceptance_rate,power_mw*hours_per_day*damas_afrr_down*capacity_mult_D*stack_capacity*acceptance_rate)</f>
        <v/>
      </c>
      <c r="G263" s="42">
        <f>IF(C263="aFRR+",DAMAS_Daily!I263,DAMAS_Daily!J263)</f>
        <v/>
      </c>
      <c r="H263" s="43">
        <f>IF(C263="aFRR+",DAMAS_Daily!E263,DAMAS_Daily!F263)</f>
        <v/>
      </c>
      <c r="I263" s="43">
        <f>IF(C263="aFRR+",DAMAS_Daily!G263,DAMAS_Daily!H263)</f>
        <v/>
      </c>
      <c r="J263" s="45">
        <f>IF(C263="aFRR+",DAMAS_Daily!C263,DAMAS_Daily!D263)</f>
        <v/>
      </c>
      <c r="K263" s="45">
        <f>IF(C263="aFRR+",MIN(DAMAS_Daily!C263*market_share_D*acceptance_rate*stack_activation,power_mw*hours_per_day,capacity_mwh),MIN(DAMAS_Daily!D263*market_share_D*acceptance_rate*stack_activation,power_mw*hours_per_day,capacity_mwh))</f>
        <v/>
      </c>
      <c r="L263" s="42">
        <f>IF(K263&gt;=capacity_mwh-0.01,"yes","no")</f>
        <v/>
      </c>
      <c r="M263" s="28">
        <f>IF(C263="aFRR+",(MIN(DAMAS_Daily!C263*market_share_D*acceptance_rate*stack_activation,power_mw*hours_per_day,capacity_mwh))*DAMAS_Daily!E263*activation_mult_D,(MIN(DAMAS_Daily!D263*market_share_D*acceptance_rate*stack_activation,power_mw*hours_per_day,capacity_mwh))*DAMAS_Daily!F263*activation_mult_D)</f>
        <v/>
      </c>
      <c r="N263" s="29">
        <f>F263+M263</f>
        <v/>
      </c>
    </row>
    <row r="264">
      <c r="A264" s="41">
        <f>DAMAS_Daily!A264</f>
        <v/>
      </c>
      <c r="B264" s="42">
        <f>DAMAS_Daily!B264</f>
        <v/>
      </c>
      <c r="C264" s="42">
        <f>IF((power_mw*hours_per_day*damas_afrr_up*capacity_mult_D*stack_capacity*acceptance_rate+(MIN(DAMAS_Daily!C264*market_share_D*acceptance_rate*stack_activation,power_mw*hours_per_day,capacity_mwh))*DAMAS_Daily!E264*activation_mult_D)&gt;=(power_mw*hours_per_day*damas_afrr_down*capacity_mult_D*stack_capacity*acceptance_rate+(MIN(DAMAS_Daily!D264*market_share_D*acceptance_rate*stack_activation,power_mw*hours_per_day,capacity_mwh))*DAMAS_Daily!F264*activation_mult_D),"aFRR+","aFRR-")</f>
        <v/>
      </c>
      <c r="D264" s="43">
        <f>IF(C264="aFRR+",damas_afrr_up*capacity_mult_D,damas_afrr_down*capacity_mult_D)</f>
        <v/>
      </c>
      <c r="E264" s="44">
        <f>acceptance_rate</f>
        <v/>
      </c>
      <c r="F264" s="28">
        <f>IF(C264="aFRR+",power_mw*hours_per_day*damas_afrr_up*capacity_mult_D*stack_capacity*acceptance_rate,power_mw*hours_per_day*damas_afrr_down*capacity_mult_D*stack_capacity*acceptance_rate)</f>
        <v/>
      </c>
      <c r="G264" s="42">
        <f>IF(C264="aFRR+",DAMAS_Daily!I264,DAMAS_Daily!J264)</f>
        <v/>
      </c>
      <c r="H264" s="43">
        <f>IF(C264="aFRR+",DAMAS_Daily!E264,DAMAS_Daily!F264)</f>
        <v/>
      </c>
      <c r="I264" s="43">
        <f>IF(C264="aFRR+",DAMAS_Daily!G264,DAMAS_Daily!H264)</f>
        <v/>
      </c>
      <c r="J264" s="45">
        <f>IF(C264="aFRR+",DAMAS_Daily!C264,DAMAS_Daily!D264)</f>
        <v/>
      </c>
      <c r="K264" s="45">
        <f>IF(C264="aFRR+",MIN(DAMAS_Daily!C264*market_share_D*acceptance_rate*stack_activation,power_mw*hours_per_day,capacity_mwh),MIN(DAMAS_Daily!D264*market_share_D*acceptance_rate*stack_activation,power_mw*hours_per_day,capacity_mwh))</f>
        <v/>
      </c>
      <c r="L264" s="42">
        <f>IF(K264&gt;=capacity_mwh-0.01,"yes","no")</f>
        <v/>
      </c>
      <c r="M264" s="28">
        <f>IF(C264="aFRR+",(MIN(DAMAS_Daily!C264*market_share_D*acceptance_rate*stack_activation,power_mw*hours_per_day,capacity_mwh))*DAMAS_Daily!E264*activation_mult_D,(MIN(DAMAS_Daily!D264*market_share_D*acceptance_rate*stack_activation,power_mw*hours_per_day,capacity_mwh))*DAMAS_Daily!F264*activation_mult_D)</f>
        <v/>
      </c>
      <c r="N264" s="29">
        <f>F264+M264</f>
        <v/>
      </c>
    </row>
    <row r="265">
      <c r="A265" s="41">
        <f>DAMAS_Daily!A265</f>
        <v/>
      </c>
      <c r="B265" s="42">
        <f>DAMAS_Daily!B265</f>
        <v/>
      </c>
      <c r="C265" s="42">
        <f>IF((power_mw*hours_per_day*damas_afrr_up*capacity_mult_D*stack_capacity*acceptance_rate+(MIN(DAMAS_Daily!C265*market_share_D*acceptance_rate*stack_activation,power_mw*hours_per_day,capacity_mwh))*DAMAS_Daily!E265*activation_mult_D)&gt;=(power_mw*hours_per_day*damas_afrr_down*capacity_mult_D*stack_capacity*acceptance_rate+(MIN(DAMAS_Daily!D265*market_share_D*acceptance_rate*stack_activation,power_mw*hours_per_day,capacity_mwh))*DAMAS_Daily!F265*activation_mult_D),"aFRR+","aFRR-")</f>
        <v/>
      </c>
      <c r="D265" s="43">
        <f>IF(C265="aFRR+",damas_afrr_up*capacity_mult_D,damas_afrr_down*capacity_mult_D)</f>
        <v/>
      </c>
      <c r="E265" s="44">
        <f>acceptance_rate</f>
        <v/>
      </c>
      <c r="F265" s="28">
        <f>IF(C265="aFRR+",power_mw*hours_per_day*damas_afrr_up*capacity_mult_D*stack_capacity*acceptance_rate,power_mw*hours_per_day*damas_afrr_down*capacity_mult_D*stack_capacity*acceptance_rate)</f>
        <v/>
      </c>
      <c r="G265" s="42">
        <f>IF(C265="aFRR+",DAMAS_Daily!I265,DAMAS_Daily!J265)</f>
        <v/>
      </c>
      <c r="H265" s="43">
        <f>IF(C265="aFRR+",DAMAS_Daily!E265,DAMAS_Daily!F265)</f>
        <v/>
      </c>
      <c r="I265" s="43">
        <f>IF(C265="aFRR+",DAMAS_Daily!G265,DAMAS_Daily!H265)</f>
        <v/>
      </c>
      <c r="J265" s="45">
        <f>IF(C265="aFRR+",DAMAS_Daily!C265,DAMAS_Daily!D265)</f>
        <v/>
      </c>
      <c r="K265" s="45">
        <f>IF(C265="aFRR+",MIN(DAMAS_Daily!C265*market_share_D*acceptance_rate*stack_activation,power_mw*hours_per_day,capacity_mwh),MIN(DAMAS_Daily!D265*market_share_D*acceptance_rate*stack_activation,power_mw*hours_per_day,capacity_mwh))</f>
        <v/>
      </c>
      <c r="L265" s="42">
        <f>IF(K265&gt;=capacity_mwh-0.01,"yes","no")</f>
        <v/>
      </c>
      <c r="M265" s="28">
        <f>IF(C265="aFRR+",(MIN(DAMAS_Daily!C265*market_share_D*acceptance_rate*stack_activation,power_mw*hours_per_day,capacity_mwh))*DAMAS_Daily!E265*activation_mult_D,(MIN(DAMAS_Daily!D265*market_share_D*acceptance_rate*stack_activation,power_mw*hours_per_day,capacity_mwh))*DAMAS_Daily!F265*activation_mult_D)</f>
        <v/>
      </c>
      <c r="N265" s="29">
        <f>F265+M265</f>
        <v/>
      </c>
    </row>
    <row r="266">
      <c r="A266" s="41">
        <f>DAMAS_Daily!A266</f>
        <v/>
      </c>
      <c r="B266" s="42">
        <f>DAMAS_Daily!B266</f>
        <v/>
      </c>
      <c r="C266" s="42">
        <f>IF((power_mw*hours_per_day*damas_afrr_up*capacity_mult_D*stack_capacity*acceptance_rate+(MIN(DAMAS_Daily!C266*market_share_D*acceptance_rate*stack_activation,power_mw*hours_per_day,capacity_mwh))*DAMAS_Daily!E266*activation_mult_D)&gt;=(power_mw*hours_per_day*damas_afrr_down*capacity_mult_D*stack_capacity*acceptance_rate+(MIN(DAMAS_Daily!D266*market_share_D*acceptance_rate*stack_activation,power_mw*hours_per_day,capacity_mwh))*DAMAS_Daily!F266*activation_mult_D),"aFRR+","aFRR-")</f>
        <v/>
      </c>
      <c r="D266" s="43">
        <f>IF(C266="aFRR+",damas_afrr_up*capacity_mult_D,damas_afrr_down*capacity_mult_D)</f>
        <v/>
      </c>
      <c r="E266" s="44">
        <f>acceptance_rate</f>
        <v/>
      </c>
      <c r="F266" s="28">
        <f>IF(C266="aFRR+",power_mw*hours_per_day*damas_afrr_up*capacity_mult_D*stack_capacity*acceptance_rate,power_mw*hours_per_day*damas_afrr_down*capacity_mult_D*stack_capacity*acceptance_rate)</f>
        <v/>
      </c>
      <c r="G266" s="42">
        <f>IF(C266="aFRR+",DAMAS_Daily!I266,DAMAS_Daily!J266)</f>
        <v/>
      </c>
      <c r="H266" s="43">
        <f>IF(C266="aFRR+",DAMAS_Daily!E266,DAMAS_Daily!F266)</f>
        <v/>
      </c>
      <c r="I266" s="43">
        <f>IF(C266="aFRR+",DAMAS_Daily!G266,DAMAS_Daily!H266)</f>
        <v/>
      </c>
      <c r="J266" s="45">
        <f>IF(C266="aFRR+",DAMAS_Daily!C266,DAMAS_Daily!D266)</f>
        <v/>
      </c>
      <c r="K266" s="45">
        <f>IF(C266="aFRR+",MIN(DAMAS_Daily!C266*market_share_D*acceptance_rate*stack_activation,power_mw*hours_per_day,capacity_mwh),MIN(DAMAS_Daily!D266*market_share_D*acceptance_rate*stack_activation,power_mw*hours_per_day,capacity_mwh))</f>
        <v/>
      </c>
      <c r="L266" s="42">
        <f>IF(K266&gt;=capacity_mwh-0.01,"yes","no")</f>
        <v/>
      </c>
      <c r="M266" s="28">
        <f>IF(C266="aFRR+",(MIN(DAMAS_Daily!C266*market_share_D*acceptance_rate*stack_activation,power_mw*hours_per_day,capacity_mwh))*DAMAS_Daily!E266*activation_mult_D,(MIN(DAMAS_Daily!D266*market_share_D*acceptance_rate*stack_activation,power_mw*hours_per_day,capacity_mwh))*DAMAS_Daily!F266*activation_mult_D)</f>
        <v/>
      </c>
      <c r="N266" s="29">
        <f>F266+M266</f>
        <v/>
      </c>
    </row>
    <row r="267">
      <c r="A267" s="41">
        <f>DAMAS_Daily!A267</f>
        <v/>
      </c>
      <c r="B267" s="42">
        <f>DAMAS_Daily!B267</f>
        <v/>
      </c>
      <c r="C267" s="42">
        <f>IF((power_mw*hours_per_day*damas_afrr_up*capacity_mult_D*stack_capacity*acceptance_rate+(MIN(DAMAS_Daily!C267*market_share_D*acceptance_rate*stack_activation,power_mw*hours_per_day,capacity_mwh))*DAMAS_Daily!E267*activation_mult_D)&gt;=(power_mw*hours_per_day*damas_afrr_down*capacity_mult_D*stack_capacity*acceptance_rate+(MIN(DAMAS_Daily!D267*market_share_D*acceptance_rate*stack_activation,power_mw*hours_per_day,capacity_mwh))*DAMAS_Daily!F267*activation_mult_D),"aFRR+","aFRR-")</f>
        <v/>
      </c>
      <c r="D267" s="43">
        <f>IF(C267="aFRR+",damas_afrr_up*capacity_mult_D,damas_afrr_down*capacity_mult_D)</f>
        <v/>
      </c>
      <c r="E267" s="44">
        <f>acceptance_rate</f>
        <v/>
      </c>
      <c r="F267" s="28">
        <f>IF(C267="aFRR+",power_mw*hours_per_day*damas_afrr_up*capacity_mult_D*stack_capacity*acceptance_rate,power_mw*hours_per_day*damas_afrr_down*capacity_mult_D*stack_capacity*acceptance_rate)</f>
        <v/>
      </c>
      <c r="G267" s="42">
        <f>IF(C267="aFRR+",DAMAS_Daily!I267,DAMAS_Daily!J267)</f>
        <v/>
      </c>
      <c r="H267" s="43">
        <f>IF(C267="aFRR+",DAMAS_Daily!E267,DAMAS_Daily!F267)</f>
        <v/>
      </c>
      <c r="I267" s="43">
        <f>IF(C267="aFRR+",DAMAS_Daily!G267,DAMAS_Daily!H267)</f>
        <v/>
      </c>
      <c r="J267" s="45">
        <f>IF(C267="aFRR+",DAMAS_Daily!C267,DAMAS_Daily!D267)</f>
        <v/>
      </c>
      <c r="K267" s="45">
        <f>IF(C267="aFRR+",MIN(DAMAS_Daily!C267*market_share_D*acceptance_rate*stack_activation,power_mw*hours_per_day,capacity_mwh),MIN(DAMAS_Daily!D267*market_share_D*acceptance_rate*stack_activation,power_mw*hours_per_day,capacity_mwh))</f>
        <v/>
      </c>
      <c r="L267" s="42">
        <f>IF(K267&gt;=capacity_mwh-0.01,"yes","no")</f>
        <v/>
      </c>
      <c r="M267" s="28">
        <f>IF(C267="aFRR+",(MIN(DAMAS_Daily!C267*market_share_D*acceptance_rate*stack_activation,power_mw*hours_per_day,capacity_mwh))*DAMAS_Daily!E267*activation_mult_D,(MIN(DAMAS_Daily!D267*market_share_D*acceptance_rate*stack_activation,power_mw*hours_per_day,capacity_mwh))*DAMAS_Daily!F267*activation_mult_D)</f>
        <v/>
      </c>
      <c r="N267" s="29">
        <f>F267+M267</f>
        <v/>
      </c>
    </row>
    <row r="268">
      <c r="A268" s="41">
        <f>DAMAS_Daily!A268</f>
        <v/>
      </c>
      <c r="B268" s="42">
        <f>DAMAS_Daily!B268</f>
        <v/>
      </c>
      <c r="C268" s="42">
        <f>IF((power_mw*hours_per_day*damas_afrr_up*capacity_mult_D*stack_capacity*acceptance_rate+(MIN(DAMAS_Daily!C268*market_share_D*acceptance_rate*stack_activation,power_mw*hours_per_day,capacity_mwh))*DAMAS_Daily!E268*activation_mult_D)&gt;=(power_mw*hours_per_day*damas_afrr_down*capacity_mult_D*stack_capacity*acceptance_rate+(MIN(DAMAS_Daily!D268*market_share_D*acceptance_rate*stack_activation,power_mw*hours_per_day,capacity_mwh))*DAMAS_Daily!F268*activation_mult_D),"aFRR+","aFRR-")</f>
        <v/>
      </c>
      <c r="D268" s="43">
        <f>IF(C268="aFRR+",damas_afrr_up*capacity_mult_D,damas_afrr_down*capacity_mult_D)</f>
        <v/>
      </c>
      <c r="E268" s="44">
        <f>acceptance_rate</f>
        <v/>
      </c>
      <c r="F268" s="28">
        <f>IF(C268="aFRR+",power_mw*hours_per_day*damas_afrr_up*capacity_mult_D*stack_capacity*acceptance_rate,power_mw*hours_per_day*damas_afrr_down*capacity_mult_D*stack_capacity*acceptance_rate)</f>
        <v/>
      </c>
      <c r="G268" s="42">
        <f>IF(C268="aFRR+",DAMAS_Daily!I268,DAMAS_Daily!J268)</f>
        <v/>
      </c>
      <c r="H268" s="43">
        <f>IF(C268="aFRR+",DAMAS_Daily!E268,DAMAS_Daily!F268)</f>
        <v/>
      </c>
      <c r="I268" s="43">
        <f>IF(C268="aFRR+",DAMAS_Daily!G268,DAMAS_Daily!H268)</f>
        <v/>
      </c>
      <c r="J268" s="45">
        <f>IF(C268="aFRR+",DAMAS_Daily!C268,DAMAS_Daily!D268)</f>
        <v/>
      </c>
      <c r="K268" s="45">
        <f>IF(C268="aFRR+",MIN(DAMAS_Daily!C268*market_share_D*acceptance_rate*stack_activation,power_mw*hours_per_day,capacity_mwh),MIN(DAMAS_Daily!D268*market_share_D*acceptance_rate*stack_activation,power_mw*hours_per_day,capacity_mwh))</f>
        <v/>
      </c>
      <c r="L268" s="42">
        <f>IF(K268&gt;=capacity_mwh-0.01,"yes","no")</f>
        <v/>
      </c>
      <c r="M268" s="28">
        <f>IF(C268="aFRR+",(MIN(DAMAS_Daily!C268*market_share_D*acceptance_rate*stack_activation,power_mw*hours_per_day,capacity_mwh))*DAMAS_Daily!E268*activation_mult_D,(MIN(DAMAS_Daily!D268*market_share_D*acceptance_rate*stack_activation,power_mw*hours_per_day,capacity_mwh))*DAMAS_Daily!F268*activation_mult_D)</f>
        <v/>
      </c>
      <c r="N268" s="29">
        <f>F268+M268</f>
        <v/>
      </c>
    </row>
    <row r="269">
      <c r="A269" s="41">
        <f>DAMAS_Daily!A269</f>
        <v/>
      </c>
      <c r="B269" s="42">
        <f>DAMAS_Daily!B269</f>
        <v/>
      </c>
      <c r="C269" s="42">
        <f>IF((power_mw*hours_per_day*damas_afrr_up*capacity_mult_D*stack_capacity*acceptance_rate+(MIN(DAMAS_Daily!C269*market_share_D*acceptance_rate*stack_activation,power_mw*hours_per_day,capacity_mwh))*DAMAS_Daily!E269*activation_mult_D)&gt;=(power_mw*hours_per_day*damas_afrr_down*capacity_mult_D*stack_capacity*acceptance_rate+(MIN(DAMAS_Daily!D269*market_share_D*acceptance_rate*stack_activation,power_mw*hours_per_day,capacity_mwh))*DAMAS_Daily!F269*activation_mult_D),"aFRR+","aFRR-")</f>
        <v/>
      </c>
      <c r="D269" s="43">
        <f>IF(C269="aFRR+",damas_afrr_up*capacity_mult_D,damas_afrr_down*capacity_mult_D)</f>
        <v/>
      </c>
      <c r="E269" s="44">
        <f>acceptance_rate</f>
        <v/>
      </c>
      <c r="F269" s="28">
        <f>IF(C269="aFRR+",power_mw*hours_per_day*damas_afrr_up*capacity_mult_D*stack_capacity*acceptance_rate,power_mw*hours_per_day*damas_afrr_down*capacity_mult_D*stack_capacity*acceptance_rate)</f>
        <v/>
      </c>
      <c r="G269" s="42">
        <f>IF(C269="aFRR+",DAMAS_Daily!I269,DAMAS_Daily!J269)</f>
        <v/>
      </c>
      <c r="H269" s="43">
        <f>IF(C269="aFRR+",DAMAS_Daily!E269,DAMAS_Daily!F269)</f>
        <v/>
      </c>
      <c r="I269" s="43">
        <f>IF(C269="aFRR+",DAMAS_Daily!G269,DAMAS_Daily!H269)</f>
        <v/>
      </c>
      <c r="J269" s="45">
        <f>IF(C269="aFRR+",DAMAS_Daily!C269,DAMAS_Daily!D269)</f>
        <v/>
      </c>
      <c r="K269" s="45">
        <f>IF(C269="aFRR+",MIN(DAMAS_Daily!C269*market_share_D*acceptance_rate*stack_activation,power_mw*hours_per_day,capacity_mwh),MIN(DAMAS_Daily!D269*market_share_D*acceptance_rate*stack_activation,power_mw*hours_per_day,capacity_mwh))</f>
        <v/>
      </c>
      <c r="L269" s="42">
        <f>IF(K269&gt;=capacity_mwh-0.01,"yes","no")</f>
        <v/>
      </c>
      <c r="M269" s="28">
        <f>IF(C269="aFRR+",(MIN(DAMAS_Daily!C269*market_share_D*acceptance_rate*stack_activation,power_mw*hours_per_day,capacity_mwh))*DAMAS_Daily!E269*activation_mult_D,(MIN(DAMAS_Daily!D269*market_share_D*acceptance_rate*stack_activation,power_mw*hours_per_day,capacity_mwh))*DAMAS_Daily!F269*activation_mult_D)</f>
        <v/>
      </c>
      <c r="N269" s="29">
        <f>F269+M269</f>
        <v/>
      </c>
    </row>
    <row r="270">
      <c r="A270" s="41">
        <f>DAMAS_Daily!A270</f>
        <v/>
      </c>
      <c r="B270" s="42">
        <f>DAMAS_Daily!B270</f>
        <v/>
      </c>
      <c r="C270" s="42">
        <f>IF((power_mw*hours_per_day*damas_afrr_up*capacity_mult_D*stack_capacity*acceptance_rate+(MIN(DAMAS_Daily!C270*market_share_D*acceptance_rate*stack_activation,power_mw*hours_per_day,capacity_mwh))*DAMAS_Daily!E270*activation_mult_D)&gt;=(power_mw*hours_per_day*damas_afrr_down*capacity_mult_D*stack_capacity*acceptance_rate+(MIN(DAMAS_Daily!D270*market_share_D*acceptance_rate*stack_activation,power_mw*hours_per_day,capacity_mwh))*DAMAS_Daily!F270*activation_mult_D),"aFRR+","aFRR-")</f>
        <v/>
      </c>
      <c r="D270" s="43">
        <f>IF(C270="aFRR+",damas_afrr_up*capacity_mult_D,damas_afrr_down*capacity_mult_D)</f>
        <v/>
      </c>
      <c r="E270" s="44">
        <f>acceptance_rate</f>
        <v/>
      </c>
      <c r="F270" s="28">
        <f>IF(C270="aFRR+",power_mw*hours_per_day*damas_afrr_up*capacity_mult_D*stack_capacity*acceptance_rate,power_mw*hours_per_day*damas_afrr_down*capacity_mult_D*stack_capacity*acceptance_rate)</f>
        <v/>
      </c>
      <c r="G270" s="42">
        <f>IF(C270="aFRR+",DAMAS_Daily!I270,DAMAS_Daily!J270)</f>
        <v/>
      </c>
      <c r="H270" s="43">
        <f>IF(C270="aFRR+",DAMAS_Daily!E270,DAMAS_Daily!F270)</f>
        <v/>
      </c>
      <c r="I270" s="43">
        <f>IF(C270="aFRR+",DAMAS_Daily!G270,DAMAS_Daily!H270)</f>
        <v/>
      </c>
      <c r="J270" s="45">
        <f>IF(C270="aFRR+",DAMAS_Daily!C270,DAMAS_Daily!D270)</f>
        <v/>
      </c>
      <c r="K270" s="45">
        <f>IF(C270="aFRR+",MIN(DAMAS_Daily!C270*market_share_D*acceptance_rate*stack_activation,power_mw*hours_per_day,capacity_mwh),MIN(DAMAS_Daily!D270*market_share_D*acceptance_rate*stack_activation,power_mw*hours_per_day,capacity_mwh))</f>
        <v/>
      </c>
      <c r="L270" s="42">
        <f>IF(K270&gt;=capacity_mwh-0.01,"yes","no")</f>
        <v/>
      </c>
      <c r="M270" s="28">
        <f>IF(C270="aFRR+",(MIN(DAMAS_Daily!C270*market_share_D*acceptance_rate*stack_activation,power_mw*hours_per_day,capacity_mwh))*DAMAS_Daily!E270*activation_mult_D,(MIN(DAMAS_Daily!D270*market_share_D*acceptance_rate*stack_activation,power_mw*hours_per_day,capacity_mwh))*DAMAS_Daily!F270*activation_mult_D)</f>
        <v/>
      </c>
      <c r="N270" s="29">
        <f>F270+M270</f>
        <v/>
      </c>
    </row>
    <row r="271">
      <c r="A271" s="41">
        <f>DAMAS_Daily!A271</f>
        <v/>
      </c>
      <c r="B271" s="42">
        <f>DAMAS_Daily!B271</f>
        <v/>
      </c>
      <c r="C271" s="42">
        <f>IF((power_mw*hours_per_day*damas_afrr_up*capacity_mult_D*stack_capacity*acceptance_rate+(MIN(DAMAS_Daily!C271*market_share_D*acceptance_rate*stack_activation,power_mw*hours_per_day,capacity_mwh))*DAMAS_Daily!E271*activation_mult_D)&gt;=(power_mw*hours_per_day*damas_afrr_down*capacity_mult_D*stack_capacity*acceptance_rate+(MIN(DAMAS_Daily!D271*market_share_D*acceptance_rate*stack_activation,power_mw*hours_per_day,capacity_mwh))*DAMAS_Daily!F271*activation_mult_D),"aFRR+","aFRR-")</f>
        <v/>
      </c>
      <c r="D271" s="43">
        <f>IF(C271="aFRR+",damas_afrr_up*capacity_mult_D,damas_afrr_down*capacity_mult_D)</f>
        <v/>
      </c>
      <c r="E271" s="44">
        <f>acceptance_rate</f>
        <v/>
      </c>
      <c r="F271" s="28">
        <f>IF(C271="aFRR+",power_mw*hours_per_day*damas_afrr_up*capacity_mult_D*stack_capacity*acceptance_rate,power_mw*hours_per_day*damas_afrr_down*capacity_mult_D*stack_capacity*acceptance_rate)</f>
        <v/>
      </c>
      <c r="G271" s="42">
        <f>IF(C271="aFRR+",DAMAS_Daily!I271,DAMAS_Daily!J271)</f>
        <v/>
      </c>
      <c r="H271" s="43">
        <f>IF(C271="aFRR+",DAMAS_Daily!E271,DAMAS_Daily!F271)</f>
        <v/>
      </c>
      <c r="I271" s="43">
        <f>IF(C271="aFRR+",DAMAS_Daily!G271,DAMAS_Daily!H271)</f>
        <v/>
      </c>
      <c r="J271" s="45">
        <f>IF(C271="aFRR+",DAMAS_Daily!C271,DAMAS_Daily!D271)</f>
        <v/>
      </c>
      <c r="K271" s="45">
        <f>IF(C271="aFRR+",MIN(DAMAS_Daily!C271*market_share_D*acceptance_rate*stack_activation,power_mw*hours_per_day,capacity_mwh),MIN(DAMAS_Daily!D271*market_share_D*acceptance_rate*stack_activation,power_mw*hours_per_day,capacity_mwh))</f>
        <v/>
      </c>
      <c r="L271" s="42">
        <f>IF(K271&gt;=capacity_mwh-0.01,"yes","no")</f>
        <v/>
      </c>
      <c r="M271" s="28">
        <f>IF(C271="aFRR+",(MIN(DAMAS_Daily!C271*market_share_D*acceptance_rate*stack_activation,power_mw*hours_per_day,capacity_mwh))*DAMAS_Daily!E271*activation_mult_D,(MIN(DAMAS_Daily!D271*market_share_D*acceptance_rate*stack_activation,power_mw*hours_per_day,capacity_mwh))*DAMAS_Daily!F271*activation_mult_D)</f>
        <v/>
      </c>
      <c r="N271" s="29">
        <f>F271+M271</f>
        <v/>
      </c>
    </row>
    <row r="272">
      <c r="A272" s="41">
        <f>DAMAS_Daily!A272</f>
        <v/>
      </c>
      <c r="B272" s="42">
        <f>DAMAS_Daily!B272</f>
        <v/>
      </c>
      <c r="C272" s="42">
        <f>IF((power_mw*hours_per_day*damas_afrr_up*capacity_mult_D*stack_capacity*acceptance_rate+(MIN(DAMAS_Daily!C272*market_share_D*acceptance_rate*stack_activation,power_mw*hours_per_day,capacity_mwh))*DAMAS_Daily!E272*activation_mult_D)&gt;=(power_mw*hours_per_day*damas_afrr_down*capacity_mult_D*stack_capacity*acceptance_rate+(MIN(DAMAS_Daily!D272*market_share_D*acceptance_rate*stack_activation,power_mw*hours_per_day,capacity_mwh))*DAMAS_Daily!F272*activation_mult_D),"aFRR+","aFRR-")</f>
        <v/>
      </c>
      <c r="D272" s="43">
        <f>IF(C272="aFRR+",damas_afrr_up*capacity_mult_D,damas_afrr_down*capacity_mult_D)</f>
        <v/>
      </c>
      <c r="E272" s="44">
        <f>acceptance_rate</f>
        <v/>
      </c>
      <c r="F272" s="28">
        <f>IF(C272="aFRR+",power_mw*hours_per_day*damas_afrr_up*capacity_mult_D*stack_capacity*acceptance_rate,power_mw*hours_per_day*damas_afrr_down*capacity_mult_D*stack_capacity*acceptance_rate)</f>
        <v/>
      </c>
      <c r="G272" s="42">
        <f>IF(C272="aFRR+",DAMAS_Daily!I272,DAMAS_Daily!J272)</f>
        <v/>
      </c>
      <c r="H272" s="43">
        <f>IF(C272="aFRR+",DAMAS_Daily!E272,DAMAS_Daily!F272)</f>
        <v/>
      </c>
      <c r="I272" s="43">
        <f>IF(C272="aFRR+",DAMAS_Daily!G272,DAMAS_Daily!H272)</f>
        <v/>
      </c>
      <c r="J272" s="45">
        <f>IF(C272="aFRR+",DAMAS_Daily!C272,DAMAS_Daily!D272)</f>
        <v/>
      </c>
      <c r="K272" s="45">
        <f>IF(C272="aFRR+",MIN(DAMAS_Daily!C272*market_share_D*acceptance_rate*stack_activation,power_mw*hours_per_day,capacity_mwh),MIN(DAMAS_Daily!D272*market_share_D*acceptance_rate*stack_activation,power_mw*hours_per_day,capacity_mwh))</f>
        <v/>
      </c>
      <c r="L272" s="42">
        <f>IF(K272&gt;=capacity_mwh-0.01,"yes","no")</f>
        <v/>
      </c>
      <c r="M272" s="28">
        <f>IF(C272="aFRR+",(MIN(DAMAS_Daily!C272*market_share_D*acceptance_rate*stack_activation,power_mw*hours_per_day,capacity_mwh))*DAMAS_Daily!E272*activation_mult_D,(MIN(DAMAS_Daily!D272*market_share_D*acceptance_rate*stack_activation,power_mw*hours_per_day,capacity_mwh))*DAMAS_Daily!F272*activation_mult_D)</f>
        <v/>
      </c>
      <c r="N272" s="29">
        <f>F272+M272</f>
        <v/>
      </c>
    </row>
    <row r="273">
      <c r="A273" s="41">
        <f>DAMAS_Daily!A273</f>
        <v/>
      </c>
      <c r="B273" s="42">
        <f>DAMAS_Daily!B273</f>
        <v/>
      </c>
      <c r="C273" s="42">
        <f>IF((power_mw*hours_per_day*damas_afrr_up*capacity_mult_D*stack_capacity*acceptance_rate+(MIN(DAMAS_Daily!C273*market_share_D*acceptance_rate*stack_activation,power_mw*hours_per_day,capacity_mwh))*DAMAS_Daily!E273*activation_mult_D)&gt;=(power_mw*hours_per_day*damas_afrr_down*capacity_mult_D*stack_capacity*acceptance_rate+(MIN(DAMAS_Daily!D273*market_share_D*acceptance_rate*stack_activation,power_mw*hours_per_day,capacity_mwh))*DAMAS_Daily!F273*activation_mult_D),"aFRR+","aFRR-")</f>
        <v/>
      </c>
      <c r="D273" s="43">
        <f>IF(C273="aFRR+",damas_afrr_up*capacity_mult_D,damas_afrr_down*capacity_mult_D)</f>
        <v/>
      </c>
      <c r="E273" s="44">
        <f>acceptance_rate</f>
        <v/>
      </c>
      <c r="F273" s="28">
        <f>IF(C273="aFRR+",power_mw*hours_per_day*damas_afrr_up*capacity_mult_D*stack_capacity*acceptance_rate,power_mw*hours_per_day*damas_afrr_down*capacity_mult_D*stack_capacity*acceptance_rate)</f>
        <v/>
      </c>
      <c r="G273" s="42">
        <f>IF(C273="aFRR+",DAMAS_Daily!I273,DAMAS_Daily!J273)</f>
        <v/>
      </c>
      <c r="H273" s="43">
        <f>IF(C273="aFRR+",DAMAS_Daily!E273,DAMAS_Daily!F273)</f>
        <v/>
      </c>
      <c r="I273" s="43">
        <f>IF(C273="aFRR+",DAMAS_Daily!G273,DAMAS_Daily!H273)</f>
        <v/>
      </c>
      <c r="J273" s="45">
        <f>IF(C273="aFRR+",DAMAS_Daily!C273,DAMAS_Daily!D273)</f>
        <v/>
      </c>
      <c r="K273" s="45">
        <f>IF(C273="aFRR+",MIN(DAMAS_Daily!C273*market_share_D*acceptance_rate*stack_activation,power_mw*hours_per_day,capacity_mwh),MIN(DAMAS_Daily!D273*market_share_D*acceptance_rate*stack_activation,power_mw*hours_per_day,capacity_mwh))</f>
        <v/>
      </c>
      <c r="L273" s="42">
        <f>IF(K273&gt;=capacity_mwh-0.01,"yes","no")</f>
        <v/>
      </c>
      <c r="M273" s="28">
        <f>IF(C273="aFRR+",(MIN(DAMAS_Daily!C273*market_share_D*acceptance_rate*stack_activation,power_mw*hours_per_day,capacity_mwh))*DAMAS_Daily!E273*activation_mult_D,(MIN(DAMAS_Daily!D273*market_share_D*acceptance_rate*stack_activation,power_mw*hours_per_day,capacity_mwh))*DAMAS_Daily!F273*activation_mult_D)</f>
        <v/>
      </c>
      <c r="N273" s="29">
        <f>F273+M273</f>
        <v/>
      </c>
    </row>
    <row r="274">
      <c r="A274" s="41">
        <f>DAMAS_Daily!A274</f>
        <v/>
      </c>
      <c r="B274" s="42">
        <f>DAMAS_Daily!B274</f>
        <v/>
      </c>
      <c r="C274" s="42">
        <f>IF((power_mw*hours_per_day*damas_afrr_up*capacity_mult_D*stack_capacity*acceptance_rate+(MIN(DAMAS_Daily!C274*market_share_D*acceptance_rate*stack_activation,power_mw*hours_per_day,capacity_mwh))*DAMAS_Daily!E274*activation_mult_D)&gt;=(power_mw*hours_per_day*damas_afrr_down*capacity_mult_D*stack_capacity*acceptance_rate+(MIN(DAMAS_Daily!D274*market_share_D*acceptance_rate*stack_activation,power_mw*hours_per_day,capacity_mwh))*DAMAS_Daily!F274*activation_mult_D),"aFRR+","aFRR-")</f>
        <v/>
      </c>
      <c r="D274" s="43">
        <f>IF(C274="aFRR+",damas_afrr_up*capacity_mult_D,damas_afrr_down*capacity_mult_D)</f>
        <v/>
      </c>
      <c r="E274" s="44">
        <f>acceptance_rate</f>
        <v/>
      </c>
      <c r="F274" s="28">
        <f>IF(C274="aFRR+",power_mw*hours_per_day*damas_afrr_up*capacity_mult_D*stack_capacity*acceptance_rate,power_mw*hours_per_day*damas_afrr_down*capacity_mult_D*stack_capacity*acceptance_rate)</f>
        <v/>
      </c>
      <c r="G274" s="42">
        <f>IF(C274="aFRR+",DAMAS_Daily!I274,DAMAS_Daily!J274)</f>
        <v/>
      </c>
      <c r="H274" s="43">
        <f>IF(C274="aFRR+",DAMAS_Daily!E274,DAMAS_Daily!F274)</f>
        <v/>
      </c>
      <c r="I274" s="43">
        <f>IF(C274="aFRR+",DAMAS_Daily!G274,DAMAS_Daily!H274)</f>
        <v/>
      </c>
      <c r="J274" s="45">
        <f>IF(C274="aFRR+",DAMAS_Daily!C274,DAMAS_Daily!D274)</f>
        <v/>
      </c>
      <c r="K274" s="45">
        <f>IF(C274="aFRR+",MIN(DAMAS_Daily!C274*market_share_D*acceptance_rate*stack_activation,power_mw*hours_per_day,capacity_mwh),MIN(DAMAS_Daily!D274*market_share_D*acceptance_rate*stack_activation,power_mw*hours_per_day,capacity_mwh))</f>
        <v/>
      </c>
      <c r="L274" s="42">
        <f>IF(K274&gt;=capacity_mwh-0.01,"yes","no")</f>
        <v/>
      </c>
      <c r="M274" s="28">
        <f>IF(C274="aFRR+",(MIN(DAMAS_Daily!C274*market_share_D*acceptance_rate*stack_activation,power_mw*hours_per_day,capacity_mwh))*DAMAS_Daily!E274*activation_mult_D,(MIN(DAMAS_Daily!D274*market_share_D*acceptance_rate*stack_activation,power_mw*hours_per_day,capacity_mwh))*DAMAS_Daily!F274*activation_mult_D)</f>
        <v/>
      </c>
      <c r="N274" s="29">
        <f>F274+M274</f>
        <v/>
      </c>
    </row>
    <row r="275">
      <c r="A275" s="41">
        <f>DAMAS_Daily!A275</f>
        <v/>
      </c>
      <c r="B275" s="42">
        <f>DAMAS_Daily!B275</f>
        <v/>
      </c>
      <c r="C275" s="42">
        <f>IF((power_mw*hours_per_day*damas_afrr_up*capacity_mult_D*stack_capacity*acceptance_rate+(MIN(DAMAS_Daily!C275*market_share_D*acceptance_rate*stack_activation,power_mw*hours_per_day,capacity_mwh))*DAMAS_Daily!E275*activation_mult_D)&gt;=(power_mw*hours_per_day*damas_afrr_down*capacity_mult_D*stack_capacity*acceptance_rate+(MIN(DAMAS_Daily!D275*market_share_D*acceptance_rate*stack_activation,power_mw*hours_per_day,capacity_mwh))*DAMAS_Daily!F275*activation_mult_D),"aFRR+","aFRR-")</f>
        <v/>
      </c>
      <c r="D275" s="43">
        <f>IF(C275="aFRR+",damas_afrr_up*capacity_mult_D,damas_afrr_down*capacity_mult_D)</f>
        <v/>
      </c>
      <c r="E275" s="44">
        <f>acceptance_rate</f>
        <v/>
      </c>
      <c r="F275" s="28">
        <f>IF(C275="aFRR+",power_mw*hours_per_day*damas_afrr_up*capacity_mult_D*stack_capacity*acceptance_rate,power_mw*hours_per_day*damas_afrr_down*capacity_mult_D*stack_capacity*acceptance_rate)</f>
        <v/>
      </c>
      <c r="G275" s="42">
        <f>IF(C275="aFRR+",DAMAS_Daily!I275,DAMAS_Daily!J275)</f>
        <v/>
      </c>
      <c r="H275" s="43">
        <f>IF(C275="aFRR+",DAMAS_Daily!E275,DAMAS_Daily!F275)</f>
        <v/>
      </c>
      <c r="I275" s="43">
        <f>IF(C275="aFRR+",DAMAS_Daily!G275,DAMAS_Daily!H275)</f>
        <v/>
      </c>
      <c r="J275" s="45">
        <f>IF(C275="aFRR+",DAMAS_Daily!C275,DAMAS_Daily!D275)</f>
        <v/>
      </c>
      <c r="K275" s="45">
        <f>IF(C275="aFRR+",MIN(DAMAS_Daily!C275*market_share_D*acceptance_rate*stack_activation,power_mw*hours_per_day,capacity_mwh),MIN(DAMAS_Daily!D275*market_share_D*acceptance_rate*stack_activation,power_mw*hours_per_day,capacity_mwh))</f>
        <v/>
      </c>
      <c r="L275" s="42">
        <f>IF(K275&gt;=capacity_mwh-0.01,"yes","no")</f>
        <v/>
      </c>
      <c r="M275" s="28">
        <f>IF(C275="aFRR+",(MIN(DAMAS_Daily!C275*market_share_D*acceptance_rate*stack_activation,power_mw*hours_per_day,capacity_mwh))*DAMAS_Daily!E275*activation_mult_D,(MIN(DAMAS_Daily!D275*market_share_D*acceptance_rate*stack_activation,power_mw*hours_per_day,capacity_mwh))*DAMAS_Daily!F275*activation_mult_D)</f>
        <v/>
      </c>
      <c r="N275" s="29">
        <f>F275+M275</f>
        <v/>
      </c>
    </row>
    <row r="276">
      <c r="A276" s="41">
        <f>DAMAS_Daily!A276</f>
        <v/>
      </c>
      <c r="B276" s="42">
        <f>DAMAS_Daily!B276</f>
        <v/>
      </c>
      <c r="C276" s="42">
        <f>IF((power_mw*hours_per_day*damas_afrr_up*capacity_mult_D*stack_capacity*acceptance_rate+(MIN(DAMAS_Daily!C276*market_share_D*acceptance_rate*stack_activation,power_mw*hours_per_day,capacity_mwh))*DAMAS_Daily!E276*activation_mult_D)&gt;=(power_mw*hours_per_day*damas_afrr_down*capacity_mult_D*stack_capacity*acceptance_rate+(MIN(DAMAS_Daily!D276*market_share_D*acceptance_rate*stack_activation,power_mw*hours_per_day,capacity_mwh))*DAMAS_Daily!F276*activation_mult_D),"aFRR+","aFRR-")</f>
        <v/>
      </c>
      <c r="D276" s="43">
        <f>IF(C276="aFRR+",damas_afrr_up*capacity_mult_D,damas_afrr_down*capacity_mult_D)</f>
        <v/>
      </c>
      <c r="E276" s="44">
        <f>acceptance_rate</f>
        <v/>
      </c>
      <c r="F276" s="28">
        <f>IF(C276="aFRR+",power_mw*hours_per_day*damas_afrr_up*capacity_mult_D*stack_capacity*acceptance_rate,power_mw*hours_per_day*damas_afrr_down*capacity_mult_D*stack_capacity*acceptance_rate)</f>
        <v/>
      </c>
      <c r="G276" s="42">
        <f>IF(C276="aFRR+",DAMAS_Daily!I276,DAMAS_Daily!J276)</f>
        <v/>
      </c>
      <c r="H276" s="43">
        <f>IF(C276="aFRR+",DAMAS_Daily!E276,DAMAS_Daily!F276)</f>
        <v/>
      </c>
      <c r="I276" s="43">
        <f>IF(C276="aFRR+",DAMAS_Daily!G276,DAMAS_Daily!H276)</f>
        <v/>
      </c>
      <c r="J276" s="45">
        <f>IF(C276="aFRR+",DAMAS_Daily!C276,DAMAS_Daily!D276)</f>
        <v/>
      </c>
      <c r="K276" s="45">
        <f>IF(C276="aFRR+",MIN(DAMAS_Daily!C276*market_share_D*acceptance_rate*stack_activation,power_mw*hours_per_day,capacity_mwh),MIN(DAMAS_Daily!D276*market_share_D*acceptance_rate*stack_activation,power_mw*hours_per_day,capacity_mwh))</f>
        <v/>
      </c>
      <c r="L276" s="42">
        <f>IF(K276&gt;=capacity_mwh-0.01,"yes","no")</f>
        <v/>
      </c>
      <c r="M276" s="28">
        <f>IF(C276="aFRR+",(MIN(DAMAS_Daily!C276*market_share_D*acceptance_rate*stack_activation,power_mw*hours_per_day,capacity_mwh))*DAMAS_Daily!E276*activation_mult_D,(MIN(DAMAS_Daily!D276*market_share_D*acceptance_rate*stack_activation,power_mw*hours_per_day,capacity_mwh))*DAMAS_Daily!F276*activation_mult_D)</f>
        <v/>
      </c>
      <c r="N276" s="29">
        <f>F276+M276</f>
        <v/>
      </c>
    </row>
    <row r="277">
      <c r="A277" s="41">
        <f>DAMAS_Daily!A277</f>
        <v/>
      </c>
      <c r="B277" s="42">
        <f>DAMAS_Daily!B277</f>
        <v/>
      </c>
      <c r="C277" s="42">
        <f>IF((power_mw*hours_per_day*damas_afrr_up*capacity_mult_D*stack_capacity*acceptance_rate+(MIN(DAMAS_Daily!C277*market_share_D*acceptance_rate*stack_activation,power_mw*hours_per_day,capacity_mwh))*DAMAS_Daily!E277*activation_mult_D)&gt;=(power_mw*hours_per_day*damas_afrr_down*capacity_mult_D*stack_capacity*acceptance_rate+(MIN(DAMAS_Daily!D277*market_share_D*acceptance_rate*stack_activation,power_mw*hours_per_day,capacity_mwh))*DAMAS_Daily!F277*activation_mult_D),"aFRR+","aFRR-")</f>
        <v/>
      </c>
      <c r="D277" s="43">
        <f>IF(C277="aFRR+",damas_afrr_up*capacity_mult_D,damas_afrr_down*capacity_mult_D)</f>
        <v/>
      </c>
      <c r="E277" s="44">
        <f>acceptance_rate</f>
        <v/>
      </c>
      <c r="F277" s="28">
        <f>IF(C277="aFRR+",power_mw*hours_per_day*damas_afrr_up*capacity_mult_D*stack_capacity*acceptance_rate,power_mw*hours_per_day*damas_afrr_down*capacity_mult_D*stack_capacity*acceptance_rate)</f>
        <v/>
      </c>
      <c r="G277" s="42">
        <f>IF(C277="aFRR+",DAMAS_Daily!I277,DAMAS_Daily!J277)</f>
        <v/>
      </c>
      <c r="H277" s="43">
        <f>IF(C277="aFRR+",DAMAS_Daily!E277,DAMAS_Daily!F277)</f>
        <v/>
      </c>
      <c r="I277" s="43">
        <f>IF(C277="aFRR+",DAMAS_Daily!G277,DAMAS_Daily!H277)</f>
        <v/>
      </c>
      <c r="J277" s="45">
        <f>IF(C277="aFRR+",DAMAS_Daily!C277,DAMAS_Daily!D277)</f>
        <v/>
      </c>
      <c r="K277" s="45">
        <f>IF(C277="aFRR+",MIN(DAMAS_Daily!C277*market_share_D*acceptance_rate*stack_activation,power_mw*hours_per_day,capacity_mwh),MIN(DAMAS_Daily!D277*market_share_D*acceptance_rate*stack_activation,power_mw*hours_per_day,capacity_mwh))</f>
        <v/>
      </c>
      <c r="L277" s="42">
        <f>IF(K277&gt;=capacity_mwh-0.01,"yes","no")</f>
        <v/>
      </c>
      <c r="M277" s="28">
        <f>IF(C277="aFRR+",(MIN(DAMAS_Daily!C277*market_share_D*acceptance_rate*stack_activation,power_mw*hours_per_day,capacity_mwh))*DAMAS_Daily!E277*activation_mult_D,(MIN(DAMAS_Daily!D277*market_share_D*acceptance_rate*stack_activation,power_mw*hours_per_day,capacity_mwh))*DAMAS_Daily!F277*activation_mult_D)</f>
        <v/>
      </c>
      <c r="N277" s="29">
        <f>F277+M277</f>
        <v/>
      </c>
    </row>
    <row r="278">
      <c r="A278" s="41">
        <f>DAMAS_Daily!A278</f>
        <v/>
      </c>
      <c r="B278" s="42">
        <f>DAMAS_Daily!B278</f>
        <v/>
      </c>
      <c r="C278" s="42">
        <f>IF((power_mw*hours_per_day*damas_afrr_up*capacity_mult_D*stack_capacity*acceptance_rate+(MIN(DAMAS_Daily!C278*market_share_D*acceptance_rate*stack_activation,power_mw*hours_per_day,capacity_mwh))*DAMAS_Daily!E278*activation_mult_D)&gt;=(power_mw*hours_per_day*damas_afrr_down*capacity_mult_D*stack_capacity*acceptance_rate+(MIN(DAMAS_Daily!D278*market_share_D*acceptance_rate*stack_activation,power_mw*hours_per_day,capacity_mwh))*DAMAS_Daily!F278*activation_mult_D),"aFRR+","aFRR-")</f>
        <v/>
      </c>
      <c r="D278" s="43">
        <f>IF(C278="aFRR+",damas_afrr_up*capacity_mult_D,damas_afrr_down*capacity_mult_D)</f>
        <v/>
      </c>
      <c r="E278" s="44">
        <f>acceptance_rate</f>
        <v/>
      </c>
      <c r="F278" s="28">
        <f>IF(C278="aFRR+",power_mw*hours_per_day*damas_afrr_up*capacity_mult_D*stack_capacity*acceptance_rate,power_mw*hours_per_day*damas_afrr_down*capacity_mult_D*stack_capacity*acceptance_rate)</f>
        <v/>
      </c>
      <c r="G278" s="42">
        <f>IF(C278="aFRR+",DAMAS_Daily!I278,DAMAS_Daily!J278)</f>
        <v/>
      </c>
      <c r="H278" s="43">
        <f>IF(C278="aFRR+",DAMAS_Daily!E278,DAMAS_Daily!F278)</f>
        <v/>
      </c>
      <c r="I278" s="43">
        <f>IF(C278="aFRR+",DAMAS_Daily!G278,DAMAS_Daily!H278)</f>
        <v/>
      </c>
      <c r="J278" s="45">
        <f>IF(C278="aFRR+",DAMAS_Daily!C278,DAMAS_Daily!D278)</f>
        <v/>
      </c>
      <c r="K278" s="45">
        <f>IF(C278="aFRR+",MIN(DAMAS_Daily!C278*market_share_D*acceptance_rate*stack_activation,power_mw*hours_per_day,capacity_mwh),MIN(DAMAS_Daily!D278*market_share_D*acceptance_rate*stack_activation,power_mw*hours_per_day,capacity_mwh))</f>
        <v/>
      </c>
      <c r="L278" s="42">
        <f>IF(K278&gt;=capacity_mwh-0.01,"yes","no")</f>
        <v/>
      </c>
      <c r="M278" s="28">
        <f>IF(C278="aFRR+",(MIN(DAMAS_Daily!C278*market_share_D*acceptance_rate*stack_activation,power_mw*hours_per_day,capacity_mwh))*DAMAS_Daily!E278*activation_mult_D,(MIN(DAMAS_Daily!D278*market_share_D*acceptance_rate*stack_activation,power_mw*hours_per_day,capacity_mwh))*DAMAS_Daily!F278*activation_mult_D)</f>
        <v/>
      </c>
      <c r="N278" s="29">
        <f>F278+M278</f>
        <v/>
      </c>
    </row>
    <row r="279">
      <c r="A279" s="41">
        <f>DAMAS_Daily!A279</f>
        <v/>
      </c>
      <c r="B279" s="42">
        <f>DAMAS_Daily!B279</f>
        <v/>
      </c>
      <c r="C279" s="42">
        <f>IF((power_mw*hours_per_day*damas_afrr_up*capacity_mult_D*stack_capacity*acceptance_rate+(MIN(DAMAS_Daily!C279*market_share_D*acceptance_rate*stack_activation,power_mw*hours_per_day,capacity_mwh))*DAMAS_Daily!E279*activation_mult_D)&gt;=(power_mw*hours_per_day*damas_afrr_down*capacity_mult_D*stack_capacity*acceptance_rate+(MIN(DAMAS_Daily!D279*market_share_D*acceptance_rate*stack_activation,power_mw*hours_per_day,capacity_mwh))*DAMAS_Daily!F279*activation_mult_D),"aFRR+","aFRR-")</f>
        <v/>
      </c>
      <c r="D279" s="43">
        <f>IF(C279="aFRR+",damas_afrr_up*capacity_mult_D,damas_afrr_down*capacity_mult_D)</f>
        <v/>
      </c>
      <c r="E279" s="44">
        <f>acceptance_rate</f>
        <v/>
      </c>
      <c r="F279" s="28">
        <f>IF(C279="aFRR+",power_mw*hours_per_day*damas_afrr_up*capacity_mult_D*stack_capacity*acceptance_rate,power_mw*hours_per_day*damas_afrr_down*capacity_mult_D*stack_capacity*acceptance_rate)</f>
        <v/>
      </c>
      <c r="G279" s="42">
        <f>IF(C279="aFRR+",DAMAS_Daily!I279,DAMAS_Daily!J279)</f>
        <v/>
      </c>
      <c r="H279" s="43">
        <f>IF(C279="aFRR+",DAMAS_Daily!E279,DAMAS_Daily!F279)</f>
        <v/>
      </c>
      <c r="I279" s="43">
        <f>IF(C279="aFRR+",DAMAS_Daily!G279,DAMAS_Daily!H279)</f>
        <v/>
      </c>
      <c r="J279" s="45">
        <f>IF(C279="aFRR+",DAMAS_Daily!C279,DAMAS_Daily!D279)</f>
        <v/>
      </c>
      <c r="K279" s="45">
        <f>IF(C279="aFRR+",MIN(DAMAS_Daily!C279*market_share_D*acceptance_rate*stack_activation,power_mw*hours_per_day,capacity_mwh),MIN(DAMAS_Daily!D279*market_share_D*acceptance_rate*stack_activation,power_mw*hours_per_day,capacity_mwh))</f>
        <v/>
      </c>
      <c r="L279" s="42">
        <f>IF(K279&gt;=capacity_mwh-0.01,"yes","no")</f>
        <v/>
      </c>
      <c r="M279" s="28">
        <f>IF(C279="aFRR+",(MIN(DAMAS_Daily!C279*market_share_D*acceptance_rate*stack_activation,power_mw*hours_per_day,capacity_mwh))*DAMAS_Daily!E279*activation_mult_D,(MIN(DAMAS_Daily!D279*market_share_D*acceptance_rate*stack_activation,power_mw*hours_per_day,capacity_mwh))*DAMAS_Daily!F279*activation_mult_D)</f>
        <v/>
      </c>
      <c r="N279" s="29">
        <f>F279+M279</f>
        <v/>
      </c>
    </row>
    <row r="280">
      <c r="A280" s="41">
        <f>DAMAS_Daily!A280</f>
        <v/>
      </c>
      <c r="B280" s="42">
        <f>DAMAS_Daily!B280</f>
        <v/>
      </c>
      <c r="C280" s="42">
        <f>IF((power_mw*hours_per_day*damas_afrr_up*capacity_mult_D*stack_capacity*acceptance_rate+(MIN(DAMAS_Daily!C280*market_share_D*acceptance_rate*stack_activation,power_mw*hours_per_day,capacity_mwh))*DAMAS_Daily!E280*activation_mult_D)&gt;=(power_mw*hours_per_day*damas_afrr_down*capacity_mult_D*stack_capacity*acceptance_rate+(MIN(DAMAS_Daily!D280*market_share_D*acceptance_rate*stack_activation,power_mw*hours_per_day,capacity_mwh))*DAMAS_Daily!F280*activation_mult_D),"aFRR+","aFRR-")</f>
        <v/>
      </c>
      <c r="D280" s="43">
        <f>IF(C280="aFRR+",damas_afrr_up*capacity_mult_D,damas_afrr_down*capacity_mult_D)</f>
        <v/>
      </c>
      <c r="E280" s="44">
        <f>acceptance_rate</f>
        <v/>
      </c>
      <c r="F280" s="28">
        <f>IF(C280="aFRR+",power_mw*hours_per_day*damas_afrr_up*capacity_mult_D*stack_capacity*acceptance_rate,power_mw*hours_per_day*damas_afrr_down*capacity_mult_D*stack_capacity*acceptance_rate)</f>
        <v/>
      </c>
      <c r="G280" s="42">
        <f>IF(C280="aFRR+",DAMAS_Daily!I280,DAMAS_Daily!J280)</f>
        <v/>
      </c>
      <c r="H280" s="43">
        <f>IF(C280="aFRR+",DAMAS_Daily!E280,DAMAS_Daily!F280)</f>
        <v/>
      </c>
      <c r="I280" s="43">
        <f>IF(C280="aFRR+",DAMAS_Daily!G280,DAMAS_Daily!H280)</f>
        <v/>
      </c>
      <c r="J280" s="45">
        <f>IF(C280="aFRR+",DAMAS_Daily!C280,DAMAS_Daily!D280)</f>
        <v/>
      </c>
      <c r="K280" s="45">
        <f>IF(C280="aFRR+",MIN(DAMAS_Daily!C280*market_share_D*acceptance_rate*stack_activation,power_mw*hours_per_day,capacity_mwh),MIN(DAMAS_Daily!D280*market_share_D*acceptance_rate*stack_activation,power_mw*hours_per_day,capacity_mwh))</f>
        <v/>
      </c>
      <c r="L280" s="42">
        <f>IF(K280&gt;=capacity_mwh-0.01,"yes","no")</f>
        <v/>
      </c>
      <c r="M280" s="28">
        <f>IF(C280="aFRR+",(MIN(DAMAS_Daily!C280*market_share_D*acceptance_rate*stack_activation,power_mw*hours_per_day,capacity_mwh))*DAMAS_Daily!E280*activation_mult_D,(MIN(DAMAS_Daily!D280*market_share_D*acceptance_rate*stack_activation,power_mw*hours_per_day,capacity_mwh))*DAMAS_Daily!F280*activation_mult_D)</f>
        <v/>
      </c>
      <c r="N280" s="29">
        <f>F280+M280</f>
        <v/>
      </c>
    </row>
    <row r="281">
      <c r="A281" s="41">
        <f>DAMAS_Daily!A281</f>
        <v/>
      </c>
      <c r="B281" s="42">
        <f>DAMAS_Daily!B281</f>
        <v/>
      </c>
      <c r="C281" s="42">
        <f>IF((power_mw*hours_per_day*damas_afrr_up*capacity_mult_D*stack_capacity*acceptance_rate+(MIN(DAMAS_Daily!C281*market_share_D*acceptance_rate*stack_activation,power_mw*hours_per_day,capacity_mwh))*DAMAS_Daily!E281*activation_mult_D)&gt;=(power_mw*hours_per_day*damas_afrr_down*capacity_mult_D*stack_capacity*acceptance_rate+(MIN(DAMAS_Daily!D281*market_share_D*acceptance_rate*stack_activation,power_mw*hours_per_day,capacity_mwh))*DAMAS_Daily!F281*activation_mult_D),"aFRR+","aFRR-")</f>
        <v/>
      </c>
      <c r="D281" s="43">
        <f>IF(C281="aFRR+",damas_afrr_up*capacity_mult_D,damas_afrr_down*capacity_mult_D)</f>
        <v/>
      </c>
      <c r="E281" s="44">
        <f>acceptance_rate</f>
        <v/>
      </c>
      <c r="F281" s="28">
        <f>IF(C281="aFRR+",power_mw*hours_per_day*damas_afrr_up*capacity_mult_D*stack_capacity*acceptance_rate,power_mw*hours_per_day*damas_afrr_down*capacity_mult_D*stack_capacity*acceptance_rate)</f>
        <v/>
      </c>
      <c r="G281" s="42">
        <f>IF(C281="aFRR+",DAMAS_Daily!I281,DAMAS_Daily!J281)</f>
        <v/>
      </c>
      <c r="H281" s="43">
        <f>IF(C281="aFRR+",DAMAS_Daily!E281,DAMAS_Daily!F281)</f>
        <v/>
      </c>
      <c r="I281" s="43">
        <f>IF(C281="aFRR+",DAMAS_Daily!G281,DAMAS_Daily!H281)</f>
        <v/>
      </c>
      <c r="J281" s="45">
        <f>IF(C281="aFRR+",DAMAS_Daily!C281,DAMAS_Daily!D281)</f>
        <v/>
      </c>
      <c r="K281" s="45">
        <f>IF(C281="aFRR+",MIN(DAMAS_Daily!C281*market_share_D*acceptance_rate*stack_activation,power_mw*hours_per_day,capacity_mwh),MIN(DAMAS_Daily!D281*market_share_D*acceptance_rate*stack_activation,power_mw*hours_per_day,capacity_mwh))</f>
        <v/>
      </c>
      <c r="L281" s="42">
        <f>IF(K281&gt;=capacity_mwh-0.01,"yes","no")</f>
        <v/>
      </c>
      <c r="M281" s="28">
        <f>IF(C281="aFRR+",(MIN(DAMAS_Daily!C281*market_share_D*acceptance_rate*stack_activation,power_mw*hours_per_day,capacity_mwh))*DAMAS_Daily!E281*activation_mult_D,(MIN(DAMAS_Daily!D281*market_share_D*acceptance_rate*stack_activation,power_mw*hours_per_day,capacity_mwh))*DAMAS_Daily!F281*activation_mult_D)</f>
        <v/>
      </c>
      <c r="N281" s="29">
        <f>F281+M281</f>
        <v/>
      </c>
    </row>
    <row r="282">
      <c r="A282" s="41">
        <f>DAMAS_Daily!A282</f>
        <v/>
      </c>
      <c r="B282" s="42">
        <f>DAMAS_Daily!B282</f>
        <v/>
      </c>
      <c r="C282" s="42">
        <f>IF((power_mw*hours_per_day*damas_afrr_up*capacity_mult_D*stack_capacity*acceptance_rate+(MIN(DAMAS_Daily!C282*market_share_D*acceptance_rate*stack_activation,power_mw*hours_per_day,capacity_mwh))*DAMAS_Daily!E282*activation_mult_D)&gt;=(power_mw*hours_per_day*damas_afrr_down*capacity_mult_D*stack_capacity*acceptance_rate+(MIN(DAMAS_Daily!D282*market_share_D*acceptance_rate*stack_activation,power_mw*hours_per_day,capacity_mwh))*DAMAS_Daily!F282*activation_mult_D),"aFRR+","aFRR-")</f>
        <v/>
      </c>
      <c r="D282" s="43">
        <f>IF(C282="aFRR+",damas_afrr_up*capacity_mult_D,damas_afrr_down*capacity_mult_D)</f>
        <v/>
      </c>
      <c r="E282" s="44">
        <f>acceptance_rate</f>
        <v/>
      </c>
      <c r="F282" s="28">
        <f>IF(C282="aFRR+",power_mw*hours_per_day*damas_afrr_up*capacity_mult_D*stack_capacity*acceptance_rate,power_mw*hours_per_day*damas_afrr_down*capacity_mult_D*stack_capacity*acceptance_rate)</f>
        <v/>
      </c>
      <c r="G282" s="42">
        <f>IF(C282="aFRR+",DAMAS_Daily!I282,DAMAS_Daily!J282)</f>
        <v/>
      </c>
      <c r="H282" s="43">
        <f>IF(C282="aFRR+",DAMAS_Daily!E282,DAMAS_Daily!F282)</f>
        <v/>
      </c>
      <c r="I282" s="43">
        <f>IF(C282="aFRR+",DAMAS_Daily!G282,DAMAS_Daily!H282)</f>
        <v/>
      </c>
      <c r="J282" s="45">
        <f>IF(C282="aFRR+",DAMAS_Daily!C282,DAMAS_Daily!D282)</f>
        <v/>
      </c>
      <c r="K282" s="45">
        <f>IF(C282="aFRR+",MIN(DAMAS_Daily!C282*market_share_D*acceptance_rate*stack_activation,power_mw*hours_per_day,capacity_mwh),MIN(DAMAS_Daily!D282*market_share_D*acceptance_rate*stack_activation,power_mw*hours_per_day,capacity_mwh))</f>
        <v/>
      </c>
      <c r="L282" s="42">
        <f>IF(K282&gt;=capacity_mwh-0.01,"yes","no")</f>
        <v/>
      </c>
      <c r="M282" s="28">
        <f>IF(C282="aFRR+",(MIN(DAMAS_Daily!C282*market_share_D*acceptance_rate*stack_activation,power_mw*hours_per_day,capacity_mwh))*DAMAS_Daily!E282*activation_mult_D,(MIN(DAMAS_Daily!D282*market_share_D*acceptance_rate*stack_activation,power_mw*hours_per_day,capacity_mwh))*DAMAS_Daily!F282*activation_mult_D)</f>
        <v/>
      </c>
      <c r="N282" s="29">
        <f>F282+M282</f>
        <v/>
      </c>
    </row>
    <row r="283">
      <c r="A283" s="41">
        <f>DAMAS_Daily!A283</f>
        <v/>
      </c>
      <c r="B283" s="42">
        <f>DAMAS_Daily!B283</f>
        <v/>
      </c>
      <c r="C283" s="42">
        <f>IF((power_mw*hours_per_day*damas_afrr_up*capacity_mult_D*stack_capacity*acceptance_rate+(MIN(DAMAS_Daily!C283*market_share_D*acceptance_rate*stack_activation,power_mw*hours_per_day,capacity_mwh))*DAMAS_Daily!E283*activation_mult_D)&gt;=(power_mw*hours_per_day*damas_afrr_down*capacity_mult_D*stack_capacity*acceptance_rate+(MIN(DAMAS_Daily!D283*market_share_D*acceptance_rate*stack_activation,power_mw*hours_per_day,capacity_mwh))*DAMAS_Daily!F283*activation_mult_D),"aFRR+","aFRR-")</f>
        <v/>
      </c>
      <c r="D283" s="43">
        <f>IF(C283="aFRR+",damas_afrr_up*capacity_mult_D,damas_afrr_down*capacity_mult_D)</f>
        <v/>
      </c>
      <c r="E283" s="44">
        <f>acceptance_rate</f>
        <v/>
      </c>
      <c r="F283" s="28">
        <f>IF(C283="aFRR+",power_mw*hours_per_day*damas_afrr_up*capacity_mult_D*stack_capacity*acceptance_rate,power_mw*hours_per_day*damas_afrr_down*capacity_mult_D*stack_capacity*acceptance_rate)</f>
        <v/>
      </c>
      <c r="G283" s="42">
        <f>IF(C283="aFRR+",DAMAS_Daily!I283,DAMAS_Daily!J283)</f>
        <v/>
      </c>
      <c r="H283" s="43">
        <f>IF(C283="aFRR+",DAMAS_Daily!E283,DAMAS_Daily!F283)</f>
        <v/>
      </c>
      <c r="I283" s="43">
        <f>IF(C283="aFRR+",DAMAS_Daily!G283,DAMAS_Daily!H283)</f>
        <v/>
      </c>
      <c r="J283" s="45">
        <f>IF(C283="aFRR+",DAMAS_Daily!C283,DAMAS_Daily!D283)</f>
        <v/>
      </c>
      <c r="K283" s="45">
        <f>IF(C283="aFRR+",MIN(DAMAS_Daily!C283*market_share_D*acceptance_rate*stack_activation,power_mw*hours_per_day,capacity_mwh),MIN(DAMAS_Daily!D283*market_share_D*acceptance_rate*stack_activation,power_mw*hours_per_day,capacity_mwh))</f>
        <v/>
      </c>
      <c r="L283" s="42">
        <f>IF(K283&gt;=capacity_mwh-0.01,"yes","no")</f>
        <v/>
      </c>
      <c r="M283" s="28">
        <f>IF(C283="aFRR+",(MIN(DAMAS_Daily!C283*market_share_D*acceptance_rate*stack_activation,power_mw*hours_per_day,capacity_mwh))*DAMAS_Daily!E283*activation_mult_D,(MIN(DAMAS_Daily!D283*market_share_D*acceptance_rate*stack_activation,power_mw*hours_per_day,capacity_mwh))*DAMAS_Daily!F283*activation_mult_D)</f>
        <v/>
      </c>
      <c r="N283" s="29">
        <f>F283+M283</f>
        <v/>
      </c>
    </row>
    <row r="284">
      <c r="A284" s="41">
        <f>DAMAS_Daily!A284</f>
        <v/>
      </c>
      <c r="B284" s="42">
        <f>DAMAS_Daily!B284</f>
        <v/>
      </c>
      <c r="C284" s="42">
        <f>IF((power_mw*hours_per_day*damas_afrr_up*capacity_mult_D*stack_capacity*acceptance_rate+(MIN(DAMAS_Daily!C284*market_share_D*acceptance_rate*stack_activation,power_mw*hours_per_day,capacity_mwh))*DAMAS_Daily!E284*activation_mult_D)&gt;=(power_mw*hours_per_day*damas_afrr_down*capacity_mult_D*stack_capacity*acceptance_rate+(MIN(DAMAS_Daily!D284*market_share_D*acceptance_rate*stack_activation,power_mw*hours_per_day,capacity_mwh))*DAMAS_Daily!F284*activation_mult_D),"aFRR+","aFRR-")</f>
        <v/>
      </c>
      <c r="D284" s="43">
        <f>IF(C284="aFRR+",damas_afrr_up*capacity_mult_D,damas_afrr_down*capacity_mult_D)</f>
        <v/>
      </c>
      <c r="E284" s="44">
        <f>acceptance_rate</f>
        <v/>
      </c>
      <c r="F284" s="28">
        <f>IF(C284="aFRR+",power_mw*hours_per_day*damas_afrr_up*capacity_mult_D*stack_capacity*acceptance_rate,power_mw*hours_per_day*damas_afrr_down*capacity_mult_D*stack_capacity*acceptance_rate)</f>
        <v/>
      </c>
      <c r="G284" s="42">
        <f>IF(C284="aFRR+",DAMAS_Daily!I284,DAMAS_Daily!J284)</f>
        <v/>
      </c>
      <c r="H284" s="43">
        <f>IF(C284="aFRR+",DAMAS_Daily!E284,DAMAS_Daily!F284)</f>
        <v/>
      </c>
      <c r="I284" s="43">
        <f>IF(C284="aFRR+",DAMAS_Daily!G284,DAMAS_Daily!H284)</f>
        <v/>
      </c>
      <c r="J284" s="45">
        <f>IF(C284="aFRR+",DAMAS_Daily!C284,DAMAS_Daily!D284)</f>
        <v/>
      </c>
      <c r="K284" s="45">
        <f>IF(C284="aFRR+",MIN(DAMAS_Daily!C284*market_share_D*acceptance_rate*stack_activation,power_mw*hours_per_day,capacity_mwh),MIN(DAMAS_Daily!D284*market_share_D*acceptance_rate*stack_activation,power_mw*hours_per_day,capacity_mwh))</f>
        <v/>
      </c>
      <c r="L284" s="42">
        <f>IF(K284&gt;=capacity_mwh-0.01,"yes","no")</f>
        <v/>
      </c>
      <c r="M284" s="28">
        <f>IF(C284="aFRR+",(MIN(DAMAS_Daily!C284*market_share_D*acceptance_rate*stack_activation,power_mw*hours_per_day,capacity_mwh))*DAMAS_Daily!E284*activation_mult_D,(MIN(DAMAS_Daily!D284*market_share_D*acceptance_rate*stack_activation,power_mw*hours_per_day,capacity_mwh))*DAMAS_Daily!F284*activation_mult_D)</f>
        <v/>
      </c>
      <c r="N284" s="29">
        <f>F284+M284</f>
        <v/>
      </c>
    </row>
    <row r="285">
      <c r="A285" s="41">
        <f>DAMAS_Daily!A285</f>
        <v/>
      </c>
      <c r="B285" s="42">
        <f>DAMAS_Daily!B285</f>
        <v/>
      </c>
      <c r="C285" s="42">
        <f>IF((power_mw*hours_per_day*damas_afrr_up*capacity_mult_D*stack_capacity*acceptance_rate+(MIN(DAMAS_Daily!C285*market_share_D*acceptance_rate*stack_activation,power_mw*hours_per_day,capacity_mwh))*DAMAS_Daily!E285*activation_mult_D)&gt;=(power_mw*hours_per_day*damas_afrr_down*capacity_mult_D*stack_capacity*acceptance_rate+(MIN(DAMAS_Daily!D285*market_share_D*acceptance_rate*stack_activation,power_mw*hours_per_day,capacity_mwh))*DAMAS_Daily!F285*activation_mult_D),"aFRR+","aFRR-")</f>
        <v/>
      </c>
      <c r="D285" s="43">
        <f>IF(C285="aFRR+",damas_afrr_up*capacity_mult_D,damas_afrr_down*capacity_mult_D)</f>
        <v/>
      </c>
      <c r="E285" s="44">
        <f>acceptance_rate</f>
        <v/>
      </c>
      <c r="F285" s="28">
        <f>IF(C285="aFRR+",power_mw*hours_per_day*damas_afrr_up*capacity_mult_D*stack_capacity*acceptance_rate,power_mw*hours_per_day*damas_afrr_down*capacity_mult_D*stack_capacity*acceptance_rate)</f>
        <v/>
      </c>
      <c r="G285" s="42">
        <f>IF(C285="aFRR+",DAMAS_Daily!I285,DAMAS_Daily!J285)</f>
        <v/>
      </c>
      <c r="H285" s="43">
        <f>IF(C285="aFRR+",DAMAS_Daily!E285,DAMAS_Daily!F285)</f>
        <v/>
      </c>
      <c r="I285" s="43">
        <f>IF(C285="aFRR+",DAMAS_Daily!G285,DAMAS_Daily!H285)</f>
        <v/>
      </c>
      <c r="J285" s="45">
        <f>IF(C285="aFRR+",DAMAS_Daily!C285,DAMAS_Daily!D285)</f>
        <v/>
      </c>
      <c r="K285" s="45">
        <f>IF(C285="aFRR+",MIN(DAMAS_Daily!C285*market_share_D*acceptance_rate*stack_activation,power_mw*hours_per_day,capacity_mwh),MIN(DAMAS_Daily!D285*market_share_D*acceptance_rate*stack_activation,power_mw*hours_per_day,capacity_mwh))</f>
        <v/>
      </c>
      <c r="L285" s="42">
        <f>IF(K285&gt;=capacity_mwh-0.01,"yes","no")</f>
        <v/>
      </c>
      <c r="M285" s="28">
        <f>IF(C285="aFRR+",(MIN(DAMAS_Daily!C285*market_share_D*acceptance_rate*stack_activation,power_mw*hours_per_day,capacity_mwh))*DAMAS_Daily!E285*activation_mult_D,(MIN(DAMAS_Daily!D285*market_share_D*acceptance_rate*stack_activation,power_mw*hours_per_day,capacity_mwh))*DAMAS_Daily!F285*activation_mult_D)</f>
        <v/>
      </c>
      <c r="N285" s="29">
        <f>F285+M285</f>
        <v/>
      </c>
    </row>
    <row r="286">
      <c r="A286" s="41">
        <f>DAMAS_Daily!A286</f>
        <v/>
      </c>
      <c r="B286" s="42">
        <f>DAMAS_Daily!B286</f>
        <v/>
      </c>
      <c r="C286" s="42">
        <f>IF((power_mw*hours_per_day*damas_afrr_up*capacity_mult_D*stack_capacity*acceptance_rate+(MIN(DAMAS_Daily!C286*market_share_D*acceptance_rate*stack_activation,power_mw*hours_per_day,capacity_mwh))*DAMAS_Daily!E286*activation_mult_D)&gt;=(power_mw*hours_per_day*damas_afrr_down*capacity_mult_D*stack_capacity*acceptance_rate+(MIN(DAMAS_Daily!D286*market_share_D*acceptance_rate*stack_activation,power_mw*hours_per_day,capacity_mwh))*DAMAS_Daily!F286*activation_mult_D),"aFRR+","aFRR-")</f>
        <v/>
      </c>
      <c r="D286" s="43">
        <f>IF(C286="aFRR+",damas_afrr_up*capacity_mult_D,damas_afrr_down*capacity_mult_D)</f>
        <v/>
      </c>
      <c r="E286" s="44">
        <f>acceptance_rate</f>
        <v/>
      </c>
      <c r="F286" s="28">
        <f>IF(C286="aFRR+",power_mw*hours_per_day*damas_afrr_up*capacity_mult_D*stack_capacity*acceptance_rate,power_mw*hours_per_day*damas_afrr_down*capacity_mult_D*stack_capacity*acceptance_rate)</f>
        <v/>
      </c>
      <c r="G286" s="42">
        <f>IF(C286="aFRR+",DAMAS_Daily!I286,DAMAS_Daily!J286)</f>
        <v/>
      </c>
      <c r="H286" s="43">
        <f>IF(C286="aFRR+",DAMAS_Daily!E286,DAMAS_Daily!F286)</f>
        <v/>
      </c>
      <c r="I286" s="43">
        <f>IF(C286="aFRR+",DAMAS_Daily!G286,DAMAS_Daily!H286)</f>
        <v/>
      </c>
      <c r="J286" s="45">
        <f>IF(C286="aFRR+",DAMAS_Daily!C286,DAMAS_Daily!D286)</f>
        <v/>
      </c>
      <c r="K286" s="45">
        <f>IF(C286="aFRR+",MIN(DAMAS_Daily!C286*market_share_D*acceptance_rate*stack_activation,power_mw*hours_per_day,capacity_mwh),MIN(DAMAS_Daily!D286*market_share_D*acceptance_rate*stack_activation,power_mw*hours_per_day,capacity_mwh))</f>
        <v/>
      </c>
      <c r="L286" s="42">
        <f>IF(K286&gt;=capacity_mwh-0.01,"yes","no")</f>
        <v/>
      </c>
      <c r="M286" s="28">
        <f>IF(C286="aFRR+",(MIN(DAMAS_Daily!C286*market_share_D*acceptance_rate*stack_activation,power_mw*hours_per_day,capacity_mwh))*DAMAS_Daily!E286*activation_mult_D,(MIN(DAMAS_Daily!D286*market_share_D*acceptance_rate*stack_activation,power_mw*hours_per_day,capacity_mwh))*DAMAS_Daily!F286*activation_mult_D)</f>
        <v/>
      </c>
      <c r="N286" s="29">
        <f>F286+M286</f>
        <v/>
      </c>
    </row>
    <row r="287">
      <c r="A287" s="41">
        <f>DAMAS_Daily!A287</f>
        <v/>
      </c>
      <c r="B287" s="42">
        <f>DAMAS_Daily!B287</f>
        <v/>
      </c>
      <c r="C287" s="42">
        <f>IF((power_mw*hours_per_day*damas_afrr_up*capacity_mult_D*stack_capacity*acceptance_rate+(MIN(DAMAS_Daily!C287*market_share_D*acceptance_rate*stack_activation,power_mw*hours_per_day,capacity_mwh))*DAMAS_Daily!E287*activation_mult_D)&gt;=(power_mw*hours_per_day*damas_afrr_down*capacity_mult_D*stack_capacity*acceptance_rate+(MIN(DAMAS_Daily!D287*market_share_D*acceptance_rate*stack_activation,power_mw*hours_per_day,capacity_mwh))*DAMAS_Daily!F287*activation_mult_D),"aFRR+","aFRR-")</f>
        <v/>
      </c>
      <c r="D287" s="43">
        <f>IF(C287="aFRR+",damas_afrr_up*capacity_mult_D,damas_afrr_down*capacity_mult_D)</f>
        <v/>
      </c>
      <c r="E287" s="44">
        <f>acceptance_rate</f>
        <v/>
      </c>
      <c r="F287" s="28">
        <f>IF(C287="aFRR+",power_mw*hours_per_day*damas_afrr_up*capacity_mult_D*stack_capacity*acceptance_rate,power_mw*hours_per_day*damas_afrr_down*capacity_mult_D*stack_capacity*acceptance_rate)</f>
        <v/>
      </c>
      <c r="G287" s="42">
        <f>IF(C287="aFRR+",DAMAS_Daily!I287,DAMAS_Daily!J287)</f>
        <v/>
      </c>
      <c r="H287" s="43">
        <f>IF(C287="aFRR+",DAMAS_Daily!E287,DAMAS_Daily!F287)</f>
        <v/>
      </c>
      <c r="I287" s="43">
        <f>IF(C287="aFRR+",DAMAS_Daily!G287,DAMAS_Daily!H287)</f>
        <v/>
      </c>
      <c r="J287" s="45">
        <f>IF(C287="aFRR+",DAMAS_Daily!C287,DAMAS_Daily!D287)</f>
        <v/>
      </c>
      <c r="K287" s="45">
        <f>IF(C287="aFRR+",MIN(DAMAS_Daily!C287*market_share_D*acceptance_rate*stack_activation,power_mw*hours_per_day,capacity_mwh),MIN(DAMAS_Daily!D287*market_share_D*acceptance_rate*stack_activation,power_mw*hours_per_day,capacity_mwh))</f>
        <v/>
      </c>
      <c r="L287" s="42">
        <f>IF(K287&gt;=capacity_mwh-0.01,"yes","no")</f>
        <v/>
      </c>
      <c r="M287" s="28">
        <f>IF(C287="aFRR+",(MIN(DAMAS_Daily!C287*market_share_D*acceptance_rate*stack_activation,power_mw*hours_per_day,capacity_mwh))*DAMAS_Daily!E287*activation_mult_D,(MIN(DAMAS_Daily!D287*market_share_D*acceptance_rate*stack_activation,power_mw*hours_per_day,capacity_mwh))*DAMAS_Daily!F287*activation_mult_D)</f>
        <v/>
      </c>
      <c r="N287" s="29">
        <f>F287+M287</f>
        <v/>
      </c>
    </row>
    <row r="288">
      <c r="A288" s="41">
        <f>DAMAS_Daily!A288</f>
        <v/>
      </c>
      <c r="B288" s="42">
        <f>DAMAS_Daily!B288</f>
        <v/>
      </c>
      <c r="C288" s="42">
        <f>IF((power_mw*hours_per_day*damas_afrr_up*capacity_mult_D*stack_capacity*acceptance_rate+(MIN(DAMAS_Daily!C288*market_share_D*acceptance_rate*stack_activation,power_mw*hours_per_day,capacity_mwh))*DAMAS_Daily!E288*activation_mult_D)&gt;=(power_mw*hours_per_day*damas_afrr_down*capacity_mult_D*stack_capacity*acceptance_rate+(MIN(DAMAS_Daily!D288*market_share_D*acceptance_rate*stack_activation,power_mw*hours_per_day,capacity_mwh))*DAMAS_Daily!F288*activation_mult_D),"aFRR+","aFRR-")</f>
        <v/>
      </c>
      <c r="D288" s="43">
        <f>IF(C288="aFRR+",damas_afrr_up*capacity_mult_D,damas_afrr_down*capacity_mult_D)</f>
        <v/>
      </c>
      <c r="E288" s="44">
        <f>acceptance_rate</f>
        <v/>
      </c>
      <c r="F288" s="28">
        <f>IF(C288="aFRR+",power_mw*hours_per_day*damas_afrr_up*capacity_mult_D*stack_capacity*acceptance_rate,power_mw*hours_per_day*damas_afrr_down*capacity_mult_D*stack_capacity*acceptance_rate)</f>
        <v/>
      </c>
      <c r="G288" s="42">
        <f>IF(C288="aFRR+",DAMAS_Daily!I288,DAMAS_Daily!J288)</f>
        <v/>
      </c>
      <c r="H288" s="43">
        <f>IF(C288="aFRR+",DAMAS_Daily!E288,DAMAS_Daily!F288)</f>
        <v/>
      </c>
      <c r="I288" s="43">
        <f>IF(C288="aFRR+",DAMAS_Daily!G288,DAMAS_Daily!H288)</f>
        <v/>
      </c>
      <c r="J288" s="45">
        <f>IF(C288="aFRR+",DAMAS_Daily!C288,DAMAS_Daily!D288)</f>
        <v/>
      </c>
      <c r="K288" s="45">
        <f>IF(C288="aFRR+",MIN(DAMAS_Daily!C288*market_share_D*acceptance_rate*stack_activation,power_mw*hours_per_day,capacity_mwh),MIN(DAMAS_Daily!D288*market_share_D*acceptance_rate*stack_activation,power_mw*hours_per_day,capacity_mwh))</f>
        <v/>
      </c>
      <c r="L288" s="42">
        <f>IF(K288&gt;=capacity_mwh-0.01,"yes","no")</f>
        <v/>
      </c>
      <c r="M288" s="28">
        <f>IF(C288="aFRR+",(MIN(DAMAS_Daily!C288*market_share_D*acceptance_rate*stack_activation,power_mw*hours_per_day,capacity_mwh))*DAMAS_Daily!E288*activation_mult_D,(MIN(DAMAS_Daily!D288*market_share_D*acceptance_rate*stack_activation,power_mw*hours_per_day,capacity_mwh))*DAMAS_Daily!F288*activation_mult_D)</f>
        <v/>
      </c>
      <c r="N288" s="29">
        <f>F288+M288</f>
        <v/>
      </c>
    </row>
    <row r="289">
      <c r="A289" s="41">
        <f>DAMAS_Daily!A289</f>
        <v/>
      </c>
      <c r="B289" s="42">
        <f>DAMAS_Daily!B289</f>
        <v/>
      </c>
      <c r="C289" s="42">
        <f>IF((power_mw*hours_per_day*damas_afrr_up*capacity_mult_D*stack_capacity*acceptance_rate+(MIN(DAMAS_Daily!C289*market_share_D*acceptance_rate*stack_activation,power_mw*hours_per_day,capacity_mwh))*DAMAS_Daily!E289*activation_mult_D)&gt;=(power_mw*hours_per_day*damas_afrr_down*capacity_mult_D*stack_capacity*acceptance_rate+(MIN(DAMAS_Daily!D289*market_share_D*acceptance_rate*stack_activation,power_mw*hours_per_day,capacity_mwh))*DAMAS_Daily!F289*activation_mult_D),"aFRR+","aFRR-")</f>
        <v/>
      </c>
      <c r="D289" s="43">
        <f>IF(C289="aFRR+",damas_afrr_up*capacity_mult_D,damas_afrr_down*capacity_mult_D)</f>
        <v/>
      </c>
      <c r="E289" s="44">
        <f>acceptance_rate</f>
        <v/>
      </c>
      <c r="F289" s="28">
        <f>IF(C289="aFRR+",power_mw*hours_per_day*damas_afrr_up*capacity_mult_D*stack_capacity*acceptance_rate,power_mw*hours_per_day*damas_afrr_down*capacity_mult_D*stack_capacity*acceptance_rate)</f>
        <v/>
      </c>
      <c r="G289" s="42">
        <f>IF(C289="aFRR+",DAMAS_Daily!I289,DAMAS_Daily!J289)</f>
        <v/>
      </c>
      <c r="H289" s="43">
        <f>IF(C289="aFRR+",DAMAS_Daily!E289,DAMAS_Daily!F289)</f>
        <v/>
      </c>
      <c r="I289" s="43">
        <f>IF(C289="aFRR+",DAMAS_Daily!G289,DAMAS_Daily!H289)</f>
        <v/>
      </c>
      <c r="J289" s="45">
        <f>IF(C289="aFRR+",DAMAS_Daily!C289,DAMAS_Daily!D289)</f>
        <v/>
      </c>
      <c r="K289" s="45">
        <f>IF(C289="aFRR+",MIN(DAMAS_Daily!C289*market_share_D*acceptance_rate*stack_activation,power_mw*hours_per_day,capacity_mwh),MIN(DAMAS_Daily!D289*market_share_D*acceptance_rate*stack_activation,power_mw*hours_per_day,capacity_mwh))</f>
        <v/>
      </c>
      <c r="L289" s="42">
        <f>IF(K289&gt;=capacity_mwh-0.01,"yes","no")</f>
        <v/>
      </c>
      <c r="M289" s="28">
        <f>IF(C289="aFRR+",(MIN(DAMAS_Daily!C289*market_share_D*acceptance_rate*stack_activation,power_mw*hours_per_day,capacity_mwh))*DAMAS_Daily!E289*activation_mult_D,(MIN(DAMAS_Daily!D289*market_share_D*acceptance_rate*stack_activation,power_mw*hours_per_day,capacity_mwh))*DAMAS_Daily!F289*activation_mult_D)</f>
        <v/>
      </c>
      <c r="N289" s="29">
        <f>F289+M289</f>
        <v/>
      </c>
    </row>
    <row r="290">
      <c r="A290" s="41">
        <f>DAMAS_Daily!A290</f>
        <v/>
      </c>
      <c r="B290" s="42">
        <f>DAMAS_Daily!B290</f>
        <v/>
      </c>
      <c r="C290" s="42">
        <f>IF((power_mw*hours_per_day*damas_afrr_up*capacity_mult_D*stack_capacity*acceptance_rate+(MIN(DAMAS_Daily!C290*market_share_D*acceptance_rate*stack_activation,power_mw*hours_per_day,capacity_mwh))*DAMAS_Daily!E290*activation_mult_D)&gt;=(power_mw*hours_per_day*damas_afrr_down*capacity_mult_D*stack_capacity*acceptance_rate+(MIN(DAMAS_Daily!D290*market_share_D*acceptance_rate*stack_activation,power_mw*hours_per_day,capacity_mwh))*DAMAS_Daily!F290*activation_mult_D),"aFRR+","aFRR-")</f>
        <v/>
      </c>
      <c r="D290" s="43">
        <f>IF(C290="aFRR+",damas_afrr_up*capacity_mult_D,damas_afrr_down*capacity_mult_D)</f>
        <v/>
      </c>
      <c r="E290" s="44">
        <f>acceptance_rate</f>
        <v/>
      </c>
      <c r="F290" s="28">
        <f>IF(C290="aFRR+",power_mw*hours_per_day*damas_afrr_up*capacity_mult_D*stack_capacity*acceptance_rate,power_mw*hours_per_day*damas_afrr_down*capacity_mult_D*stack_capacity*acceptance_rate)</f>
        <v/>
      </c>
      <c r="G290" s="42">
        <f>IF(C290="aFRR+",DAMAS_Daily!I290,DAMAS_Daily!J290)</f>
        <v/>
      </c>
      <c r="H290" s="43">
        <f>IF(C290="aFRR+",DAMAS_Daily!E290,DAMAS_Daily!F290)</f>
        <v/>
      </c>
      <c r="I290" s="43">
        <f>IF(C290="aFRR+",DAMAS_Daily!G290,DAMAS_Daily!H290)</f>
        <v/>
      </c>
      <c r="J290" s="45">
        <f>IF(C290="aFRR+",DAMAS_Daily!C290,DAMAS_Daily!D290)</f>
        <v/>
      </c>
      <c r="K290" s="45">
        <f>IF(C290="aFRR+",MIN(DAMAS_Daily!C290*market_share_D*acceptance_rate*stack_activation,power_mw*hours_per_day,capacity_mwh),MIN(DAMAS_Daily!D290*market_share_D*acceptance_rate*stack_activation,power_mw*hours_per_day,capacity_mwh))</f>
        <v/>
      </c>
      <c r="L290" s="42">
        <f>IF(K290&gt;=capacity_mwh-0.01,"yes","no")</f>
        <v/>
      </c>
      <c r="M290" s="28">
        <f>IF(C290="aFRR+",(MIN(DAMAS_Daily!C290*market_share_D*acceptance_rate*stack_activation,power_mw*hours_per_day,capacity_mwh))*DAMAS_Daily!E290*activation_mult_D,(MIN(DAMAS_Daily!D290*market_share_D*acceptance_rate*stack_activation,power_mw*hours_per_day,capacity_mwh))*DAMAS_Daily!F290*activation_mult_D)</f>
        <v/>
      </c>
      <c r="N290" s="29">
        <f>F290+M290</f>
        <v/>
      </c>
    </row>
    <row r="291">
      <c r="A291" s="41">
        <f>DAMAS_Daily!A291</f>
        <v/>
      </c>
      <c r="B291" s="42">
        <f>DAMAS_Daily!B291</f>
        <v/>
      </c>
      <c r="C291" s="42">
        <f>IF((power_mw*hours_per_day*damas_afrr_up*capacity_mult_D*stack_capacity*acceptance_rate+(MIN(DAMAS_Daily!C291*market_share_D*acceptance_rate*stack_activation,power_mw*hours_per_day,capacity_mwh))*DAMAS_Daily!E291*activation_mult_D)&gt;=(power_mw*hours_per_day*damas_afrr_down*capacity_mult_D*stack_capacity*acceptance_rate+(MIN(DAMAS_Daily!D291*market_share_D*acceptance_rate*stack_activation,power_mw*hours_per_day,capacity_mwh))*DAMAS_Daily!F291*activation_mult_D),"aFRR+","aFRR-")</f>
        <v/>
      </c>
      <c r="D291" s="43">
        <f>IF(C291="aFRR+",damas_afrr_up*capacity_mult_D,damas_afrr_down*capacity_mult_D)</f>
        <v/>
      </c>
      <c r="E291" s="44">
        <f>acceptance_rate</f>
        <v/>
      </c>
      <c r="F291" s="28">
        <f>IF(C291="aFRR+",power_mw*hours_per_day*damas_afrr_up*capacity_mult_D*stack_capacity*acceptance_rate,power_mw*hours_per_day*damas_afrr_down*capacity_mult_D*stack_capacity*acceptance_rate)</f>
        <v/>
      </c>
      <c r="G291" s="42">
        <f>IF(C291="aFRR+",DAMAS_Daily!I291,DAMAS_Daily!J291)</f>
        <v/>
      </c>
      <c r="H291" s="43">
        <f>IF(C291="aFRR+",DAMAS_Daily!E291,DAMAS_Daily!F291)</f>
        <v/>
      </c>
      <c r="I291" s="43">
        <f>IF(C291="aFRR+",DAMAS_Daily!G291,DAMAS_Daily!H291)</f>
        <v/>
      </c>
      <c r="J291" s="45">
        <f>IF(C291="aFRR+",DAMAS_Daily!C291,DAMAS_Daily!D291)</f>
        <v/>
      </c>
      <c r="K291" s="45">
        <f>IF(C291="aFRR+",MIN(DAMAS_Daily!C291*market_share_D*acceptance_rate*stack_activation,power_mw*hours_per_day,capacity_mwh),MIN(DAMAS_Daily!D291*market_share_D*acceptance_rate*stack_activation,power_mw*hours_per_day,capacity_mwh))</f>
        <v/>
      </c>
      <c r="L291" s="42">
        <f>IF(K291&gt;=capacity_mwh-0.01,"yes","no")</f>
        <v/>
      </c>
      <c r="M291" s="28">
        <f>IF(C291="aFRR+",(MIN(DAMAS_Daily!C291*market_share_D*acceptance_rate*stack_activation,power_mw*hours_per_day,capacity_mwh))*DAMAS_Daily!E291*activation_mult_D,(MIN(DAMAS_Daily!D291*market_share_D*acceptance_rate*stack_activation,power_mw*hours_per_day,capacity_mwh))*DAMAS_Daily!F291*activation_mult_D)</f>
        <v/>
      </c>
      <c r="N291" s="29">
        <f>F291+M291</f>
        <v/>
      </c>
    </row>
    <row r="292">
      <c r="A292" s="41">
        <f>DAMAS_Daily!A292</f>
        <v/>
      </c>
      <c r="B292" s="42">
        <f>DAMAS_Daily!B292</f>
        <v/>
      </c>
      <c r="C292" s="42">
        <f>IF((power_mw*hours_per_day*damas_afrr_up*capacity_mult_D*stack_capacity*acceptance_rate+(MIN(DAMAS_Daily!C292*market_share_D*acceptance_rate*stack_activation,power_mw*hours_per_day,capacity_mwh))*DAMAS_Daily!E292*activation_mult_D)&gt;=(power_mw*hours_per_day*damas_afrr_down*capacity_mult_D*stack_capacity*acceptance_rate+(MIN(DAMAS_Daily!D292*market_share_D*acceptance_rate*stack_activation,power_mw*hours_per_day,capacity_mwh))*DAMAS_Daily!F292*activation_mult_D),"aFRR+","aFRR-")</f>
        <v/>
      </c>
      <c r="D292" s="43">
        <f>IF(C292="aFRR+",damas_afrr_up*capacity_mult_D,damas_afrr_down*capacity_mult_D)</f>
        <v/>
      </c>
      <c r="E292" s="44">
        <f>acceptance_rate</f>
        <v/>
      </c>
      <c r="F292" s="28">
        <f>IF(C292="aFRR+",power_mw*hours_per_day*damas_afrr_up*capacity_mult_D*stack_capacity*acceptance_rate,power_mw*hours_per_day*damas_afrr_down*capacity_mult_D*stack_capacity*acceptance_rate)</f>
        <v/>
      </c>
      <c r="G292" s="42">
        <f>IF(C292="aFRR+",DAMAS_Daily!I292,DAMAS_Daily!J292)</f>
        <v/>
      </c>
      <c r="H292" s="43">
        <f>IF(C292="aFRR+",DAMAS_Daily!E292,DAMAS_Daily!F292)</f>
        <v/>
      </c>
      <c r="I292" s="43">
        <f>IF(C292="aFRR+",DAMAS_Daily!G292,DAMAS_Daily!H292)</f>
        <v/>
      </c>
      <c r="J292" s="45">
        <f>IF(C292="aFRR+",DAMAS_Daily!C292,DAMAS_Daily!D292)</f>
        <v/>
      </c>
      <c r="K292" s="45">
        <f>IF(C292="aFRR+",MIN(DAMAS_Daily!C292*market_share_D*acceptance_rate*stack_activation,power_mw*hours_per_day,capacity_mwh),MIN(DAMAS_Daily!D292*market_share_D*acceptance_rate*stack_activation,power_mw*hours_per_day,capacity_mwh))</f>
        <v/>
      </c>
      <c r="L292" s="42">
        <f>IF(K292&gt;=capacity_mwh-0.01,"yes","no")</f>
        <v/>
      </c>
      <c r="M292" s="28">
        <f>IF(C292="aFRR+",(MIN(DAMAS_Daily!C292*market_share_D*acceptance_rate*stack_activation,power_mw*hours_per_day,capacity_mwh))*DAMAS_Daily!E292*activation_mult_D,(MIN(DAMAS_Daily!D292*market_share_D*acceptance_rate*stack_activation,power_mw*hours_per_day,capacity_mwh))*DAMAS_Daily!F292*activation_mult_D)</f>
        <v/>
      </c>
      <c r="N292" s="29">
        <f>F292+M292</f>
        <v/>
      </c>
    </row>
    <row r="293">
      <c r="A293" s="41">
        <f>DAMAS_Daily!A293</f>
        <v/>
      </c>
      <c r="B293" s="42">
        <f>DAMAS_Daily!B293</f>
        <v/>
      </c>
      <c r="C293" s="42">
        <f>IF((power_mw*hours_per_day*damas_afrr_up*capacity_mult_D*stack_capacity*acceptance_rate+(MIN(DAMAS_Daily!C293*market_share_D*acceptance_rate*stack_activation,power_mw*hours_per_day,capacity_mwh))*DAMAS_Daily!E293*activation_mult_D)&gt;=(power_mw*hours_per_day*damas_afrr_down*capacity_mult_D*stack_capacity*acceptance_rate+(MIN(DAMAS_Daily!D293*market_share_D*acceptance_rate*stack_activation,power_mw*hours_per_day,capacity_mwh))*DAMAS_Daily!F293*activation_mult_D),"aFRR+","aFRR-")</f>
        <v/>
      </c>
      <c r="D293" s="43">
        <f>IF(C293="aFRR+",damas_afrr_up*capacity_mult_D,damas_afrr_down*capacity_mult_D)</f>
        <v/>
      </c>
      <c r="E293" s="44">
        <f>acceptance_rate</f>
        <v/>
      </c>
      <c r="F293" s="28">
        <f>IF(C293="aFRR+",power_mw*hours_per_day*damas_afrr_up*capacity_mult_D*stack_capacity*acceptance_rate,power_mw*hours_per_day*damas_afrr_down*capacity_mult_D*stack_capacity*acceptance_rate)</f>
        <v/>
      </c>
      <c r="G293" s="42">
        <f>IF(C293="aFRR+",DAMAS_Daily!I293,DAMAS_Daily!J293)</f>
        <v/>
      </c>
      <c r="H293" s="43">
        <f>IF(C293="aFRR+",DAMAS_Daily!E293,DAMAS_Daily!F293)</f>
        <v/>
      </c>
      <c r="I293" s="43">
        <f>IF(C293="aFRR+",DAMAS_Daily!G293,DAMAS_Daily!H293)</f>
        <v/>
      </c>
      <c r="J293" s="45">
        <f>IF(C293="aFRR+",DAMAS_Daily!C293,DAMAS_Daily!D293)</f>
        <v/>
      </c>
      <c r="K293" s="45">
        <f>IF(C293="aFRR+",MIN(DAMAS_Daily!C293*market_share_D*acceptance_rate*stack_activation,power_mw*hours_per_day,capacity_mwh),MIN(DAMAS_Daily!D293*market_share_D*acceptance_rate*stack_activation,power_mw*hours_per_day,capacity_mwh))</f>
        <v/>
      </c>
      <c r="L293" s="42">
        <f>IF(K293&gt;=capacity_mwh-0.01,"yes","no")</f>
        <v/>
      </c>
      <c r="M293" s="28">
        <f>IF(C293="aFRR+",(MIN(DAMAS_Daily!C293*market_share_D*acceptance_rate*stack_activation,power_mw*hours_per_day,capacity_mwh))*DAMAS_Daily!E293*activation_mult_D,(MIN(DAMAS_Daily!D293*market_share_D*acceptance_rate*stack_activation,power_mw*hours_per_day,capacity_mwh))*DAMAS_Daily!F293*activation_mult_D)</f>
        <v/>
      </c>
      <c r="N293" s="29">
        <f>F293+M293</f>
        <v/>
      </c>
    </row>
    <row r="294">
      <c r="A294" s="41">
        <f>DAMAS_Daily!A294</f>
        <v/>
      </c>
      <c r="B294" s="42">
        <f>DAMAS_Daily!B294</f>
        <v/>
      </c>
      <c r="C294" s="42">
        <f>IF((power_mw*hours_per_day*damas_afrr_up*capacity_mult_D*stack_capacity*acceptance_rate+(MIN(DAMAS_Daily!C294*market_share_D*acceptance_rate*stack_activation,power_mw*hours_per_day,capacity_mwh))*DAMAS_Daily!E294*activation_mult_D)&gt;=(power_mw*hours_per_day*damas_afrr_down*capacity_mult_D*stack_capacity*acceptance_rate+(MIN(DAMAS_Daily!D294*market_share_D*acceptance_rate*stack_activation,power_mw*hours_per_day,capacity_mwh))*DAMAS_Daily!F294*activation_mult_D),"aFRR+","aFRR-")</f>
        <v/>
      </c>
      <c r="D294" s="43">
        <f>IF(C294="aFRR+",damas_afrr_up*capacity_mult_D,damas_afrr_down*capacity_mult_D)</f>
        <v/>
      </c>
      <c r="E294" s="44">
        <f>acceptance_rate</f>
        <v/>
      </c>
      <c r="F294" s="28">
        <f>IF(C294="aFRR+",power_mw*hours_per_day*damas_afrr_up*capacity_mult_D*stack_capacity*acceptance_rate,power_mw*hours_per_day*damas_afrr_down*capacity_mult_D*stack_capacity*acceptance_rate)</f>
        <v/>
      </c>
      <c r="G294" s="42">
        <f>IF(C294="aFRR+",DAMAS_Daily!I294,DAMAS_Daily!J294)</f>
        <v/>
      </c>
      <c r="H294" s="43">
        <f>IF(C294="aFRR+",DAMAS_Daily!E294,DAMAS_Daily!F294)</f>
        <v/>
      </c>
      <c r="I294" s="43">
        <f>IF(C294="aFRR+",DAMAS_Daily!G294,DAMAS_Daily!H294)</f>
        <v/>
      </c>
      <c r="J294" s="45">
        <f>IF(C294="aFRR+",DAMAS_Daily!C294,DAMAS_Daily!D294)</f>
        <v/>
      </c>
      <c r="K294" s="45">
        <f>IF(C294="aFRR+",MIN(DAMAS_Daily!C294*market_share_D*acceptance_rate*stack_activation,power_mw*hours_per_day,capacity_mwh),MIN(DAMAS_Daily!D294*market_share_D*acceptance_rate*stack_activation,power_mw*hours_per_day,capacity_mwh))</f>
        <v/>
      </c>
      <c r="L294" s="42">
        <f>IF(K294&gt;=capacity_mwh-0.01,"yes","no")</f>
        <v/>
      </c>
      <c r="M294" s="28">
        <f>IF(C294="aFRR+",(MIN(DAMAS_Daily!C294*market_share_D*acceptance_rate*stack_activation,power_mw*hours_per_day,capacity_mwh))*DAMAS_Daily!E294*activation_mult_D,(MIN(DAMAS_Daily!D294*market_share_D*acceptance_rate*stack_activation,power_mw*hours_per_day,capacity_mwh))*DAMAS_Daily!F294*activation_mult_D)</f>
        <v/>
      </c>
      <c r="N294" s="29">
        <f>F294+M294</f>
        <v/>
      </c>
    </row>
    <row r="295">
      <c r="A295" s="41">
        <f>DAMAS_Daily!A295</f>
        <v/>
      </c>
      <c r="B295" s="42">
        <f>DAMAS_Daily!B295</f>
        <v/>
      </c>
      <c r="C295" s="42">
        <f>IF((power_mw*hours_per_day*damas_afrr_up*capacity_mult_D*stack_capacity*acceptance_rate+(MIN(DAMAS_Daily!C295*market_share_D*acceptance_rate*stack_activation,power_mw*hours_per_day,capacity_mwh))*DAMAS_Daily!E295*activation_mult_D)&gt;=(power_mw*hours_per_day*damas_afrr_down*capacity_mult_D*stack_capacity*acceptance_rate+(MIN(DAMAS_Daily!D295*market_share_D*acceptance_rate*stack_activation,power_mw*hours_per_day,capacity_mwh))*DAMAS_Daily!F295*activation_mult_D),"aFRR+","aFRR-")</f>
        <v/>
      </c>
      <c r="D295" s="43">
        <f>IF(C295="aFRR+",damas_afrr_up*capacity_mult_D,damas_afrr_down*capacity_mult_D)</f>
        <v/>
      </c>
      <c r="E295" s="44">
        <f>acceptance_rate</f>
        <v/>
      </c>
      <c r="F295" s="28">
        <f>IF(C295="aFRR+",power_mw*hours_per_day*damas_afrr_up*capacity_mult_D*stack_capacity*acceptance_rate,power_mw*hours_per_day*damas_afrr_down*capacity_mult_D*stack_capacity*acceptance_rate)</f>
        <v/>
      </c>
      <c r="G295" s="42">
        <f>IF(C295="aFRR+",DAMAS_Daily!I295,DAMAS_Daily!J295)</f>
        <v/>
      </c>
      <c r="H295" s="43">
        <f>IF(C295="aFRR+",DAMAS_Daily!E295,DAMAS_Daily!F295)</f>
        <v/>
      </c>
      <c r="I295" s="43">
        <f>IF(C295="aFRR+",DAMAS_Daily!G295,DAMAS_Daily!H295)</f>
        <v/>
      </c>
      <c r="J295" s="45">
        <f>IF(C295="aFRR+",DAMAS_Daily!C295,DAMAS_Daily!D295)</f>
        <v/>
      </c>
      <c r="K295" s="45">
        <f>IF(C295="aFRR+",MIN(DAMAS_Daily!C295*market_share_D*acceptance_rate*stack_activation,power_mw*hours_per_day,capacity_mwh),MIN(DAMAS_Daily!D295*market_share_D*acceptance_rate*stack_activation,power_mw*hours_per_day,capacity_mwh))</f>
        <v/>
      </c>
      <c r="L295" s="42">
        <f>IF(K295&gt;=capacity_mwh-0.01,"yes","no")</f>
        <v/>
      </c>
      <c r="M295" s="28">
        <f>IF(C295="aFRR+",(MIN(DAMAS_Daily!C295*market_share_D*acceptance_rate*stack_activation,power_mw*hours_per_day,capacity_mwh))*DAMAS_Daily!E295*activation_mult_D,(MIN(DAMAS_Daily!D295*market_share_D*acceptance_rate*stack_activation,power_mw*hours_per_day,capacity_mwh))*DAMAS_Daily!F295*activation_mult_D)</f>
        <v/>
      </c>
      <c r="N295" s="29">
        <f>F295+M295</f>
        <v/>
      </c>
    </row>
    <row r="296">
      <c r="A296" s="41">
        <f>DAMAS_Daily!A296</f>
        <v/>
      </c>
      <c r="B296" s="42">
        <f>DAMAS_Daily!B296</f>
        <v/>
      </c>
      <c r="C296" s="42">
        <f>IF((power_mw*hours_per_day*damas_afrr_up*capacity_mult_D*stack_capacity*acceptance_rate+(MIN(DAMAS_Daily!C296*market_share_D*acceptance_rate*stack_activation,power_mw*hours_per_day,capacity_mwh))*DAMAS_Daily!E296*activation_mult_D)&gt;=(power_mw*hours_per_day*damas_afrr_down*capacity_mult_D*stack_capacity*acceptance_rate+(MIN(DAMAS_Daily!D296*market_share_D*acceptance_rate*stack_activation,power_mw*hours_per_day,capacity_mwh))*DAMAS_Daily!F296*activation_mult_D),"aFRR+","aFRR-")</f>
        <v/>
      </c>
      <c r="D296" s="43">
        <f>IF(C296="aFRR+",damas_afrr_up*capacity_mult_D,damas_afrr_down*capacity_mult_D)</f>
        <v/>
      </c>
      <c r="E296" s="44">
        <f>acceptance_rate</f>
        <v/>
      </c>
      <c r="F296" s="28">
        <f>IF(C296="aFRR+",power_mw*hours_per_day*damas_afrr_up*capacity_mult_D*stack_capacity*acceptance_rate,power_mw*hours_per_day*damas_afrr_down*capacity_mult_D*stack_capacity*acceptance_rate)</f>
        <v/>
      </c>
      <c r="G296" s="42">
        <f>IF(C296="aFRR+",DAMAS_Daily!I296,DAMAS_Daily!J296)</f>
        <v/>
      </c>
      <c r="H296" s="43">
        <f>IF(C296="aFRR+",DAMAS_Daily!E296,DAMAS_Daily!F296)</f>
        <v/>
      </c>
      <c r="I296" s="43">
        <f>IF(C296="aFRR+",DAMAS_Daily!G296,DAMAS_Daily!H296)</f>
        <v/>
      </c>
      <c r="J296" s="45">
        <f>IF(C296="aFRR+",DAMAS_Daily!C296,DAMAS_Daily!D296)</f>
        <v/>
      </c>
      <c r="K296" s="45">
        <f>IF(C296="aFRR+",MIN(DAMAS_Daily!C296*market_share_D*acceptance_rate*stack_activation,power_mw*hours_per_day,capacity_mwh),MIN(DAMAS_Daily!D296*market_share_D*acceptance_rate*stack_activation,power_mw*hours_per_day,capacity_mwh))</f>
        <v/>
      </c>
      <c r="L296" s="42">
        <f>IF(K296&gt;=capacity_mwh-0.01,"yes","no")</f>
        <v/>
      </c>
      <c r="M296" s="28">
        <f>IF(C296="aFRR+",(MIN(DAMAS_Daily!C296*market_share_D*acceptance_rate*stack_activation,power_mw*hours_per_day,capacity_mwh))*DAMAS_Daily!E296*activation_mult_D,(MIN(DAMAS_Daily!D296*market_share_D*acceptance_rate*stack_activation,power_mw*hours_per_day,capacity_mwh))*DAMAS_Daily!F296*activation_mult_D)</f>
        <v/>
      </c>
      <c r="N296" s="29">
        <f>F296+M296</f>
        <v/>
      </c>
    </row>
    <row r="297">
      <c r="A297" s="41">
        <f>DAMAS_Daily!A297</f>
        <v/>
      </c>
      <c r="B297" s="42">
        <f>DAMAS_Daily!B297</f>
        <v/>
      </c>
      <c r="C297" s="42">
        <f>IF((power_mw*hours_per_day*damas_afrr_up*capacity_mult_D*stack_capacity*acceptance_rate+(MIN(DAMAS_Daily!C297*market_share_D*acceptance_rate*stack_activation,power_mw*hours_per_day,capacity_mwh))*DAMAS_Daily!E297*activation_mult_D)&gt;=(power_mw*hours_per_day*damas_afrr_down*capacity_mult_D*stack_capacity*acceptance_rate+(MIN(DAMAS_Daily!D297*market_share_D*acceptance_rate*stack_activation,power_mw*hours_per_day,capacity_mwh))*DAMAS_Daily!F297*activation_mult_D),"aFRR+","aFRR-")</f>
        <v/>
      </c>
      <c r="D297" s="43">
        <f>IF(C297="aFRR+",damas_afrr_up*capacity_mult_D,damas_afrr_down*capacity_mult_D)</f>
        <v/>
      </c>
      <c r="E297" s="44">
        <f>acceptance_rate</f>
        <v/>
      </c>
      <c r="F297" s="28">
        <f>IF(C297="aFRR+",power_mw*hours_per_day*damas_afrr_up*capacity_mult_D*stack_capacity*acceptance_rate,power_mw*hours_per_day*damas_afrr_down*capacity_mult_D*stack_capacity*acceptance_rate)</f>
        <v/>
      </c>
      <c r="G297" s="42">
        <f>IF(C297="aFRR+",DAMAS_Daily!I297,DAMAS_Daily!J297)</f>
        <v/>
      </c>
      <c r="H297" s="43">
        <f>IF(C297="aFRR+",DAMAS_Daily!E297,DAMAS_Daily!F297)</f>
        <v/>
      </c>
      <c r="I297" s="43">
        <f>IF(C297="aFRR+",DAMAS_Daily!G297,DAMAS_Daily!H297)</f>
        <v/>
      </c>
      <c r="J297" s="45">
        <f>IF(C297="aFRR+",DAMAS_Daily!C297,DAMAS_Daily!D297)</f>
        <v/>
      </c>
      <c r="K297" s="45">
        <f>IF(C297="aFRR+",MIN(DAMAS_Daily!C297*market_share_D*acceptance_rate*stack_activation,power_mw*hours_per_day,capacity_mwh),MIN(DAMAS_Daily!D297*market_share_D*acceptance_rate*stack_activation,power_mw*hours_per_day,capacity_mwh))</f>
        <v/>
      </c>
      <c r="L297" s="42">
        <f>IF(K297&gt;=capacity_mwh-0.01,"yes","no")</f>
        <v/>
      </c>
      <c r="M297" s="28">
        <f>IF(C297="aFRR+",(MIN(DAMAS_Daily!C297*market_share_D*acceptance_rate*stack_activation,power_mw*hours_per_day,capacity_mwh))*DAMAS_Daily!E297*activation_mult_D,(MIN(DAMAS_Daily!D297*market_share_D*acceptance_rate*stack_activation,power_mw*hours_per_day,capacity_mwh))*DAMAS_Daily!F297*activation_mult_D)</f>
        <v/>
      </c>
      <c r="N297" s="29">
        <f>F297+M297</f>
        <v/>
      </c>
    </row>
    <row r="298">
      <c r="A298" s="41">
        <f>DAMAS_Daily!A298</f>
        <v/>
      </c>
      <c r="B298" s="42">
        <f>DAMAS_Daily!B298</f>
        <v/>
      </c>
      <c r="C298" s="42">
        <f>IF((power_mw*hours_per_day*damas_afrr_up*capacity_mult_D*stack_capacity*acceptance_rate+(MIN(DAMAS_Daily!C298*market_share_D*acceptance_rate*stack_activation,power_mw*hours_per_day,capacity_mwh))*DAMAS_Daily!E298*activation_mult_D)&gt;=(power_mw*hours_per_day*damas_afrr_down*capacity_mult_D*stack_capacity*acceptance_rate+(MIN(DAMAS_Daily!D298*market_share_D*acceptance_rate*stack_activation,power_mw*hours_per_day,capacity_mwh))*DAMAS_Daily!F298*activation_mult_D),"aFRR+","aFRR-")</f>
        <v/>
      </c>
      <c r="D298" s="43">
        <f>IF(C298="aFRR+",damas_afrr_up*capacity_mult_D,damas_afrr_down*capacity_mult_D)</f>
        <v/>
      </c>
      <c r="E298" s="44">
        <f>acceptance_rate</f>
        <v/>
      </c>
      <c r="F298" s="28">
        <f>IF(C298="aFRR+",power_mw*hours_per_day*damas_afrr_up*capacity_mult_D*stack_capacity*acceptance_rate,power_mw*hours_per_day*damas_afrr_down*capacity_mult_D*stack_capacity*acceptance_rate)</f>
        <v/>
      </c>
      <c r="G298" s="42">
        <f>IF(C298="aFRR+",DAMAS_Daily!I298,DAMAS_Daily!J298)</f>
        <v/>
      </c>
      <c r="H298" s="43">
        <f>IF(C298="aFRR+",DAMAS_Daily!E298,DAMAS_Daily!F298)</f>
        <v/>
      </c>
      <c r="I298" s="43">
        <f>IF(C298="aFRR+",DAMAS_Daily!G298,DAMAS_Daily!H298)</f>
        <v/>
      </c>
      <c r="J298" s="45">
        <f>IF(C298="aFRR+",DAMAS_Daily!C298,DAMAS_Daily!D298)</f>
        <v/>
      </c>
      <c r="K298" s="45">
        <f>IF(C298="aFRR+",MIN(DAMAS_Daily!C298*market_share_D*acceptance_rate*stack_activation,power_mw*hours_per_day,capacity_mwh),MIN(DAMAS_Daily!D298*market_share_D*acceptance_rate*stack_activation,power_mw*hours_per_day,capacity_mwh))</f>
        <v/>
      </c>
      <c r="L298" s="42">
        <f>IF(K298&gt;=capacity_mwh-0.01,"yes","no")</f>
        <v/>
      </c>
      <c r="M298" s="28">
        <f>IF(C298="aFRR+",(MIN(DAMAS_Daily!C298*market_share_D*acceptance_rate*stack_activation,power_mw*hours_per_day,capacity_mwh))*DAMAS_Daily!E298*activation_mult_D,(MIN(DAMAS_Daily!D298*market_share_D*acceptance_rate*stack_activation,power_mw*hours_per_day,capacity_mwh))*DAMAS_Daily!F298*activation_mult_D)</f>
        <v/>
      </c>
      <c r="N298" s="29">
        <f>F298+M298</f>
        <v/>
      </c>
    </row>
    <row r="299">
      <c r="A299" s="41">
        <f>DAMAS_Daily!A299</f>
        <v/>
      </c>
      <c r="B299" s="42">
        <f>DAMAS_Daily!B299</f>
        <v/>
      </c>
      <c r="C299" s="42">
        <f>IF((power_mw*hours_per_day*damas_afrr_up*capacity_mult_D*stack_capacity*acceptance_rate+(MIN(DAMAS_Daily!C299*market_share_D*acceptance_rate*stack_activation,power_mw*hours_per_day,capacity_mwh))*DAMAS_Daily!E299*activation_mult_D)&gt;=(power_mw*hours_per_day*damas_afrr_down*capacity_mult_D*stack_capacity*acceptance_rate+(MIN(DAMAS_Daily!D299*market_share_D*acceptance_rate*stack_activation,power_mw*hours_per_day,capacity_mwh))*DAMAS_Daily!F299*activation_mult_D),"aFRR+","aFRR-")</f>
        <v/>
      </c>
      <c r="D299" s="43">
        <f>IF(C299="aFRR+",damas_afrr_up*capacity_mult_D,damas_afrr_down*capacity_mult_D)</f>
        <v/>
      </c>
      <c r="E299" s="44">
        <f>acceptance_rate</f>
        <v/>
      </c>
      <c r="F299" s="28">
        <f>IF(C299="aFRR+",power_mw*hours_per_day*damas_afrr_up*capacity_mult_D*stack_capacity*acceptance_rate,power_mw*hours_per_day*damas_afrr_down*capacity_mult_D*stack_capacity*acceptance_rate)</f>
        <v/>
      </c>
      <c r="G299" s="42">
        <f>IF(C299="aFRR+",DAMAS_Daily!I299,DAMAS_Daily!J299)</f>
        <v/>
      </c>
      <c r="H299" s="43">
        <f>IF(C299="aFRR+",DAMAS_Daily!E299,DAMAS_Daily!F299)</f>
        <v/>
      </c>
      <c r="I299" s="43">
        <f>IF(C299="aFRR+",DAMAS_Daily!G299,DAMAS_Daily!H299)</f>
        <v/>
      </c>
      <c r="J299" s="45">
        <f>IF(C299="aFRR+",DAMAS_Daily!C299,DAMAS_Daily!D299)</f>
        <v/>
      </c>
      <c r="K299" s="45">
        <f>IF(C299="aFRR+",MIN(DAMAS_Daily!C299*market_share_D*acceptance_rate*stack_activation,power_mw*hours_per_day,capacity_mwh),MIN(DAMAS_Daily!D299*market_share_D*acceptance_rate*stack_activation,power_mw*hours_per_day,capacity_mwh))</f>
        <v/>
      </c>
      <c r="L299" s="42">
        <f>IF(K299&gt;=capacity_mwh-0.01,"yes","no")</f>
        <v/>
      </c>
      <c r="M299" s="28">
        <f>IF(C299="aFRR+",(MIN(DAMAS_Daily!C299*market_share_D*acceptance_rate*stack_activation,power_mw*hours_per_day,capacity_mwh))*DAMAS_Daily!E299*activation_mult_D,(MIN(DAMAS_Daily!D299*market_share_D*acceptance_rate*stack_activation,power_mw*hours_per_day,capacity_mwh))*DAMAS_Daily!F299*activation_mult_D)</f>
        <v/>
      </c>
      <c r="N299" s="29">
        <f>F299+M299</f>
        <v/>
      </c>
    </row>
    <row r="300">
      <c r="A300" s="41">
        <f>DAMAS_Daily!A300</f>
        <v/>
      </c>
      <c r="B300" s="42">
        <f>DAMAS_Daily!B300</f>
        <v/>
      </c>
      <c r="C300" s="42">
        <f>IF((power_mw*hours_per_day*damas_afrr_up*capacity_mult_D*stack_capacity*acceptance_rate+(MIN(DAMAS_Daily!C300*market_share_D*acceptance_rate*stack_activation,power_mw*hours_per_day,capacity_mwh))*DAMAS_Daily!E300*activation_mult_D)&gt;=(power_mw*hours_per_day*damas_afrr_down*capacity_mult_D*stack_capacity*acceptance_rate+(MIN(DAMAS_Daily!D300*market_share_D*acceptance_rate*stack_activation,power_mw*hours_per_day,capacity_mwh))*DAMAS_Daily!F300*activation_mult_D),"aFRR+","aFRR-")</f>
        <v/>
      </c>
      <c r="D300" s="43">
        <f>IF(C300="aFRR+",damas_afrr_up*capacity_mult_D,damas_afrr_down*capacity_mult_D)</f>
        <v/>
      </c>
      <c r="E300" s="44">
        <f>acceptance_rate</f>
        <v/>
      </c>
      <c r="F300" s="28">
        <f>IF(C300="aFRR+",power_mw*hours_per_day*damas_afrr_up*capacity_mult_D*stack_capacity*acceptance_rate,power_mw*hours_per_day*damas_afrr_down*capacity_mult_D*stack_capacity*acceptance_rate)</f>
        <v/>
      </c>
      <c r="G300" s="42">
        <f>IF(C300="aFRR+",DAMAS_Daily!I300,DAMAS_Daily!J300)</f>
        <v/>
      </c>
      <c r="H300" s="43">
        <f>IF(C300="aFRR+",DAMAS_Daily!E300,DAMAS_Daily!F300)</f>
        <v/>
      </c>
      <c r="I300" s="43">
        <f>IF(C300="aFRR+",DAMAS_Daily!G300,DAMAS_Daily!H300)</f>
        <v/>
      </c>
      <c r="J300" s="45">
        <f>IF(C300="aFRR+",DAMAS_Daily!C300,DAMAS_Daily!D300)</f>
        <v/>
      </c>
      <c r="K300" s="45">
        <f>IF(C300="aFRR+",MIN(DAMAS_Daily!C300*market_share_D*acceptance_rate*stack_activation,power_mw*hours_per_day,capacity_mwh),MIN(DAMAS_Daily!D300*market_share_D*acceptance_rate*stack_activation,power_mw*hours_per_day,capacity_mwh))</f>
        <v/>
      </c>
      <c r="L300" s="42">
        <f>IF(K300&gt;=capacity_mwh-0.01,"yes","no")</f>
        <v/>
      </c>
      <c r="M300" s="28">
        <f>IF(C300="aFRR+",(MIN(DAMAS_Daily!C300*market_share_D*acceptance_rate*stack_activation,power_mw*hours_per_day,capacity_mwh))*DAMAS_Daily!E300*activation_mult_D,(MIN(DAMAS_Daily!D300*market_share_D*acceptance_rate*stack_activation,power_mw*hours_per_day,capacity_mwh))*DAMAS_Daily!F300*activation_mult_D)</f>
        <v/>
      </c>
      <c r="N300" s="29">
        <f>F300+M300</f>
        <v/>
      </c>
    </row>
    <row r="301">
      <c r="A301" s="41">
        <f>DAMAS_Daily!A301</f>
        <v/>
      </c>
      <c r="B301" s="42">
        <f>DAMAS_Daily!B301</f>
        <v/>
      </c>
      <c r="C301" s="42">
        <f>IF((power_mw*hours_per_day*damas_afrr_up*capacity_mult_D*stack_capacity*acceptance_rate+(MIN(DAMAS_Daily!C301*market_share_D*acceptance_rate*stack_activation,power_mw*hours_per_day,capacity_mwh))*DAMAS_Daily!E301*activation_mult_D)&gt;=(power_mw*hours_per_day*damas_afrr_down*capacity_mult_D*stack_capacity*acceptance_rate+(MIN(DAMAS_Daily!D301*market_share_D*acceptance_rate*stack_activation,power_mw*hours_per_day,capacity_mwh))*DAMAS_Daily!F301*activation_mult_D),"aFRR+","aFRR-")</f>
        <v/>
      </c>
      <c r="D301" s="43">
        <f>IF(C301="aFRR+",damas_afrr_up*capacity_mult_D,damas_afrr_down*capacity_mult_D)</f>
        <v/>
      </c>
      <c r="E301" s="44">
        <f>acceptance_rate</f>
        <v/>
      </c>
      <c r="F301" s="28">
        <f>IF(C301="aFRR+",power_mw*hours_per_day*damas_afrr_up*capacity_mult_D*stack_capacity*acceptance_rate,power_mw*hours_per_day*damas_afrr_down*capacity_mult_D*stack_capacity*acceptance_rate)</f>
        <v/>
      </c>
      <c r="G301" s="42">
        <f>IF(C301="aFRR+",DAMAS_Daily!I301,DAMAS_Daily!J301)</f>
        <v/>
      </c>
      <c r="H301" s="43">
        <f>IF(C301="aFRR+",DAMAS_Daily!E301,DAMAS_Daily!F301)</f>
        <v/>
      </c>
      <c r="I301" s="43">
        <f>IF(C301="aFRR+",DAMAS_Daily!G301,DAMAS_Daily!H301)</f>
        <v/>
      </c>
      <c r="J301" s="45">
        <f>IF(C301="aFRR+",DAMAS_Daily!C301,DAMAS_Daily!D301)</f>
        <v/>
      </c>
      <c r="K301" s="45">
        <f>IF(C301="aFRR+",MIN(DAMAS_Daily!C301*market_share_D*acceptance_rate*stack_activation,power_mw*hours_per_day,capacity_mwh),MIN(DAMAS_Daily!D301*market_share_D*acceptance_rate*stack_activation,power_mw*hours_per_day,capacity_mwh))</f>
        <v/>
      </c>
      <c r="L301" s="42">
        <f>IF(K301&gt;=capacity_mwh-0.01,"yes","no")</f>
        <v/>
      </c>
      <c r="M301" s="28">
        <f>IF(C301="aFRR+",(MIN(DAMAS_Daily!C301*market_share_D*acceptance_rate*stack_activation,power_mw*hours_per_day,capacity_mwh))*DAMAS_Daily!E301*activation_mult_D,(MIN(DAMAS_Daily!D301*market_share_D*acceptance_rate*stack_activation,power_mw*hours_per_day,capacity_mwh))*DAMAS_Daily!F301*activation_mult_D)</f>
        <v/>
      </c>
      <c r="N301" s="29">
        <f>F301+M301</f>
        <v/>
      </c>
    </row>
    <row r="302">
      <c r="A302" s="41">
        <f>DAMAS_Daily!A302</f>
        <v/>
      </c>
      <c r="B302" s="42">
        <f>DAMAS_Daily!B302</f>
        <v/>
      </c>
      <c r="C302" s="42">
        <f>IF((power_mw*hours_per_day*damas_afrr_up*capacity_mult_D*stack_capacity*acceptance_rate+(MIN(DAMAS_Daily!C302*market_share_D*acceptance_rate*stack_activation,power_mw*hours_per_day,capacity_mwh))*DAMAS_Daily!E302*activation_mult_D)&gt;=(power_mw*hours_per_day*damas_afrr_down*capacity_mult_D*stack_capacity*acceptance_rate+(MIN(DAMAS_Daily!D302*market_share_D*acceptance_rate*stack_activation,power_mw*hours_per_day,capacity_mwh))*DAMAS_Daily!F302*activation_mult_D),"aFRR+","aFRR-")</f>
        <v/>
      </c>
      <c r="D302" s="43">
        <f>IF(C302="aFRR+",damas_afrr_up*capacity_mult_D,damas_afrr_down*capacity_mult_D)</f>
        <v/>
      </c>
      <c r="E302" s="44">
        <f>acceptance_rate</f>
        <v/>
      </c>
      <c r="F302" s="28">
        <f>IF(C302="aFRR+",power_mw*hours_per_day*damas_afrr_up*capacity_mult_D*stack_capacity*acceptance_rate,power_mw*hours_per_day*damas_afrr_down*capacity_mult_D*stack_capacity*acceptance_rate)</f>
        <v/>
      </c>
      <c r="G302" s="42">
        <f>IF(C302="aFRR+",DAMAS_Daily!I302,DAMAS_Daily!J302)</f>
        <v/>
      </c>
      <c r="H302" s="43">
        <f>IF(C302="aFRR+",DAMAS_Daily!E302,DAMAS_Daily!F302)</f>
        <v/>
      </c>
      <c r="I302" s="43">
        <f>IF(C302="aFRR+",DAMAS_Daily!G302,DAMAS_Daily!H302)</f>
        <v/>
      </c>
      <c r="J302" s="45">
        <f>IF(C302="aFRR+",DAMAS_Daily!C302,DAMAS_Daily!D302)</f>
        <v/>
      </c>
      <c r="K302" s="45">
        <f>IF(C302="aFRR+",MIN(DAMAS_Daily!C302*market_share_D*acceptance_rate*stack_activation,power_mw*hours_per_day,capacity_mwh),MIN(DAMAS_Daily!D302*market_share_D*acceptance_rate*stack_activation,power_mw*hours_per_day,capacity_mwh))</f>
        <v/>
      </c>
      <c r="L302" s="42">
        <f>IF(K302&gt;=capacity_mwh-0.01,"yes","no")</f>
        <v/>
      </c>
      <c r="M302" s="28">
        <f>IF(C302="aFRR+",(MIN(DAMAS_Daily!C302*market_share_D*acceptance_rate*stack_activation,power_mw*hours_per_day,capacity_mwh))*DAMAS_Daily!E302*activation_mult_D,(MIN(DAMAS_Daily!D302*market_share_D*acceptance_rate*stack_activation,power_mw*hours_per_day,capacity_mwh))*DAMAS_Daily!F302*activation_mult_D)</f>
        <v/>
      </c>
      <c r="N302" s="29">
        <f>F302+M302</f>
        <v/>
      </c>
    </row>
    <row r="303">
      <c r="A303" s="41">
        <f>DAMAS_Daily!A303</f>
        <v/>
      </c>
      <c r="B303" s="42">
        <f>DAMAS_Daily!B303</f>
        <v/>
      </c>
      <c r="C303" s="42">
        <f>IF((power_mw*hours_per_day*damas_afrr_up*capacity_mult_D*stack_capacity*acceptance_rate+(MIN(DAMAS_Daily!C303*market_share_D*acceptance_rate*stack_activation,power_mw*hours_per_day,capacity_mwh))*DAMAS_Daily!E303*activation_mult_D)&gt;=(power_mw*hours_per_day*damas_afrr_down*capacity_mult_D*stack_capacity*acceptance_rate+(MIN(DAMAS_Daily!D303*market_share_D*acceptance_rate*stack_activation,power_mw*hours_per_day,capacity_mwh))*DAMAS_Daily!F303*activation_mult_D),"aFRR+","aFRR-")</f>
        <v/>
      </c>
      <c r="D303" s="43">
        <f>IF(C303="aFRR+",damas_afrr_up*capacity_mult_D,damas_afrr_down*capacity_mult_D)</f>
        <v/>
      </c>
      <c r="E303" s="44">
        <f>acceptance_rate</f>
        <v/>
      </c>
      <c r="F303" s="28">
        <f>IF(C303="aFRR+",power_mw*hours_per_day*damas_afrr_up*capacity_mult_D*stack_capacity*acceptance_rate,power_mw*hours_per_day*damas_afrr_down*capacity_mult_D*stack_capacity*acceptance_rate)</f>
        <v/>
      </c>
      <c r="G303" s="42">
        <f>IF(C303="aFRR+",DAMAS_Daily!I303,DAMAS_Daily!J303)</f>
        <v/>
      </c>
      <c r="H303" s="43">
        <f>IF(C303="aFRR+",DAMAS_Daily!E303,DAMAS_Daily!F303)</f>
        <v/>
      </c>
      <c r="I303" s="43">
        <f>IF(C303="aFRR+",DAMAS_Daily!G303,DAMAS_Daily!H303)</f>
        <v/>
      </c>
      <c r="J303" s="45">
        <f>IF(C303="aFRR+",DAMAS_Daily!C303,DAMAS_Daily!D303)</f>
        <v/>
      </c>
      <c r="K303" s="45">
        <f>IF(C303="aFRR+",MIN(DAMAS_Daily!C303*market_share_D*acceptance_rate*stack_activation,power_mw*hours_per_day,capacity_mwh),MIN(DAMAS_Daily!D303*market_share_D*acceptance_rate*stack_activation,power_mw*hours_per_day,capacity_mwh))</f>
        <v/>
      </c>
      <c r="L303" s="42">
        <f>IF(K303&gt;=capacity_mwh-0.01,"yes","no")</f>
        <v/>
      </c>
      <c r="M303" s="28">
        <f>IF(C303="aFRR+",(MIN(DAMAS_Daily!C303*market_share_D*acceptance_rate*stack_activation,power_mw*hours_per_day,capacity_mwh))*DAMAS_Daily!E303*activation_mult_D,(MIN(DAMAS_Daily!D303*market_share_D*acceptance_rate*stack_activation,power_mw*hours_per_day,capacity_mwh))*DAMAS_Daily!F303*activation_mult_D)</f>
        <v/>
      </c>
      <c r="N303" s="29">
        <f>F303+M303</f>
        <v/>
      </c>
    </row>
    <row r="304">
      <c r="A304" s="41">
        <f>DAMAS_Daily!A304</f>
        <v/>
      </c>
      <c r="B304" s="42">
        <f>DAMAS_Daily!B304</f>
        <v/>
      </c>
      <c r="C304" s="42">
        <f>IF((power_mw*hours_per_day*damas_afrr_up*capacity_mult_D*stack_capacity*acceptance_rate+(MIN(DAMAS_Daily!C304*market_share_D*acceptance_rate*stack_activation,power_mw*hours_per_day,capacity_mwh))*DAMAS_Daily!E304*activation_mult_D)&gt;=(power_mw*hours_per_day*damas_afrr_down*capacity_mult_D*stack_capacity*acceptance_rate+(MIN(DAMAS_Daily!D304*market_share_D*acceptance_rate*stack_activation,power_mw*hours_per_day,capacity_mwh))*DAMAS_Daily!F304*activation_mult_D),"aFRR+","aFRR-")</f>
        <v/>
      </c>
      <c r="D304" s="43">
        <f>IF(C304="aFRR+",damas_afrr_up*capacity_mult_D,damas_afrr_down*capacity_mult_D)</f>
        <v/>
      </c>
      <c r="E304" s="44">
        <f>acceptance_rate</f>
        <v/>
      </c>
      <c r="F304" s="28">
        <f>IF(C304="aFRR+",power_mw*hours_per_day*damas_afrr_up*capacity_mult_D*stack_capacity*acceptance_rate,power_mw*hours_per_day*damas_afrr_down*capacity_mult_D*stack_capacity*acceptance_rate)</f>
        <v/>
      </c>
      <c r="G304" s="42">
        <f>IF(C304="aFRR+",DAMAS_Daily!I304,DAMAS_Daily!J304)</f>
        <v/>
      </c>
      <c r="H304" s="43">
        <f>IF(C304="aFRR+",DAMAS_Daily!E304,DAMAS_Daily!F304)</f>
        <v/>
      </c>
      <c r="I304" s="43">
        <f>IF(C304="aFRR+",DAMAS_Daily!G304,DAMAS_Daily!H304)</f>
        <v/>
      </c>
      <c r="J304" s="45">
        <f>IF(C304="aFRR+",DAMAS_Daily!C304,DAMAS_Daily!D304)</f>
        <v/>
      </c>
      <c r="K304" s="45">
        <f>IF(C304="aFRR+",MIN(DAMAS_Daily!C304*market_share_D*acceptance_rate*stack_activation,power_mw*hours_per_day,capacity_mwh),MIN(DAMAS_Daily!D304*market_share_D*acceptance_rate*stack_activation,power_mw*hours_per_day,capacity_mwh))</f>
        <v/>
      </c>
      <c r="L304" s="42">
        <f>IF(K304&gt;=capacity_mwh-0.01,"yes","no")</f>
        <v/>
      </c>
      <c r="M304" s="28">
        <f>IF(C304="aFRR+",(MIN(DAMAS_Daily!C304*market_share_D*acceptance_rate*stack_activation,power_mw*hours_per_day,capacity_mwh))*DAMAS_Daily!E304*activation_mult_D,(MIN(DAMAS_Daily!D304*market_share_D*acceptance_rate*stack_activation,power_mw*hours_per_day,capacity_mwh))*DAMAS_Daily!F304*activation_mult_D)</f>
        <v/>
      </c>
      <c r="N304" s="29">
        <f>F304+M304</f>
        <v/>
      </c>
    </row>
    <row r="305">
      <c r="A305" s="41">
        <f>DAMAS_Daily!A305</f>
        <v/>
      </c>
      <c r="B305" s="42">
        <f>DAMAS_Daily!B305</f>
        <v/>
      </c>
      <c r="C305" s="42">
        <f>IF((power_mw*hours_per_day*damas_afrr_up*capacity_mult_D*stack_capacity*acceptance_rate+(MIN(DAMAS_Daily!C305*market_share_D*acceptance_rate*stack_activation,power_mw*hours_per_day,capacity_mwh))*DAMAS_Daily!E305*activation_mult_D)&gt;=(power_mw*hours_per_day*damas_afrr_down*capacity_mult_D*stack_capacity*acceptance_rate+(MIN(DAMAS_Daily!D305*market_share_D*acceptance_rate*stack_activation,power_mw*hours_per_day,capacity_mwh))*DAMAS_Daily!F305*activation_mult_D),"aFRR+","aFRR-")</f>
        <v/>
      </c>
      <c r="D305" s="43">
        <f>IF(C305="aFRR+",damas_afrr_up*capacity_mult_D,damas_afrr_down*capacity_mult_D)</f>
        <v/>
      </c>
      <c r="E305" s="44">
        <f>acceptance_rate</f>
        <v/>
      </c>
      <c r="F305" s="28">
        <f>IF(C305="aFRR+",power_mw*hours_per_day*damas_afrr_up*capacity_mult_D*stack_capacity*acceptance_rate,power_mw*hours_per_day*damas_afrr_down*capacity_mult_D*stack_capacity*acceptance_rate)</f>
        <v/>
      </c>
      <c r="G305" s="42">
        <f>IF(C305="aFRR+",DAMAS_Daily!I305,DAMAS_Daily!J305)</f>
        <v/>
      </c>
      <c r="H305" s="43">
        <f>IF(C305="aFRR+",DAMAS_Daily!E305,DAMAS_Daily!F305)</f>
        <v/>
      </c>
      <c r="I305" s="43">
        <f>IF(C305="aFRR+",DAMAS_Daily!G305,DAMAS_Daily!H305)</f>
        <v/>
      </c>
      <c r="J305" s="45">
        <f>IF(C305="aFRR+",DAMAS_Daily!C305,DAMAS_Daily!D305)</f>
        <v/>
      </c>
      <c r="K305" s="45">
        <f>IF(C305="aFRR+",MIN(DAMAS_Daily!C305*market_share_D*acceptance_rate*stack_activation,power_mw*hours_per_day,capacity_mwh),MIN(DAMAS_Daily!D305*market_share_D*acceptance_rate*stack_activation,power_mw*hours_per_day,capacity_mwh))</f>
        <v/>
      </c>
      <c r="L305" s="42">
        <f>IF(K305&gt;=capacity_mwh-0.01,"yes","no")</f>
        <v/>
      </c>
      <c r="M305" s="28">
        <f>IF(C305="aFRR+",(MIN(DAMAS_Daily!C305*market_share_D*acceptance_rate*stack_activation,power_mw*hours_per_day,capacity_mwh))*DAMAS_Daily!E305*activation_mult_D,(MIN(DAMAS_Daily!D305*market_share_D*acceptance_rate*stack_activation,power_mw*hours_per_day,capacity_mwh))*DAMAS_Daily!F305*activation_mult_D)</f>
        <v/>
      </c>
      <c r="N305" s="29">
        <f>F305+M305</f>
        <v/>
      </c>
    </row>
    <row r="306">
      <c r="A306" s="41">
        <f>DAMAS_Daily!A306</f>
        <v/>
      </c>
      <c r="B306" s="42">
        <f>DAMAS_Daily!B306</f>
        <v/>
      </c>
      <c r="C306" s="42">
        <f>IF((power_mw*hours_per_day*damas_afrr_up*capacity_mult_D*stack_capacity*acceptance_rate+(MIN(DAMAS_Daily!C306*market_share_D*acceptance_rate*stack_activation,power_mw*hours_per_day,capacity_mwh))*DAMAS_Daily!E306*activation_mult_D)&gt;=(power_mw*hours_per_day*damas_afrr_down*capacity_mult_D*stack_capacity*acceptance_rate+(MIN(DAMAS_Daily!D306*market_share_D*acceptance_rate*stack_activation,power_mw*hours_per_day,capacity_mwh))*DAMAS_Daily!F306*activation_mult_D),"aFRR+","aFRR-")</f>
        <v/>
      </c>
      <c r="D306" s="43">
        <f>IF(C306="aFRR+",damas_afrr_up*capacity_mult_D,damas_afrr_down*capacity_mult_D)</f>
        <v/>
      </c>
      <c r="E306" s="44">
        <f>acceptance_rate</f>
        <v/>
      </c>
      <c r="F306" s="28">
        <f>IF(C306="aFRR+",power_mw*hours_per_day*damas_afrr_up*capacity_mult_D*stack_capacity*acceptance_rate,power_mw*hours_per_day*damas_afrr_down*capacity_mult_D*stack_capacity*acceptance_rate)</f>
        <v/>
      </c>
      <c r="G306" s="42">
        <f>IF(C306="aFRR+",DAMAS_Daily!I306,DAMAS_Daily!J306)</f>
        <v/>
      </c>
      <c r="H306" s="43">
        <f>IF(C306="aFRR+",DAMAS_Daily!E306,DAMAS_Daily!F306)</f>
        <v/>
      </c>
      <c r="I306" s="43">
        <f>IF(C306="aFRR+",DAMAS_Daily!G306,DAMAS_Daily!H306)</f>
        <v/>
      </c>
      <c r="J306" s="45">
        <f>IF(C306="aFRR+",DAMAS_Daily!C306,DAMAS_Daily!D306)</f>
        <v/>
      </c>
      <c r="K306" s="45">
        <f>IF(C306="aFRR+",MIN(DAMAS_Daily!C306*market_share_D*acceptance_rate*stack_activation,power_mw*hours_per_day,capacity_mwh),MIN(DAMAS_Daily!D306*market_share_D*acceptance_rate*stack_activation,power_mw*hours_per_day,capacity_mwh))</f>
        <v/>
      </c>
      <c r="L306" s="42">
        <f>IF(K306&gt;=capacity_mwh-0.01,"yes","no")</f>
        <v/>
      </c>
      <c r="M306" s="28">
        <f>IF(C306="aFRR+",(MIN(DAMAS_Daily!C306*market_share_D*acceptance_rate*stack_activation,power_mw*hours_per_day,capacity_mwh))*DAMAS_Daily!E306*activation_mult_D,(MIN(DAMAS_Daily!D306*market_share_D*acceptance_rate*stack_activation,power_mw*hours_per_day,capacity_mwh))*DAMAS_Daily!F306*activation_mult_D)</f>
        <v/>
      </c>
      <c r="N306" s="29">
        <f>F306+M306</f>
        <v/>
      </c>
    </row>
    <row r="307">
      <c r="A307" s="41">
        <f>DAMAS_Daily!A307</f>
        <v/>
      </c>
      <c r="B307" s="42">
        <f>DAMAS_Daily!B307</f>
        <v/>
      </c>
      <c r="C307" s="42">
        <f>IF((power_mw*hours_per_day*damas_afrr_up*capacity_mult_D*stack_capacity*acceptance_rate+(MIN(DAMAS_Daily!C307*market_share_D*acceptance_rate*stack_activation,power_mw*hours_per_day,capacity_mwh))*DAMAS_Daily!E307*activation_mult_D)&gt;=(power_mw*hours_per_day*damas_afrr_down*capacity_mult_D*stack_capacity*acceptance_rate+(MIN(DAMAS_Daily!D307*market_share_D*acceptance_rate*stack_activation,power_mw*hours_per_day,capacity_mwh))*DAMAS_Daily!F307*activation_mult_D),"aFRR+","aFRR-")</f>
        <v/>
      </c>
      <c r="D307" s="43">
        <f>IF(C307="aFRR+",damas_afrr_up*capacity_mult_D,damas_afrr_down*capacity_mult_D)</f>
        <v/>
      </c>
      <c r="E307" s="44">
        <f>acceptance_rate</f>
        <v/>
      </c>
      <c r="F307" s="28">
        <f>IF(C307="aFRR+",power_mw*hours_per_day*damas_afrr_up*capacity_mult_D*stack_capacity*acceptance_rate,power_mw*hours_per_day*damas_afrr_down*capacity_mult_D*stack_capacity*acceptance_rate)</f>
        <v/>
      </c>
      <c r="G307" s="42">
        <f>IF(C307="aFRR+",DAMAS_Daily!I307,DAMAS_Daily!J307)</f>
        <v/>
      </c>
      <c r="H307" s="43">
        <f>IF(C307="aFRR+",DAMAS_Daily!E307,DAMAS_Daily!F307)</f>
        <v/>
      </c>
      <c r="I307" s="43">
        <f>IF(C307="aFRR+",DAMAS_Daily!G307,DAMAS_Daily!H307)</f>
        <v/>
      </c>
      <c r="J307" s="45">
        <f>IF(C307="aFRR+",DAMAS_Daily!C307,DAMAS_Daily!D307)</f>
        <v/>
      </c>
      <c r="K307" s="45">
        <f>IF(C307="aFRR+",MIN(DAMAS_Daily!C307*market_share_D*acceptance_rate*stack_activation,power_mw*hours_per_day,capacity_mwh),MIN(DAMAS_Daily!D307*market_share_D*acceptance_rate*stack_activation,power_mw*hours_per_day,capacity_mwh))</f>
        <v/>
      </c>
      <c r="L307" s="42">
        <f>IF(K307&gt;=capacity_mwh-0.01,"yes","no")</f>
        <v/>
      </c>
      <c r="M307" s="28">
        <f>IF(C307="aFRR+",(MIN(DAMAS_Daily!C307*market_share_D*acceptance_rate*stack_activation,power_mw*hours_per_day,capacity_mwh))*DAMAS_Daily!E307*activation_mult_D,(MIN(DAMAS_Daily!D307*market_share_D*acceptance_rate*stack_activation,power_mw*hours_per_day,capacity_mwh))*DAMAS_Daily!F307*activation_mult_D)</f>
        <v/>
      </c>
      <c r="N307" s="29">
        <f>F307+M307</f>
        <v/>
      </c>
    </row>
    <row r="308">
      <c r="A308" s="41">
        <f>DAMAS_Daily!A308</f>
        <v/>
      </c>
      <c r="B308" s="42">
        <f>DAMAS_Daily!B308</f>
        <v/>
      </c>
      <c r="C308" s="42">
        <f>IF((power_mw*hours_per_day*damas_afrr_up*capacity_mult_D*stack_capacity*acceptance_rate+(MIN(DAMAS_Daily!C308*market_share_D*acceptance_rate*stack_activation,power_mw*hours_per_day,capacity_mwh))*DAMAS_Daily!E308*activation_mult_D)&gt;=(power_mw*hours_per_day*damas_afrr_down*capacity_mult_D*stack_capacity*acceptance_rate+(MIN(DAMAS_Daily!D308*market_share_D*acceptance_rate*stack_activation,power_mw*hours_per_day,capacity_mwh))*DAMAS_Daily!F308*activation_mult_D),"aFRR+","aFRR-")</f>
        <v/>
      </c>
      <c r="D308" s="43">
        <f>IF(C308="aFRR+",damas_afrr_up*capacity_mult_D,damas_afrr_down*capacity_mult_D)</f>
        <v/>
      </c>
      <c r="E308" s="44">
        <f>acceptance_rate</f>
        <v/>
      </c>
      <c r="F308" s="28">
        <f>IF(C308="aFRR+",power_mw*hours_per_day*damas_afrr_up*capacity_mult_D*stack_capacity*acceptance_rate,power_mw*hours_per_day*damas_afrr_down*capacity_mult_D*stack_capacity*acceptance_rate)</f>
        <v/>
      </c>
      <c r="G308" s="42">
        <f>IF(C308="aFRR+",DAMAS_Daily!I308,DAMAS_Daily!J308)</f>
        <v/>
      </c>
      <c r="H308" s="43">
        <f>IF(C308="aFRR+",DAMAS_Daily!E308,DAMAS_Daily!F308)</f>
        <v/>
      </c>
      <c r="I308" s="43">
        <f>IF(C308="aFRR+",DAMAS_Daily!G308,DAMAS_Daily!H308)</f>
        <v/>
      </c>
      <c r="J308" s="45">
        <f>IF(C308="aFRR+",DAMAS_Daily!C308,DAMAS_Daily!D308)</f>
        <v/>
      </c>
      <c r="K308" s="45">
        <f>IF(C308="aFRR+",MIN(DAMAS_Daily!C308*market_share_D*acceptance_rate*stack_activation,power_mw*hours_per_day,capacity_mwh),MIN(DAMAS_Daily!D308*market_share_D*acceptance_rate*stack_activation,power_mw*hours_per_day,capacity_mwh))</f>
        <v/>
      </c>
      <c r="L308" s="42">
        <f>IF(K308&gt;=capacity_mwh-0.01,"yes","no")</f>
        <v/>
      </c>
      <c r="M308" s="28">
        <f>IF(C308="aFRR+",(MIN(DAMAS_Daily!C308*market_share_D*acceptance_rate*stack_activation,power_mw*hours_per_day,capacity_mwh))*DAMAS_Daily!E308*activation_mult_D,(MIN(DAMAS_Daily!D308*market_share_D*acceptance_rate*stack_activation,power_mw*hours_per_day,capacity_mwh))*DAMAS_Daily!F308*activation_mult_D)</f>
        <v/>
      </c>
      <c r="N308" s="29">
        <f>F308+M308</f>
        <v/>
      </c>
    </row>
    <row r="309">
      <c r="A309" s="41">
        <f>DAMAS_Daily!A309</f>
        <v/>
      </c>
      <c r="B309" s="42">
        <f>DAMAS_Daily!B309</f>
        <v/>
      </c>
      <c r="C309" s="42">
        <f>IF((power_mw*hours_per_day*damas_afrr_up*capacity_mult_D*stack_capacity*acceptance_rate+(MIN(DAMAS_Daily!C309*market_share_D*acceptance_rate*stack_activation,power_mw*hours_per_day,capacity_mwh))*DAMAS_Daily!E309*activation_mult_D)&gt;=(power_mw*hours_per_day*damas_afrr_down*capacity_mult_D*stack_capacity*acceptance_rate+(MIN(DAMAS_Daily!D309*market_share_D*acceptance_rate*stack_activation,power_mw*hours_per_day,capacity_mwh))*DAMAS_Daily!F309*activation_mult_D),"aFRR+","aFRR-")</f>
        <v/>
      </c>
      <c r="D309" s="43">
        <f>IF(C309="aFRR+",damas_afrr_up*capacity_mult_D,damas_afrr_down*capacity_mult_D)</f>
        <v/>
      </c>
      <c r="E309" s="44">
        <f>acceptance_rate</f>
        <v/>
      </c>
      <c r="F309" s="28">
        <f>IF(C309="aFRR+",power_mw*hours_per_day*damas_afrr_up*capacity_mult_D*stack_capacity*acceptance_rate,power_mw*hours_per_day*damas_afrr_down*capacity_mult_D*stack_capacity*acceptance_rate)</f>
        <v/>
      </c>
      <c r="G309" s="42">
        <f>IF(C309="aFRR+",DAMAS_Daily!I309,DAMAS_Daily!J309)</f>
        <v/>
      </c>
      <c r="H309" s="43">
        <f>IF(C309="aFRR+",DAMAS_Daily!E309,DAMAS_Daily!F309)</f>
        <v/>
      </c>
      <c r="I309" s="43">
        <f>IF(C309="aFRR+",DAMAS_Daily!G309,DAMAS_Daily!H309)</f>
        <v/>
      </c>
      <c r="J309" s="45">
        <f>IF(C309="aFRR+",DAMAS_Daily!C309,DAMAS_Daily!D309)</f>
        <v/>
      </c>
      <c r="K309" s="45">
        <f>IF(C309="aFRR+",MIN(DAMAS_Daily!C309*market_share_D*acceptance_rate*stack_activation,power_mw*hours_per_day,capacity_mwh),MIN(DAMAS_Daily!D309*market_share_D*acceptance_rate*stack_activation,power_mw*hours_per_day,capacity_mwh))</f>
        <v/>
      </c>
      <c r="L309" s="42">
        <f>IF(K309&gt;=capacity_mwh-0.01,"yes","no")</f>
        <v/>
      </c>
      <c r="M309" s="28">
        <f>IF(C309="aFRR+",(MIN(DAMAS_Daily!C309*market_share_D*acceptance_rate*stack_activation,power_mw*hours_per_day,capacity_mwh))*DAMAS_Daily!E309*activation_mult_D,(MIN(DAMAS_Daily!D309*market_share_D*acceptance_rate*stack_activation,power_mw*hours_per_day,capacity_mwh))*DAMAS_Daily!F309*activation_mult_D)</f>
        <v/>
      </c>
      <c r="N309" s="29">
        <f>F309+M309</f>
        <v/>
      </c>
    </row>
    <row r="310">
      <c r="A310" s="41">
        <f>DAMAS_Daily!A310</f>
        <v/>
      </c>
      <c r="B310" s="42">
        <f>DAMAS_Daily!B310</f>
        <v/>
      </c>
      <c r="C310" s="42">
        <f>IF((power_mw*hours_per_day*damas_afrr_up*capacity_mult_D*stack_capacity*acceptance_rate+(MIN(DAMAS_Daily!C310*market_share_D*acceptance_rate*stack_activation,power_mw*hours_per_day,capacity_mwh))*DAMAS_Daily!E310*activation_mult_D)&gt;=(power_mw*hours_per_day*damas_afrr_down*capacity_mult_D*stack_capacity*acceptance_rate+(MIN(DAMAS_Daily!D310*market_share_D*acceptance_rate*stack_activation,power_mw*hours_per_day,capacity_mwh))*DAMAS_Daily!F310*activation_mult_D),"aFRR+","aFRR-")</f>
        <v/>
      </c>
      <c r="D310" s="43">
        <f>IF(C310="aFRR+",damas_afrr_up*capacity_mult_D,damas_afrr_down*capacity_mult_D)</f>
        <v/>
      </c>
      <c r="E310" s="44">
        <f>acceptance_rate</f>
        <v/>
      </c>
      <c r="F310" s="28">
        <f>IF(C310="aFRR+",power_mw*hours_per_day*damas_afrr_up*capacity_mult_D*stack_capacity*acceptance_rate,power_mw*hours_per_day*damas_afrr_down*capacity_mult_D*stack_capacity*acceptance_rate)</f>
        <v/>
      </c>
      <c r="G310" s="42">
        <f>IF(C310="aFRR+",DAMAS_Daily!I310,DAMAS_Daily!J310)</f>
        <v/>
      </c>
      <c r="H310" s="43">
        <f>IF(C310="aFRR+",DAMAS_Daily!E310,DAMAS_Daily!F310)</f>
        <v/>
      </c>
      <c r="I310" s="43">
        <f>IF(C310="aFRR+",DAMAS_Daily!G310,DAMAS_Daily!H310)</f>
        <v/>
      </c>
      <c r="J310" s="45">
        <f>IF(C310="aFRR+",DAMAS_Daily!C310,DAMAS_Daily!D310)</f>
        <v/>
      </c>
      <c r="K310" s="45">
        <f>IF(C310="aFRR+",MIN(DAMAS_Daily!C310*market_share_D*acceptance_rate*stack_activation,power_mw*hours_per_day,capacity_mwh),MIN(DAMAS_Daily!D310*market_share_D*acceptance_rate*stack_activation,power_mw*hours_per_day,capacity_mwh))</f>
        <v/>
      </c>
      <c r="L310" s="42">
        <f>IF(K310&gt;=capacity_mwh-0.01,"yes","no")</f>
        <v/>
      </c>
      <c r="M310" s="28">
        <f>IF(C310="aFRR+",(MIN(DAMAS_Daily!C310*market_share_D*acceptance_rate*stack_activation,power_mw*hours_per_day,capacity_mwh))*DAMAS_Daily!E310*activation_mult_D,(MIN(DAMAS_Daily!D310*market_share_D*acceptance_rate*stack_activation,power_mw*hours_per_day,capacity_mwh))*DAMAS_Daily!F310*activation_mult_D)</f>
        <v/>
      </c>
      <c r="N310" s="29">
        <f>F310+M310</f>
        <v/>
      </c>
    </row>
    <row r="311">
      <c r="A311" s="41">
        <f>DAMAS_Daily!A311</f>
        <v/>
      </c>
      <c r="B311" s="42">
        <f>DAMAS_Daily!B311</f>
        <v/>
      </c>
      <c r="C311" s="42">
        <f>IF((power_mw*hours_per_day*damas_afrr_up*capacity_mult_D*stack_capacity*acceptance_rate+(MIN(DAMAS_Daily!C311*market_share_D*acceptance_rate*stack_activation,power_mw*hours_per_day,capacity_mwh))*DAMAS_Daily!E311*activation_mult_D)&gt;=(power_mw*hours_per_day*damas_afrr_down*capacity_mult_D*stack_capacity*acceptance_rate+(MIN(DAMAS_Daily!D311*market_share_D*acceptance_rate*stack_activation,power_mw*hours_per_day,capacity_mwh))*DAMAS_Daily!F311*activation_mult_D),"aFRR+","aFRR-")</f>
        <v/>
      </c>
      <c r="D311" s="43">
        <f>IF(C311="aFRR+",damas_afrr_up*capacity_mult_D,damas_afrr_down*capacity_mult_D)</f>
        <v/>
      </c>
      <c r="E311" s="44">
        <f>acceptance_rate</f>
        <v/>
      </c>
      <c r="F311" s="28">
        <f>IF(C311="aFRR+",power_mw*hours_per_day*damas_afrr_up*capacity_mult_D*stack_capacity*acceptance_rate,power_mw*hours_per_day*damas_afrr_down*capacity_mult_D*stack_capacity*acceptance_rate)</f>
        <v/>
      </c>
      <c r="G311" s="42">
        <f>IF(C311="aFRR+",DAMAS_Daily!I311,DAMAS_Daily!J311)</f>
        <v/>
      </c>
      <c r="H311" s="43">
        <f>IF(C311="aFRR+",DAMAS_Daily!E311,DAMAS_Daily!F311)</f>
        <v/>
      </c>
      <c r="I311" s="43">
        <f>IF(C311="aFRR+",DAMAS_Daily!G311,DAMAS_Daily!H311)</f>
        <v/>
      </c>
      <c r="J311" s="45">
        <f>IF(C311="aFRR+",DAMAS_Daily!C311,DAMAS_Daily!D311)</f>
        <v/>
      </c>
      <c r="K311" s="45">
        <f>IF(C311="aFRR+",MIN(DAMAS_Daily!C311*market_share_D*acceptance_rate*stack_activation,power_mw*hours_per_day,capacity_mwh),MIN(DAMAS_Daily!D311*market_share_D*acceptance_rate*stack_activation,power_mw*hours_per_day,capacity_mwh))</f>
        <v/>
      </c>
      <c r="L311" s="42">
        <f>IF(K311&gt;=capacity_mwh-0.01,"yes","no")</f>
        <v/>
      </c>
      <c r="M311" s="28">
        <f>IF(C311="aFRR+",(MIN(DAMAS_Daily!C311*market_share_D*acceptance_rate*stack_activation,power_mw*hours_per_day,capacity_mwh))*DAMAS_Daily!E311*activation_mult_D,(MIN(DAMAS_Daily!D311*market_share_D*acceptance_rate*stack_activation,power_mw*hours_per_day,capacity_mwh))*DAMAS_Daily!F311*activation_mult_D)</f>
        <v/>
      </c>
      <c r="N311" s="29">
        <f>F311+M311</f>
        <v/>
      </c>
    </row>
    <row r="312">
      <c r="A312" s="41">
        <f>DAMAS_Daily!A312</f>
        <v/>
      </c>
      <c r="B312" s="42">
        <f>DAMAS_Daily!B312</f>
        <v/>
      </c>
      <c r="C312" s="42">
        <f>IF((power_mw*hours_per_day*damas_afrr_up*capacity_mult_D*stack_capacity*acceptance_rate+(MIN(DAMAS_Daily!C312*market_share_D*acceptance_rate*stack_activation,power_mw*hours_per_day,capacity_mwh))*DAMAS_Daily!E312*activation_mult_D)&gt;=(power_mw*hours_per_day*damas_afrr_down*capacity_mult_D*stack_capacity*acceptance_rate+(MIN(DAMAS_Daily!D312*market_share_D*acceptance_rate*stack_activation,power_mw*hours_per_day,capacity_mwh))*DAMAS_Daily!F312*activation_mult_D),"aFRR+","aFRR-")</f>
        <v/>
      </c>
      <c r="D312" s="43">
        <f>IF(C312="aFRR+",damas_afrr_up*capacity_mult_D,damas_afrr_down*capacity_mult_D)</f>
        <v/>
      </c>
      <c r="E312" s="44">
        <f>acceptance_rate</f>
        <v/>
      </c>
      <c r="F312" s="28">
        <f>IF(C312="aFRR+",power_mw*hours_per_day*damas_afrr_up*capacity_mult_D*stack_capacity*acceptance_rate,power_mw*hours_per_day*damas_afrr_down*capacity_mult_D*stack_capacity*acceptance_rate)</f>
        <v/>
      </c>
      <c r="G312" s="42">
        <f>IF(C312="aFRR+",DAMAS_Daily!I312,DAMAS_Daily!J312)</f>
        <v/>
      </c>
      <c r="H312" s="43">
        <f>IF(C312="aFRR+",DAMAS_Daily!E312,DAMAS_Daily!F312)</f>
        <v/>
      </c>
      <c r="I312" s="43">
        <f>IF(C312="aFRR+",DAMAS_Daily!G312,DAMAS_Daily!H312)</f>
        <v/>
      </c>
      <c r="J312" s="45">
        <f>IF(C312="aFRR+",DAMAS_Daily!C312,DAMAS_Daily!D312)</f>
        <v/>
      </c>
      <c r="K312" s="45">
        <f>IF(C312="aFRR+",MIN(DAMAS_Daily!C312*market_share_D*acceptance_rate*stack_activation,power_mw*hours_per_day,capacity_mwh),MIN(DAMAS_Daily!D312*market_share_D*acceptance_rate*stack_activation,power_mw*hours_per_day,capacity_mwh))</f>
        <v/>
      </c>
      <c r="L312" s="42">
        <f>IF(K312&gt;=capacity_mwh-0.01,"yes","no")</f>
        <v/>
      </c>
      <c r="M312" s="28">
        <f>IF(C312="aFRR+",(MIN(DAMAS_Daily!C312*market_share_D*acceptance_rate*stack_activation,power_mw*hours_per_day,capacity_mwh))*DAMAS_Daily!E312*activation_mult_D,(MIN(DAMAS_Daily!D312*market_share_D*acceptance_rate*stack_activation,power_mw*hours_per_day,capacity_mwh))*DAMAS_Daily!F312*activation_mult_D)</f>
        <v/>
      </c>
      <c r="N312" s="29">
        <f>F312+M312</f>
        <v/>
      </c>
    </row>
    <row r="313">
      <c r="A313" s="41">
        <f>DAMAS_Daily!A313</f>
        <v/>
      </c>
      <c r="B313" s="42">
        <f>DAMAS_Daily!B313</f>
        <v/>
      </c>
      <c r="C313" s="42">
        <f>IF((power_mw*hours_per_day*damas_afrr_up*capacity_mult_D*stack_capacity*acceptance_rate+(MIN(DAMAS_Daily!C313*market_share_D*acceptance_rate*stack_activation,power_mw*hours_per_day,capacity_mwh))*DAMAS_Daily!E313*activation_mult_D)&gt;=(power_mw*hours_per_day*damas_afrr_down*capacity_mult_D*stack_capacity*acceptance_rate+(MIN(DAMAS_Daily!D313*market_share_D*acceptance_rate*stack_activation,power_mw*hours_per_day,capacity_mwh))*DAMAS_Daily!F313*activation_mult_D),"aFRR+","aFRR-")</f>
        <v/>
      </c>
      <c r="D313" s="43">
        <f>IF(C313="aFRR+",damas_afrr_up*capacity_mult_D,damas_afrr_down*capacity_mult_D)</f>
        <v/>
      </c>
      <c r="E313" s="44">
        <f>acceptance_rate</f>
        <v/>
      </c>
      <c r="F313" s="28">
        <f>IF(C313="aFRR+",power_mw*hours_per_day*damas_afrr_up*capacity_mult_D*stack_capacity*acceptance_rate,power_mw*hours_per_day*damas_afrr_down*capacity_mult_D*stack_capacity*acceptance_rate)</f>
        <v/>
      </c>
      <c r="G313" s="42">
        <f>IF(C313="aFRR+",DAMAS_Daily!I313,DAMAS_Daily!J313)</f>
        <v/>
      </c>
      <c r="H313" s="43">
        <f>IF(C313="aFRR+",DAMAS_Daily!E313,DAMAS_Daily!F313)</f>
        <v/>
      </c>
      <c r="I313" s="43">
        <f>IF(C313="aFRR+",DAMAS_Daily!G313,DAMAS_Daily!H313)</f>
        <v/>
      </c>
      <c r="J313" s="45">
        <f>IF(C313="aFRR+",DAMAS_Daily!C313,DAMAS_Daily!D313)</f>
        <v/>
      </c>
      <c r="K313" s="45">
        <f>IF(C313="aFRR+",MIN(DAMAS_Daily!C313*market_share_D*acceptance_rate*stack_activation,power_mw*hours_per_day,capacity_mwh),MIN(DAMAS_Daily!D313*market_share_D*acceptance_rate*stack_activation,power_mw*hours_per_day,capacity_mwh))</f>
        <v/>
      </c>
      <c r="L313" s="42">
        <f>IF(K313&gt;=capacity_mwh-0.01,"yes","no")</f>
        <v/>
      </c>
      <c r="M313" s="28">
        <f>IF(C313="aFRR+",(MIN(DAMAS_Daily!C313*market_share_D*acceptance_rate*stack_activation,power_mw*hours_per_day,capacity_mwh))*DAMAS_Daily!E313*activation_mult_D,(MIN(DAMAS_Daily!D313*market_share_D*acceptance_rate*stack_activation,power_mw*hours_per_day,capacity_mwh))*DAMAS_Daily!F313*activation_mult_D)</f>
        <v/>
      </c>
      <c r="N313" s="29">
        <f>F313+M313</f>
        <v/>
      </c>
    </row>
    <row r="314">
      <c r="A314" s="41">
        <f>DAMAS_Daily!A314</f>
        <v/>
      </c>
      <c r="B314" s="42">
        <f>DAMAS_Daily!B314</f>
        <v/>
      </c>
      <c r="C314" s="42">
        <f>IF((power_mw*hours_per_day*damas_afrr_up*capacity_mult_D*stack_capacity*acceptance_rate+(MIN(DAMAS_Daily!C314*market_share_D*acceptance_rate*stack_activation,power_mw*hours_per_day,capacity_mwh))*DAMAS_Daily!E314*activation_mult_D)&gt;=(power_mw*hours_per_day*damas_afrr_down*capacity_mult_D*stack_capacity*acceptance_rate+(MIN(DAMAS_Daily!D314*market_share_D*acceptance_rate*stack_activation,power_mw*hours_per_day,capacity_mwh))*DAMAS_Daily!F314*activation_mult_D),"aFRR+","aFRR-")</f>
        <v/>
      </c>
      <c r="D314" s="43">
        <f>IF(C314="aFRR+",damas_afrr_up*capacity_mult_D,damas_afrr_down*capacity_mult_D)</f>
        <v/>
      </c>
      <c r="E314" s="44">
        <f>acceptance_rate</f>
        <v/>
      </c>
      <c r="F314" s="28">
        <f>IF(C314="aFRR+",power_mw*hours_per_day*damas_afrr_up*capacity_mult_D*stack_capacity*acceptance_rate,power_mw*hours_per_day*damas_afrr_down*capacity_mult_D*stack_capacity*acceptance_rate)</f>
        <v/>
      </c>
      <c r="G314" s="42">
        <f>IF(C314="aFRR+",DAMAS_Daily!I314,DAMAS_Daily!J314)</f>
        <v/>
      </c>
      <c r="H314" s="43">
        <f>IF(C314="aFRR+",DAMAS_Daily!E314,DAMAS_Daily!F314)</f>
        <v/>
      </c>
      <c r="I314" s="43">
        <f>IF(C314="aFRR+",DAMAS_Daily!G314,DAMAS_Daily!H314)</f>
        <v/>
      </c>
      <c r="J314" s="45">
        <f>IF(C314="aFRR+",DAMAS_Daily!C314,DAMAS_Daily!D314)</f>
        <v/>
      </c>
      <c r="K314" s="45">
        <f>IF(C314="aFRR+",MIN(DAMAS_Daily!C314*market_share_D*acceptance_rate*stack_activation,power_mw*hours_per_day,capacity_mwh),MIN(DAMAS_Daily!D314*market_share_D*acceptance_rate*stack_activation,power_mw*hours_per_day,capacity_mwh))</f>
        <v/>
      </c>
      <c r="L314" s="42">
        <f>IF(K314&gt;=capacity_mwh-0.01,"yes","no")</f>
        <v/>
      </c>
      <c r="M314" s="28">
        <f>IF(C314="aFRR+",(MIN(DAMAS_Daily!C314*market_share_D*acceptance_rate*stack_activation,power_mw*hours_per_day,capacity_mwh))*DAMAS_Daily!E314*activation_mult_D,(MIN(DAMAS_Daily!D314*market_share_D*acceptance_rate*stack_activation,power_mw*hours_per_day,capacity_mwh))*DAMAS_Daily!F314*activation_mult_D)</f>
        <v/>
      </c>
      <c r="N314" s="29">
        <f>F314+M314</f>
        <v/>
      </c>
    </row>
    <row r="315">
      <c r="A315" s="41">
        <f>DAMAS_Daily!A315</f>
        <v/>
      </c>
      <c r="B315" s="42">
        <f>DAMAS_Daily!B315</f>
        <v/>
      </c>
      <c r="C315" s="42">
        <f>IF((power_mw*hours_per_day*damas_afrr_up*capacity_mult_D*stack_capacity*acceptance_rate+(MIN(DAMAS_Daily!C315*market_share_D*acceptance_rate*stack_activation,power_mw*hours_per_day,capacity_mwh))*DAMAS_Daily!E315*activation_mult_D)&gt;=(power_mw*hours_per_day*damas_afrr_down*capacity_mult_D*stack_capacity*acceptance_rate+(MIN(DAMAS_Daily!D315*market_share_D*acceptance_rate*stack_activation,power_mw*hours_per_day,capacity_mwh))*DAMAS_Daily!F315*activation_mult_D),"aFRR+","aFRR-")</f>
        <v/>
      </c>
      <c r="D315" s="43">
        <f>IF(C315="aFRR+",damas_afrr_up*capacity_mult_D,damas_afrr_down*capacity_mult_D)</f>
        <v/>
      </c>
      <c r="E315" s="44">
        <f>acceptance_rate</f>
        <v/>
      </c>
      <c r="F315" s="28">
        <f>IF(C315="aFRR+",power_mw*hours_per_day*damas_afrr_up*capacity_mult_D*stack_capacity*acceptance_rate,power_mw*hours_per_day*damas_afrr_down*capacity_mult_D*stack_capacity*acceptance_rate)</f>
        <v/>
      </c>
      <c r="G315" s="42">
        <f>IF(C315="aFRR+",DAMAS_Daily!I315,DAMAS_Daily!J315)</f>
        <v/>
      </c>
      <c r="H315" s="43">
        <f>IF(C315="aFRR+",DAMAS_Daily!E315,DAMAS_Daily!F315)</f>
        <v/>
      </c>
      <c r="I315" s="43">
        <f>IF(C315="aFRR+",DAMAS_Daily!G315,DAMAS_Daily!H315)</f>
        <v/>
      </c>
      <c r="J315" s="45">
        <f>IF(C315="aFRR+",DAMAS_Daily!C315,DAMAS_Daily!D315)</f>
        <v/>
      </c>
      <c r="K315" s="45">
        <f>IF(C315="aFRR+",MIN(DAMAS_Daily!C315*market_share_D*acceptance_rate*stack_activation,power_mw*hours_per_day,capacity_mwh),MIN(DAMAS_Daily!D315*market_share_D*acceptance_rate*stack_activation,power_mw*hours_per_day,capacity_mwh))</f>
        <v/>
      </c>
      <c r="L315" s="42">
        <f>IF(K315&gt;=capacity_mwh-0.01,"yes","no")</f>
        <v/>
      </c>
      <c r="M315" s="28">
        <f>IF(C315="aFRR+",(MIN(DAMAS_Daily!C315*market_share_D*acceptance_rate*stack_activation,power_mw*hours_per_day,capacity_mwh))*DAMAS_Daily!E315*activation_mult_D,(MIN(DAMAS_Daily!D315*market_share_D*acceptance_rate*stack_activation,power_mw*hours_per_day,capacity_mwh))*DAMAS_Daily!F315*activation_mult_D)</f>
        <v/>
      </c>
      <c r="N315" s="29">
        <f>F315+M315</f>
        <v/>
      </c>
    </row>
    <row r="316">
      <c r="A316" s="41">
        <f>DAMAS_Daily!A316</f>
        <v/>
      </c>
      <c r="B316" s="42">
        <f>DAMAS_Daily!B316</f>
        <v/>
      </c>
      <c r="C316" s="42">
        <f>IF((power_mw*hours_per_day*damas_afrr_up*capacity_mult_D*stack_capacity*acceptance_rate+(MIN(DAMAS_Daily!C316*market_share_D*acceptance_rate*stack_activation,power_mw*hours_per_day,capacity_mwh))*DAMAS_Daily!E316*activation_mult_D)&gt;=(power_mw*hours_per_day*damas_afrr_down*capacity_mult_D*stack_capacity*acceptance_rate+(MIN(DAMAS_Daily!D316*market_share_D*acceptance_rate*stack_activation,power_mw*hours_per_day,capacity_mwh))*DAMAS_Daily!F316*activation_mult_D),"aFRR+","aFRR-")</f>
        <v/>
      </c>
      <c r="D316" s="43">
        <f>IF(C316="aFRR+",damas_afrr_up*capacity_mult_D,damas_afrr_down*capacity_mult_D)</f>
        <v/>
      </c>
      <c r="E316" s="44">
        <f>acceptance_rate</f>
        <v/>
      </c>
      <c r="F316" s="28">
        <f>IF(C316="aFRR+",power_mw*hours_per_day*damas_afrr_up*capacity_mult_D*stack_capacity*acceptance_rate,power_mw*hours_per_day*damas_afrr_down*capacity_mult_D*stack_capacity*acceptance_rate)</f>
        <v/>
      </c>
      <c r="G316" s="42">
        <f>IF(C316="aFRR+",DAMAS_Daily!I316,DAMAS_Daily!J316)</f>
        <v/>
      </c>
      <c r="H316" s="43">
        <f>IF(C316="aFRR+",DAMAS_Daily!E316,DAMAS_Daily!F316)</f>
        <v/>
      </c>
      <c r="I316" s="43">
        <f>IF(C316="aFRR+",DAMAS_Daily!G316,DAMAS_Daily!H316)</f>
        <v/>
      </c>
      <c r="J316" s="45">
        <f>IF(C316="aFRR+",DAMAS_Daily!C316,DAMAS_Daily!D316)</f>
        <v/>
      </c>
      <c r="K316" s="45">
        <f>IF(C316="aFRR+",MIN(DAMAS_Daily!C316*market_share_D*acceptance_rate*stack_activation,power_mw*hours_per_day,capacity_mwh),MIN(DAMAS_Daily!D316*market_share_D*acceptance_rate*stack_activation,power_mw*hours_per_day,capacity_mwh))</f>
        <v/>
      </c>
      <c r="L316" s="42">
        <f>IF(K316&gt;=capacity_mwh-0.01,"yes","no")</f>
        <v/>
      </c>
      <c r="M316" s="28">
        <f>IF(C316="aFRR+",(MIN(DAMAS_Daily!C316*market_share_D*acceptance_rate*stack_activation,power_mw*hours_per_day,capacity_mwh))*DAMAS_Daily!E316*activation_mult_D,(MIN(DAMAS_Daily!D316*market_share_D*acceptance_rate*stack_activation,power_mw*hours_per_day,capacity_mwh))*DAMAS_Daily!F316*activation_mult_D)</f>
        <v/>
      </c>
      <c r="N316" s="29">
        <f>F316+M316</f>
        <v/>
      </c>
    </row>
    <row r="317">
      <c r="A317" s="41">
        <f>DAMAS_Daily!A317</f>
        <v/>
      </c>
      <c r="B317" s="42">
        <f>DAMAS_Daily!B317</f>
        <v/>
      </c>
      <c r="C317" s="42">
        <f>IF((power_mw*hours_per_day*damas_afrr_up*capacity_mult_D*stack_capacity*acceptance_rate+(MIN(DAMAS_Daily!C317*market_share_D*acceptance_rate*stack_activation,power_mw*hours_per_day,capacity_mwh))*DAMAS_Daily!E317*activation_mult_D)&gt;=(power_mw*hours_per_day*damas_afrr_down*capacity_mult_D*stack_capacity*acceptance_rate+(MIN(DAMAS_Daily!D317*market_share_D*acceptance_rate*stack_activation,power_mw*hours_per_day,capacity_mwh))*DAMAS_Daily!F317*activation_mult_D),"aFRR+","aFRR-")</f>
        <v/>
      </c>
      <c r="D317" s="43">
        <f>IF(C317="aFRR+",damas_afrr_up*capacity_mult_D,damas_afrr_down*capacity_mult_D)</f>
        <v/>
      </c>
      <c r="E317" s="44">
        <f>acceptance_rate</f>
        <v/>
      </c>
      <c r="F317" s="28">
        <f>IF(C317="aFRR+",power_mw*hours_per_day*damas_afrr_up*capacity_mult_D*stack_capacity*acceptance_rate,power_mw*hours_per_day*damas_afrr_down*capacity_mult_D*stack_capacity*acceptance_rate)</f>
        <v/>
      </c>
      <c r="G317" s="42">
        <f>IF(C317="aFRR+",DAMAS_Daily!I317,DAMAS_Daily!J317)</f>
        <v/>
      </c>
      <c r="H317" s="43">
        <f>IF(C317="aFRR+",DAMAS_Daily!E317,DAMAS_Daily!F317)</f>
        <v/>
      </c>
      <c r="I317" s="43">
        <f>IF(C317="aFRR+",DAMAS_Daily!G317,DAMAS_Daily!H317)</f>
        <v/>
      </c>
      <c r="J317" s="45">
        <f>IF(C317="aFRR+",DAMAS_Daily!C317,DAMAS_Daily!D317)</f>
        <v/>
      </c>
      <c r="K317" s="45">
        <f>IF(C317="aFRR+",MIN(DAMAS_Daily!C317*market_share_D*acceptance_rate*stack_activation,power_mw*hours_per_day,capacity_mwh),MIN(DAMAS_Daily!D317*market_share_D*acceptance_rate*stack_activation,power_mw*hours_per_day,capacity_mwh))</f>
        <v/>
      </c>
      <c r="L317" s="42">
        <f>IF(K317&gt;=capacity_mwh-0.01,"yes","no")</f>
        <v/>
      </c>
      <c r="M317" s="28">
        <f>IF(C317="aFRR+",(MIN(DAMAS_Daily!C317*market_share_D*acceptance_rate*stack_activation,power_mw*hours_per_day,capacity_mwh))*DAMAS_Daily!E317*activation_mult_D,(MIN(DAMAS_Daily!D317*market_share_D*acceptance_rate*stack_activation,power_mw*hours_per_day,capacity_mwh))*DAMAS_Daily!F317*activation_mult_D)</f>
        <v/>
      </c>
      <c r="N317" s="29">
        <f>F317+M317</f>
        <v/>
      </c>
    </row>
    <row r="318">
      <c r="A318" s="41">
        <f>DAMAS_Daily!A318</f>
        <v/>
      </c>
      <c r="B318" s="42">
        <f>DAMAS_Daily!B318</f>
        <v/>
      </c>
      <c r="C318" s="42">
        <f>IF((power_mw*hours_per_day*damas_afrr_up*capacity_mult_D*stack_capacity*acceptance_rate+(MIN(DAMAS_Daily!C318*market_share_D*acceptance_rate*stack_activation,power_mw*hours_per_day,capacity_mwh))*DAMAS_Daily!E318*activation_mult_D)&gt;=(power_mw*hours_per_day*damas_afrr_down*capacity_mult_D*stack_capacity*acceptance_rate+(MIN(DAMAS_Daily!D318*market_share_D*acceptance_rate*stack_activation,power_mw*hours_per_day,capacity_mwh))*DAMAS_Daily!F318*activation_mult_D),"aFRR+","aFRR-")</f>
        <v/>
      </c>
      <c r="D318" s="43">
        <f>IF(C318="aFRR+",damas_afrr_up*capacity_mult_D,damas_afrr_down*capacity_mult_D)</f>
        <v/>
      </c>
      <c r="E318" s="44">
        <f>acceptance_rate</f>
        <v/>
      </c>
      <c r="F318" s="28">
        <f>IF(C318="aFRR+",power_mw*hours_per_day*damas_afrr_up*capacity_mult_D*stack_capacity*acceptance_rate,power_mw*hours_per_day*damas_afrr_down*capacity_mult_D*stack_capacity*acceptance_rate)</f>
        <v/>
      </c>
      <c r="G318" s="42">
        <f>IF(C318="aFRR+",DAMAS_Daily!I318,DAMAS_Daily!J318)</f>
        <v/>
      </c>
      <c r="H318" s="43">
        <f>IF(C318="aFRR+",DAMAS_Daily!E318,DAMAS_Daily!F318)</f>
        <v/>
      </c>
      <c r="I318" s="43">
        <f>IF(C318="aFRR+",DAMAS_Daily!G318,DAMAS_Daily!H318)</f>
        <v/>
      </c>
      <c r="J318" s="45">
        <f>IF(C318="aFRR+",DAMAS_Daily!C318,DAMAS_Daily!D318)</f>
        <v/>
      </c>
      <c r="K318" s="45">
        <f>IF(C318="aFRR+",MIN(DAMAS_Daily!C318*market_share_D*acceptance_rate*stack_activation,power_mw*hours_per_day,capacity_mwh),MIN(DAMAS_Daily!D318*market_share_D*acceptance_rate*stack_activation,power_mw*hours_per_day,capacity_mwh))</f>
        <v/>
      </c>
      <c r="L318" s="42">
        <f>IF(K318&gt;=capacity_mwh-0.01,"yes","no")</f>
        <v/>
      </c>
      <c r="M318" s="28">
        <f>IF(C318="aFRR+",(MIN(DAMAS_Daily!C318*market_share_D*acceptance_rate*stack_activation,power_mw*hours_per_day,capacity_mwh))*DAMAS_Daily!E318*activation_mult_D,(MIN(DAMAS_Daily!D318*market_share_D*acceptance_rate*stack_activation,power_mw*hours_per_day,capacity_mwh))*DAMAS_Daily!F318*activation_mult_D)</f>
        <v/>
      </c>
      <c r="N318" s="29">
        <f>F318+M318</f>
        <v/>
      </c>
    </row>
    <row r="319">
      <c r="A319" s="41">
        <f>DAMAS_Daily!A319</f>
        <v/>
      </c>
      <c r="B319" s="42">
        <f>DAMAS_Daily!B319</f>
        <v/>
      </c>
      <c r="C319" s="42">
        <f>IF((power_mw*hours_per_day*damas_afrr_up*capacity_mult_D*stack_capacity*acceptance_rate+(MIN(DAMAS_Daily!C319*market_share_D*acceptance_rate*stack_activation,power_mw*hours_per_day,capacity_mwh))*DAMAS_Daily!E319*activation_mult_D)&gt;=(power_mw*hours_per_day*damas_afrr_down*capacity_mult_D*stack_capacity*acceptance_rate+(MIN(DAMAS_Daily!D319*market_share_D*acceptance_rate*stack_activation,power_mw*hours_per_day,capacity_mwh))*DAMAS_Daily!F319*activation_mult_D),"aFRR+","aFRR-")</f>
        <v/>
      </c>
      <c r="D319" s="43">
        <f>IF(C319="aFRR+",damas_afrr_up*capacity_mult_D,damas_afrr_down*capacity_mult_D)</f>
        <v/>
      </c>
      <c r="E319" s="44">
        <f>acceptance_rate</f>
        <v/>
      </c>
      <c r="F319" s="28">
        <f>IF(C319="aFRR+",power_mw*hours_per_day*damas_afrr_up*capacity_mult_D*stack_capacity*acceptance_rate,power_mw*hours_per_day*damas_afrr_down*capacity_mult_D*stack_capacity*acceptance_rate)</f>
        <v/>
      </c>
      <c r="G319" s="42">
        <f>IF(C319="aFRR+",DAMAS_Daily!I319,DAMAS_Daily!J319)</f>
        <v/>
      </c>
      <c r="H319" s="43">
        <f>IF(C319="aFRR+",DAMAS_Daily!E319,DAMAS_Daily!F319)</f>
        <v/>
      </c>
      <c r="I319" s="43">
        <f>IF(C319="aFRR+",DAMAS_Daily!G319,DAMAS_Daily!H319)</f>
        <v/>
      </c>
      <c r="J319" s="45">
        <f>IF(C319="aFRR+",DAMAS_Daily!C319,DAMAS_Daily!D319)</f>
        <v/>
      </c>
      <c r="K319" s="45">
        <f>IF(C319="aFRR+",MIN(DAMAS_Daily!C319*market_share_D*acceptance_rate*stack_activation,power_mw*hours_per_day,capacity_mwh),MIN(DAMAS_Daily!D319*market_share_D*acceptance_rate*stack_activation,power_mw*hours_per_day,capacity_mwh))</f>
        <v/>
      </c>
      <c r="L319" s="42">
        <f>IF(K319&gt;=capacity_mwh-0.01,"yes","no")</f>
        <v/>
      </c>
      <c r="M319" s="28">
        <f>IF(C319="aFRR+",(MIN(DAMAS_Daily!C319*market_share_D*acceptance_rate*stack_activation,power_mw*hours_per_day,capacity_mwh))*DAMAS_Daily!E319*activation_mult_D,(MIN(DAMAS_Daily!D319*market_share_D*acceptance_rate*stack_activation,power_mw*hours_per_day,capacity_mwh))*DAMAS_Daily!F319*activation_mult_D)</f>
        <v/>
      </c>
      <c r="N319" s="29">
        <f>F319+M319</f>
        <v/>
      </c>
    </row>
    <row r="320">
      <c r="A320" s="41">
        <f>DAMAS_Daily!A320</f>
        <v/>
      </c>
      <c r="B320" s="42">
        <f>DAMAS_Daily!B320</f>
        <v/>
      </c>
      <c r="C320" s="42">
        <f>IF((power_mw*hours_per_day*damas_afrr_up*capacity_mult_D*stack_capacity*acceptance_rate+(MIN(DAMAS_Daily!C320*market_share_D*acceptance_rate*stack_activation,power_mw*hours_per_day,capacity_mwh))*DAMAS_Daily!E320*activation_mult_D)&gt;=(power_mw*hours_per_day*damas_afrr_down*capacity_mult_D*stack_capacity*acceptance_rate+(MIN(DAMAS_Daily!D320*market_share_D*acceptance_rate*stack_activation,power_mw*hours_per_day,capacity_mwh))*DAMAS_Daily!F320*activation_mult_D),"aFRR+","aFRR-")</f>
        <v/>
      </c>
      <c r="D320" s="43">
        <f>IF(C320="aFRR+",damas_afrr_up*capacity_mult_D,damas_afrr_down*capacity_mult_D)</f>
        <v/>
      </c>
      <c r="E320" s="44">
        <f>acceptance_rate</f>
        <v/>
      </c>
      <c r="F320" s="28">
        <f>IF(C320="aFRR+",power_mw*hours_per_day*damas_afrr_up*capacity_mult_D*stack_capacity*acceptance_rate,power_mw*hours_per_day*damas_afrr_down*capacity_mult_D*stack_capacity*acceptance_rate)</f>
        <v/>
      </c>
      <c r="G320" s="42">
        <f>IF(C320="aFRR+",DAMAS_Daily!I320,DAMAS_Daily!J320)</f>
        <v/>
      </c>
      <c r="H320" s="43">
        <f>IF(C320="aFRR+",DAMAS_Daily!E320,DAMAS_Daily!F320)</f>
        <v/>
      </c>
      <c r="I320" s="43">
        <f>IF(C320="aFRR+",DAMAS_Daily!G320,DAMAS_Daily!H320)</f>
        <v/>
      </c>
      <c r="J320" s="45">
        <f>IF(C320="aFRR+",DAMAS_Daily!C320,DAMAS_Daily!D320)</f>
        <v/>
      </c>
      <c r="K320" s="45">
        <f>IF(C320="aFRR+",MIN(DAMAS_Daily!C320*market_share_D*acceptance_rate*stack_activation,power_mw*hours_per_day,capacity_mwh),MIN(DAMAS_Daily!D320*market_share_D*acceptance_rate*stack_activation,power_mw*hours_per_day,capacity_mwh))</f>
        <v/>
      </c>
      <c r="L320" s="42">
        <f>IF(K320&gt;=capacity_mwh-0.01,"yes","no")</f>
        <v/>
      </c>
      <c r="M320" s="28">
        <f>IF(C320="aFRR+",(MIN(DAMAS_Daily!C320*market_share_D*acceptance_rate*stack_activation,power_mw*hours_per_day,capacity_mwh))*DAMAS_Daily!E320*activation_mult_D,(MIN(DAMAS_Daily!D320*market_share_D*acceptance_rate*stack_activation,power_mw*hours_per_day,capacity_mwh))*DAMAS_Daily!F320*activation_mult_D)</f>
        <v/>
      </c>
      <c r="N320" s="29">
        <f>F320+M320</f>
        <v/>
      </c>
    </row>
    <row r="321">
      <c r="A321" s="41">
        <f>DAMAS_Daily!A321</f>
        <v/>
      </c>
      <c r="B321" s="42">
        <f>DAMAS_Daily!B321</f>
        <v/>
      </c>
      <c r="C321" s="42">
        <f>IF((power_mw*hours_per_day*damas_afrr_up*capacity_mult_D*stack_capacity*acceptance_rate+(MIN(DAMAS_Daily!C321*market_share_D*acceptance_rate*stack_activation,power_mw*hours_per_day,capacity_mwh))*DAMAS_Daily!E321*activation_mult_D)&gt;=(power_mw*hours_per_day*damas_afrr_down*capacity_mult_D*stack_capacity*acceptance_rate+(MIN(DAMAS_Daily!D321*market_share_D*acceptance_rate*stack_activation,power_mw*hours_per_day,capacity_mwh))*DAMAS_Daily!F321*activation_mult_D),"aFRR+","aFRR-")</f>
        <v/>
      </c>
      <c r="D321" s="43">
        <f>IF(C321="aFRR+",damas_afrr_up*capacity_mult_D,damas_afrr_down*capacity_mult_D)</f>
        <v/>
      </c>
      <c r="E321" s="44">
        <f>acceptance_rate</f>
        <v/>
      </c>
      <c r="F321" s="28">
        <f>IF(C321="aFRR+",power_mw*hours_per_day*damas_afrr_up*capacity_mult_D*stack_capacity*acceptance_rate,power_mw*hours_per_day*damas_afrr_down*capacity_mult_D*stack_capacity*acceptance_rate)</f>
        <v/>
      </c>
      <c r="G321" s="42">
        <f>IF(C321="aFRR+",DAMAS_Daily!I321,DAMAS_Daily!J321)</f>
        <v/>
      </c>
      <c r="H321" s="43">
        <f>IF(C321="aFRR+",DAMAS_Daily!E321,DAMAS_Daily!F321)</f>
        <v/>
      </c>
      <c r="I321" s="43">
        <f>IF(C321="aFRR+",DAMAS_Daily!G321,DAMAS_Daily!H321)</f>
        <v/>
      </c>
      <c r="J321" s="45">
        <f>IF(C321="aFRR+",DAMAS_Daily!C321,DAMAS_Daily!D321)</f>
        <v/>
      </c>
      <c r="K321" s="45">
        <f>IF(C321="aFRR+",MIN(DAMAS_Daily!C321*market_share_D*acceptance_rate*stack_activation,power_mw*hours_per_day,capacity_mwh),MIN(DAMAS_Daily!D321*market_share_D*acceptance_rate*stack_activation,power_mw*hours_per_day,capacity_mwh))</f>
        <v/>
      </c>
      <c r="L321" s="42">
        <f>IF(K321&gt;=capacity_mwh-0.01,"yes","no")</f>
        <v/>
      </c>
      <c r="M321" s="28">
        <f>IF(C321="aFRR+",(MIN(DAMAS_Daily!C321*market_share_D*acceptance_rate*stack_activation,power_mw*hours_per_day,capacity_mwh))*DAMAS_Daily!E321*activation_mult_D,(MIN(DAMAS_Daily!D321*market_share_D*acceptance_rate*stack_activation,power_mw*hours_per_day,capacity_mwh))*DAMAS_Daily!F321*activation_mult_D)</f>
        <v/>
      </c>
      <c r="N321" s="29">
        <f>F321+M321</f>
        <v/>
      </c>
    </row>
    <row r="322">
      <c r="A322" s="41">
        <f>DAMAS_Daily!A322</f>
        <v/>
      </c>
      <c r="B322" s="42">
        <f>DAMAS_Daily!B322</f>
        <v/>
      </c>
      <c r="C322" s="42">
        <f>IF((power_mw*hours_per_day*damas_afrr_up*capacity_mult_D*stack_capacity*acceptance_rate+(MIN(DAMAS_Daily!C322*market_share_D*acceptance_rate*stack_activation,power_mw*hours_per_day,capacity_mwh))*DAMAS_Daily!E322*activation_mult_D)&gt;=(power_mw*hours_per_day*damas_afrr_down*capacity_mult_D*stack_capacity*acceptance_rate+(MIN(DAMAS_Daily!D322*market_share_D*acceptance_rate*stack_activation,power_mw*hours_per_day,capacity_mwh))*DAMAS_Daily!F322*activation_mult_D),"aFRR+","aFRR-")</f>
        <v/>
      </c>
      <c r="D322" s="43">
        <f>IF(C322="aFRR+",damas_afrr_up*capacity_mult_D,damas_afrr_down*capacity_mult_D)</f>
        <v/>
      </c>
      <c r="E322" s="44">
        <f>acceptance_rate</f>
        <v/>
      </c>
      <c r="F322" s="28">
        <f>IF(C322="aFRR+",power_mw*hours_per_day*damas_afrr_up*capacity_mult_D*stack_capacity*acceptance_rate,power_mw*hours_per_day*damas_afrr_down*capacity_mult_D*stack_capacity*acceptance_rate)</f>
        <v/>
      </c>
      <c r="G322" s="42">
        <f>IF(C322="aFRR+",DAMAS_Daily!I322,DAMAS_Daily!J322)</f>
        <v/>
      </c>
      <c r="H322" s="43">
        <f>IF(C322="aFRR+",DAMAS_Daily!E322,DAMAS_Daily!F322)</f>
        <v/>
      </c>
      <c r="I322" s="43">
        <f>IF(C322="aFRR+",DAMAS_Daily!G322,DAMAS_Daily!H322)</f>
        <v/>
      </c>
      <c r="J322" s="45">
        <f>IF(C322="aFRR+",DAMAS_Daily!C322,DAMAS_Daily!D322)</f>
        <v/>
      </c>
      <c r="K322" s="45">
        <f>IF(C322="aFRR+",MIN(DAMAS_Daily!C322*market_share_D*acceptance_rate*stack_activation,power_mw*hours_per_day,capacity_mwh),MIN(DAMAS_Daily!D322*market_share_D*acceptance_rate*stack_activation,power_mw*hours_per_day,capacity_mwh))</f>
        <v/>
      </c>
      <c r="L322" s="42">
        <f>IF(K322&gt;=capacity_mwh-0.01,"yes","no")</f>
        <v/>
      </c>
      <c r="M322" s="28">
        <f>IF(C322="aFRR+",(MIN(DAMAS_Daily!C322*market_share_D*acceptance_rate*stack_activation,power_mw*hours_per_day,capacity_mwh))*DAMAS_Daily!E322*activation_mult_D,(MIN(DAMAS_Daily!D322*market_share_D*acceptance_rate*stack_activation,power_mw*hours_per_day,capacity_mwh))*DAMAS_Daily!F322*activation_mult_D)</f>
        <v/>
      </c>
      <c r="N322" s="29">
        <f>F322+M322</f>
        <v/>
      </c>
    </row>
    <row r="323">
      <c r="A323" s="41">
        <f>DAMAS_Daily!A323</f>
        <v/>
      </c>
      <c r="B323" s="42">
        <f>DAMAS_Daily!B323</f>
        <v/>
      </c>
      <c r="C323" s="42">
        <f>IF((power_mw*hours_per_day*damas_afrr_up*capacity_mult_D*stack_capacity*acceptance_rate+(MIN(DAMAS_Daily!C323*market_share_D*acceptance_rate*stack_activation,power_mw*hours_per_day,capacity_mwh))*DAMAS_Daily!E323*activation_mult_D)&gt;=(power_mw*hours_per_day*damas_afrr_down*capacity_mult_D*stack_capacity*acceptance_rate+(MIN(DAMAS_Daily!D323*market_share_D*acceptance_rate*stack_activation,power_mw*hours_per_day,capacity_mwh))*DAMAS_Daily!F323*activation_mult_D),"aFRR+","aFRR-")</f>
        <v/>
      </c>
      <c r="D323" s="43">
        <f>IF(C323="aFRR+",damas_afrr_up*capacity_mult_D,damas_afrr_down*capacity_mult_D)</f>
        <v/>
      </c>
      <c r="E323" s="44">
        <f>acceptance_rate</f>
        <v/>
      </c>
      <c r="F323" s="28">
        <f>IF(C323="aFRR+",power_mw*hours_per_day*damas_afrr_up*capacity_mult_D*stack_capacity*acceptance_rate,power_mw*hours_per_day*damas_afrr_down*capacity_mult_D*stack_capacity*acceptance_rate)</f>
        <v/>
      </c>
      <c r="G323" s="42">
        <f>IF(C323="aFRR+",DAMAS_Daily!I323,DAMAS_Daily!J323)</f>
        <v/>
      </c>
      <c r="H323" s="43">
        <f>IF(C323="aFRR+",DAMAS_Daily!E323,DAMAS_Daily!F323)</f>
        <v/>
      </c>
      <c r="I323" s="43">
        <f>IF(C323="aFRR+",DAMAS_Daily!G323,DAMAS_Daily!H323)</f>
        <v/>
      </c>
      <c r="J323" s="45">
        <f>IF(C323="aFRR+",DAMAS_Daily!C323,DAMAS_Daily!D323)</f>
        <v/>
      </c>
      <c r="K323" s="45">
        <f>IF(C323="aFRR+",MIN(DAMAS_Daily!C323*market_share_D*acceptance_rate*stack_activation,power_mw*hours_per_day,capacity_mwh),MIN(DAMAS_Daily!D323*market_share_D*acceptance_rate*stack_activation,power_mw*hours_per_day,capacity_mwh))</f>
        <v/>
      </c>
      <c r="L323" s="42">
        <f>IF(K323&gt;=capacity_mwh-0.01,"yes","no")</f>
        <v/>
      </c>
      <c r="M323" s="28">
        <f>IF(C323="aFRR+",(MIN(DAMAS_Daily!C323*market_share_D*acceptance_rate*stack_activation,power_mw*hours_per_day,capacity_mwh))*DAMAS_Daily!E323*activation_mult_D,(MIN(DAMAS_Daily!D323*market_share_D*acceptance_rate*stack_activation,power_mw*hours_per_day,capacity_mwh))*DAMAS_Daily!F323*activation_mult_D)</f>
        <v/>
      </c>
      <c r="N323" s="29">
        <f>F323+M323</f>
        <v/>
      </c>
    </row>
    <row r="324">
      <c r="A324" s="41">
        <f>DAMAS_Daily!A324</f>
        <v/>
      </c>
      <c r="B324" s="42">
        <f>DAMAS_Daily!B324</f>
        <v/>
      </c>
      <c r="C324" s="42">
        <f>IF((power_mw*hours_per_day*damas_afrr_up*capacity_mult_D*stack_capacity*acceptance_rate+(MIN(DAMAS_Daily!C324*market_share_D*acceptance_rate*stack_activation,power_mw*hours_per_day,capacity_mwh))*DAMAS_Daily!E324*activation_mult_D)&gt;=(power_mw*hours_per_day*damas_afrr_down*capacity_mult_D*stack_capacity*acceptance_rate+(MIN(DAMAS_Daily!D324*market_share_D*acceptance_rate*stack_activation,power_mw*hours_per_day,capacity_mwh))*DAMAS_Daily!F324*activation_mult_D),"aFRR+","aFRR-")</f>
        <v/>
      </c>
      <c r="D324" s="43">
        <f>IF(C324="aFRR+",damas_afrr_up*capacity_mult_D,damas_afrr_down*capacity_mult_D)</f>
        <v/>
      </c>
      <c r="E324" s="44">
        <f>acceptance_rate</f>
        <v/>
      </c>
      <c r="F324" s="28">
        <f>IF(C324="aFRR+",power_mw*hours_per_day*damas_afrr_up*capacity_mult_D*stack_capacity*acceptance_rate,power_mw*hours_per_day*damas_afrr_down*capacity_mult_D*stack_capacity*acceptance_rate)</f>
        <v/>
      </c>
      <c r="G324" s="42">
        <f>IF(C324="aFRR+",DAMAS_Daily!I324,DAMAS_Daily!J324)</f>
        <v/>
      </c>
      <c r="H324" s="43">
        <f>IF(C324="aFRR+",DAMAS_Daily!E324,DAMAS_Daily!F324)</f>
        <v/>
      </c>
      <c r="I324" s="43">
        <f>IF(C324="aFRR+",DAMAS_Daily!G324,DAMAS_Daily!H324)</f>
        <v/>
      </c>
      <c r="J324" s="45">
        <f>IF(C324="aFRR+",DAMAS_Daily!C324,DAMAS_Daily!D324)</f>
        <v/>
      </c>
      <c r="K324" s="45">
        <f>IF(C324="aFRR+",MIN(DAMAS_Daily!C324*market_share_D*acceptance_rate*stack_activation,power_mw*hours_per_day,capacity_mwh),MIN(DAMAS_Daily!D324*market_share_D*acceptance_rate*stack_activation,power_mw*hours_per_day,capacity_mwh))</f>
        <v/>
      </c>
      <c r="L324" s="42">
        <f>IF(K324&gt;=capacity_mwh-0.01,"yes","no")</f>
        <v/>
      </c>
      <c r="M324" s="28">
        <f>IF(C324="aFRR+",(MIN(DAMAS_Daily!C324*market_share_D*acceptance_rate*stack_activation,power_mw*hours_per_day,capacity_mwh))*DAMAS_Daily!E324*activation_mult_D,(MIN(DAMAS_Daily!D324*market_share_D*acceptance_rate*stack_activation,power_mw*hours_per_day,capacity_mwh))*DAMAS_Daily!F324*activation_mult_D)</f>
        <v/>
      </c>
      <c r="N324" s="29">
        <f>F324+M324</f>
        <v/>
      </c>
    </row>
    <row r="325">
      <c r="A325" s="41">
        <f>DAMAS_Daily!A325</f>
        <v/>
      </c>
      <c r="B325" s="42">
        <f>DAMAS_Daily!B325</f>
        <v/>
      </c>
      <c r="C325" s="42">
        <f>IF((power_mw*hours_per_day*damas_afrr_up*capacity_mult_D*stack_capacity*acceptance_rate+(MIN(DAMAS_Daily!C325*market_share_D*acceptance_rate*stack_activation,power_mw*hours_per_day,capacity_mwh))*DAMAS_Daily!E325*activation_mult_D)&gt;=(power_mw*hours_per_day*damas_afrr_down*capacity_mult_D*stack_capacity*acceptance_rate+(MIN(DAMAS_Daily!D325*market_share_D*acceptance_rate*stack_activation,power_mw*hours_per_day,capacity_mwh))*DAMAS_Daily!F325*activation_mult_D),"aFRR+","aFRR-")</f>
        <v/>
      </c>
      <c r="D325" s="43">
        <f>IF(C325="aFRR+",damas_afrr_up*capacity_mult_D,damas_afrr_down*capacity_mult_D)</f>
        <v/>
      </c>
      <c r="E325" s="44">
        <f>acceptance_rate</f>
        <v/>
      </c>
      <c r="F325" s="28">
        <f>IF(C325="aFRR+",power_mw*hours_per_day*damas_afrr_up*capacity_mult_D*stack_capacity*acceptance_rate,power_mw*hours_per_day*damas_afrr_down*capacity_mult_D*stack_capacity*acceptance_rate)</f>
        <v/>
      </c>
      <c r="G325" s="42">
        <f>IF(C325="aFRR+",DAMAS_Daily!I325,DAMAS_Daily!J325)</f>
        <v/>
      </c>
      <c r="H325" s="43">
        <f>IF(C325="aFRR+",DAMAS_Daily!E325,DAMAS_Daily!F325)</f>
        <v/>
      </c>
      <c r="I325" s="43">
        <f>IF(C325="aFRR+",DAMAS_Daily!G325,DAMAS_Daily!H325)</f>
        <v/>
      </c>
      <c r="J325" s="45">
        <f>IF(C325="aFRR+",DAMAS_Daily!C325,DAMAS_Daily!D325)</f>
        <v/>
      </c>
      <c r="K325" s="45">
        <f>IF(C325="aFRR+",MIN(DAMAS_Daily!C325*market_share_D*acceptance_rate*stack_activation,power_mw*hours_per_day,capacity_mwh),MIN(DAMAS_Daily!D325*market_share_D*acceptance_rate*stack_activation,power_mw*hours_per_day,capacity_mwh))</f>
        <v/>
      </c>
      <c r="L325" s="42">
        <f>IF(K325&gt;=capacity_mwh-0.01,"yes","no")</f>
        <v/>
      </c>
      <c r="M325" s="28">
        <f>IF(C325="aFRR+",(MIN(DAMAS_Daily!C325*market_share_D*acceptance_rate*stack_activation,power_mw*hours_per_day,capacity_mwh))*DAMAS_Daily!E325*activation_mult_D,(MIN(DAMAS_Daily!D325*market_share_D*acceptance_rate*stack_activation,power_mw*hours_per_day,capacity_mwh))*DAMAS_Daily!F325*activation_mult_D)</f>
        <v/>
      </c>
      <c r="N325" s="29">
        <f>F325+M325</f>
        <v/>
      </c>
    </row>
    <row r="326">
      <c r="A326" s="41">
        <f>DAMAS_Daily!A326</f>
        <v/>
      </c>
      <c r="B326" s="42">
        <f>DAMAS_Daily!B326</f>
        <v/>
      </c>
      <c r="C326" s="42">
        <f>IF((power_mw*hours_per_day*damas_afrr_up*capacity_mult_D*stack_capacity*acceptance_rate+(MIN(DAMAS_Daily!C326*market_share_D*acceptance_rate*stack_activation,power_mw*hours_per_day,capacity_mwh))*DAMAS_Daily!E326*activation_mult_D)&gt;=(power_mw*hours_per_day*damas_afrr_down*capacity_mult_D*stack_capacity*acceptance_rate+(MIN(DAMAS_Daily!D326*market_share_D*acceptance_rate*stack_activation,power_mw*hours_per_day,capacity_mwh))*DAMAS_Daily!F326*activation_mult_D),"aFRR+","aFRR-")</f>
        <v/>
      </c>
      <c r="D326" s="43">
        <f>IF(C326="aFRR+",damas_afrr_up*capacity_mult_D,damas_afrr_down*capacity_mult_D)</f>
        <v/>
      </c>
      <c r="E326" s="44">
        <f>acceptance_rate</f>
        <v/>
      </c>
      <c r="F326" s="28">
        <f>IF(C326="aFRR+",power_mw*hours_per_day*damas_afrr_up*capacity_mult_D*stack_capacity*acceptance_rate,power_mw*hours_per_day*damas_afrr_down*capacity_mult_D*stack_capacity*acceptance_rate)</f>
        <v/>
      </c>
      <c r="G326" s="42">
        <f>IF(C326="aFRR+",DAMAS_Daily!I326,DAMAS_Daily!J326)</f>
        <v/>
      </c>
      <c r="H326" s="43">
        <f>IF(C326="aFRR+",DAMAS_Daily!E326,DAMAS_Daily!F326)</f>
        <v/>
      </c>
      <c r="I326" s="43">
        <f>IF(C326="aFRR+",DAMAS_Daily!G326,DAMAS_Daily!H326)</f>
        <v/>
      </c>
      <c r="J326" s="45">
        <f>IF(C326="aFRR+",DAMAS_Daily!C326,DAMAS_Daily!D326)</f>
        <v/>
      </c>
      <c r="K326" s="45">
        <f>IF(C326="aFRR+",MIN(DAMAS_Daily!C326*market_share_D*acceptance_rate*stack_activation,power_mw*hours_per_day,capacity_mwh),MIN(DAMAS_Daily!D326*market_share_D*acceptance_rate*stack_activation,power_mw*hours_per_day,capacity_mwh))</f>
        <v/>
      </c>
      <c r="L326" s="42">
        <f>IF(K326&gt;=capacity_mwh-0.01,"yes","no")</f>
        <v/>
      </c>
      <c r="M326" s="28">
        <f>IF(C326="aFRR+",(MIN(DAMAS_Daily!C326*market_share_D*acceptance_rate*stack_activation,power_mw*hours_per_day,capacity_mwh))*DAMAS_Daily!E326*activation_mult_D,(MIN(DAMAS_Daily!D326*market_share_D*acceptance_rate*stack_activation,power_mw*hours_per_day,capacity_mwh))*DAMAS_Daily!F326*activation_mult_D)</f>
        <v/>
      </c>
      <c r="N326" s="29">
        <f>F326+M326</f>
        <v/>
      </c>
    </row>
    <row r="327">
      <c r="A327" s="41">
        <f>DAMAS_Daily!A327</f>
        <v/>
      </c>
      <c r="B327" s="42">
        <f>DAMAS_Daily!B327</f>
        <v/>
      </c>
      <c r="C327" s="42">
        <f>IF((power_mw*hours_per_day*damas_afrr_up*capacity_mult_D*stack_capacity*acceptance_rate+(MIN(DAMAS_Daily!C327*market_share_D*acceptance_rate*stack_activation,power_mw*hours_per_day,capacity_mwh))*DAMAS_Daily!E327*activation_mult_D)&gt;=(power_mw*hours_per_day*damas_afrr_down*capacity_mult_D*stack_capacity*acceptance_rate+(MIN(DAMAS_Daily!D327*market_share_D*acceptance_rate*stack_activation,power_mw*hours_per_day,capacity_mwh))*DAMAS_Daily!F327*activation_mult_D),"aFRR+","aFRR-")</f>
        <v/>
      </c>
      <c r="D327" s="43">
        <f>IF(C327="aFRR+",damas_afrr_up*capacity_mult_D,damas_afrr_down*capacity_mult_D)</f>
        <v/>
      </c>
      <c r="E327" s="44">
        <f>acceptance_rate</f>
        <v/>
      </c>
      <c r="F327" s="28">
        <f>IF(C327="aFRR+",power_mw*hours_per_day*damas_afrr_up*capacity_mult_D*stack_capacity*acceptance_rate,power_mw*hours_per_day*damas_afrr_down*capacity_mult_D*stack_capacity*acceptance_rate)</f>
        <v/>
      </c>
      <c r="G327" s="42">
        <f>IF(C327="aFRR+",DAMAS_Daily!I327,DAMAS_Daily!J327)</f>
        <v/>
      </c>
      <c r="H327" s="43">
        <f>IF(C327="aFRR+",DAMAS_Daily!E327,DAMAS_Daily!F327)</f>
        <v/>
      </c>
      <c r="I327" s="43">
        <f>IF(C327="aFRR+",DAMAS_Daily!G327,DAMAS_Daily!H327)</f>
        <v/>
      </c>
      <c r="J327" s="45">
        <f>IF(C327="aFRR+",DAMAS_Daily!C327,DAMAS_Daily!D327)</f>
        <v/>
      </c>
      <c r="K327" s="45">
        <f>IF(C327="aFRR+",MIN(DAMAS_Daily!C327*market_share_D*acceptance_rate*stack_activation,power_mw*hours_per_day,capacity_mwh),MIN(DAMAS_Daily!D327*market_share_D*acceptance_rate*stack_activation,power_mw*hours_per_day,capacity_mwh))</f>
        <v/>
      </c>
      <c r="L327" s="42">
        <f>IF(K327&gt;=capacity_mwh-0.01,"yes","no")</f>
        <v/>
      </c>
      <c r="M327" s="28">
        <f>IF(C327="aFRR+",(MIN(DAMAS_Daily!C327*market_share_D*acceptance_rate*stack_activation,power_mw*hours_per_day,capacity_mwh))*DAMAS_Daily!E327*activation_mult_D,(MIN(DAMAS_Daily!D327*market_share_D*acceptance_rate*stack_activation,power_mw*hours_per_day,capacity_mwh))*DAMAS_Daily!F327*activation_mult_D)</f>
        <v/>
      </c>
      <c r="N327" s="29">
        <f>F327+M327</f>
        <v/>
      </c>
    </row>
    <row r="328">
      <c r="A328" s="41">
        <f>DAMAS_Daily!A328</f>
        <v/>
      </c>
      <c r="B328" s="42">
        <f>DAMAS_Daily!B328</f>
        <v/>
      </c>
      <c r="C328" s="42">
        <f>IF((power_mw*hours_per_day*damas_afrr_up*capacity_mult_D*stack_capacity*acceptance_rate+(MIN(DAMAS_Daily!C328*market_share_D*acceptance_rate*stack_activation,power_mw*hours_per_day,capacity_mwh))*DAMAS_Daily!E328*activation_mult_D)&gt;=(power_mw*hours_per_day*damas_afrr_down*capacity_mult_D*stack_capacity*acceptance_rate+(MIN(DAMAS_Daily!D328*market_share_D*acceptance_rate*stack_activation,power_mw*hours_per_day,capacity_mwh))*DAMAS_Daily!F328*activation_mult_D),"aFRR+","aFRR-")</f>
        <v/>
      </c>
      <c r="D328" s="43">
        <f>IF(C328="aFRR+",damas_afrr_up*capacity_mult_D,damas_afrr_down*capacity_mult_D)</f>
        <v/>
      </c>
      <c r="E328" s="44">
        <f>acceptance_rate</f>
        <v/>
      </c>
      <c r="F328" s="28">
        <f>IF(C328="aFRR+",power_mw*hours_per_day*damas_afrr_up*capacity_mult_D*stack_capacity*acceptance_rate,power_mw*hours_per_day*damas_afrr_down*capacity_mult_D*stack_capacity*acceptance_rate)</f>
        <v/>
      </c>
      <c r="G328" s="42">
        <f>IF(C328="aFRR+",DAMAS_Daily!I328,DAMAS_Daily!J328)</f>
        <v/>
      </c>
      <c r="H328" s="43">
        <f>IF(C328="aFRR+",DAMAS_Daily!E328,DAMAS_Daily!F328)</f>
        <v/>
      </c>
      <c r="I328" s="43">
        <f>IF(C328="aFRR+",DAMAS_Daily!G328,DAMAS_Daily!H328)</f>
        <v/>
      </c>
      <c r="J328" s="45">
        <f>IF(C328="aFRR+",DAMAS_Daily!C328,DAMAS_Daily!D328)</f>
        <v/>
      </c>
      <c r="K328" s="45">
        <f>IF(C328="aFRR+",MIN(DAMAS_Daily!C328*market_share_D*acceptance_rate*stack_activation,power_mw*hours_per_day,capacity_mwh),MIN(DAMAS_Daily!D328*market_share_D*acceptance_rate*stack_activation,power_mw*hours_per_day,capacity_mwh))</f>
        <v/>
      </c>
      <c r="L328" s="42">
        <f>IF(K328&gt;=capacity_mwh-0.01,"yes","no")</f>
        <v/>
      </c>
      <c r="M328" s="28">
        <f>IF(C328="aFRR+",(MIN(DAMAS_Daily!C328*market_share_D*acceptance_rate*stack_activation,power_mw*hours_per_day,capacity_mwh))*DAMAS_Daily!E328*activation_mult_D,(MIN(DAMAS_Daily!D328*market_share_D*acceptance_rate*stack_activation,power_mw*hours_per_day,capacity_mwh))*DAMAS_Daily!F328*activation_mult_D)</f>
        <v/>
      </c>
      <c r="N328" s="29">
        <f>F328+M328</f>
        <v/>
      </c>
    </row>
    <row r="329">
      <c r="A329" s="41">
        <f>DAMAS_Daily!A329</f>
        <v/>
      </c>
      <c r="B329" s="42">
        <f>DAMAS_Daily!B329</f>
        <v/>
      </c>
      <c r="C329" s="42">
        <f>IF((power_mw*hours_per_day*damas_afrr_up*capacity_mult_D*stack_capacity*acceptance_rate+(MIN(DAMAS_Daily!C329*market_share_D*acceptance_rate*stack_activation,power_mw*hours_per_day,capacity_mwh))*DAMAS_Daily!E329*activation_mult_D)&gt;=(power_mw*hours_per_day*damas_afrr_down*capacity_mult_D*stack_capacity*acceptance_rate+(MIN(DAMAS_Daily!D329*market_share_D*acceptance_rate*stack_activation,power_mw*hours_per_day,capacity_mwh))*DAMAS_Daily!F329*activation_mult_D),"aFRR+","aFRR-")</f>
        <v/>
      </c>
      <c r="D329" s="43">
        <f>IF(C329="aFRR+",damas_afrr_up*capacity_mult_D,damas_afrr_down*capacity_mult_D)</f>
        <v/>
      </c>
      <c r="E329" s="44">
        <f>acceptance_rate</f>
        <v/>
      </c>
      <c r="F329" s="28">
        <f>IF(C329="aFRR+",power_mw*hours_per_day*damas_afrr_up*capacity_mult_D*stack_capacity*acceptance_rate,power_mw*hours_per_day*damas_afrr_down*capacity_mult_D*stack_capacity*acceptance_rate)</f>
        <v/>
      </c>
      <c r="G329" s="42">
        <f>IF(C329="aFRR+",DAMAS_Daily!I329,DAMAS_Daily!J329)</f>
        <v/>
      </c>
      <c r="H329" s="43">
        <f>IF(C329="aFRR+",DAMAS_Daily!E329,DAMAS_Daily!F329)</f>
        <v/>
      </c>
      <c r="I329" s="43">
        <f>IF(C329="aFRR+",DAMAS_Daily!G329,DAMAS_Daily!H329)</f>
        <v/>
      </c>
      <c r="J329" s="45">
        <f>IF(C329="aFRR+",DAMAS_Daily!C329,DAMAS_Daily!D329)</f>
        <v/>
      </c>
      <c r="K329" s="45">
        <f>IF(C329="aFRR+",MIN(DAMAS_Daily!C329*market_share_D*acceptance_rate*stack_activation,power_mw*hours_per_day,capacity_mwh),MIN(DAMAS_Daily!D329*market_share_D*acceptance_rate*stack_activation,power_mw*hours_per_day,capacity_mwh))</f>
        <v/>
      </c>
      <c r="L329" s="42">
        <f>IF(K329&gt;=capacity_mwh-0.01,"yes","no")</f>
        <v/>
      </c>
      <c r="M329" s="28">
        <f>IF(C329="aFRR+",(MIN(DAMAS_Daily!C329*market_share_D*acceptance_rate*stack_activation,power_mw*hours_per_day,capacity_mwh))*DAMAS_Daily!E329*activation_mult_D,(MIN(DAMAS_Daily!D329*market_share_D*acceptance_rate*stack_activation,power_mw*hours_per_day,capacity_mwh))*DAMAS_Daily!F329*activation_mult_D)</f>
        <v/>
      </c>
      <c r="N329" s="29">
        <f>F329+M329</f>
        <v/>
      </c>
    </row>
    <row r="330">
      <c r="A330" s="41">
        <f>DAMAS_Daily!A330</f>
        <v/>
      </c>
      <c r="B330" s="42">
        <f>DAMAS_Daily!B330</f>
        <v/>
      </c>
      <c r="C330" s="42">
        <f>IF((power_mw*hours_per_day*damas_afrr_up*capacity_mult_D*stack_capacity*acceptance_rate+(MIN(DAMAS_Daily!C330*market_share_D*acceptance_rate*stack_activation,power_mw*hours_per_day,capacity_mwh))*DAMAS_Daily!E330*activation_mult_D)&gt;=(power_mw*hours_per_day*damas_afrr_down*capacity_mult_D*stack_capacity*acceptance_rate+(MIN(DAMAS_Daily!D330*market_share_D*acceptance_rate*stack_activation,power_mw*hours_per_day,capacity_mwh))*DAMAS_Daily!F330*activation_mult_D),"aFRR+","aFRR-")</f>
        <v/>
      </c>
      <c r="D330" s="43">
        <f>IF(C330="aFRR+",damas_afrr_up*capacity_mult_D,damas_afrr_down*capacity_mult_D)</f>
        <v/>
      </c>
      <c r="E330" s="44">
        <f>acceptance_rate</f>
        <v/>
      </c>
      <c r="F330" s="28">
        <f>IF(C330="aFRR+",power_mw*hours_per_day*damas_afrr_up*capacity_mult_D*stack_capacity*acceptance_rate,power_mw*hours_per_day*damas_afrr_down*capacity_mult_D*stack_capacity*acceptance_rate)</f>
        <v/>
      </c>
      <c r="G330" s="42">
        <f>IF(C330="aFRR+",DAMAS_Daily!I330,DAMAS_Daily!J330)</f>
        <v/>
      </c>
      <c r="H330" s="43">
        <f>IF(C330="aFRR+",DAMAS_Daily!E330,DAMAS_Daily!F330)</f>
        <v/>
      </c>
      <c r="I330" s="43">
        <f>IF(C330="aFRR+",DAMAS_Daily!G330,DAMAS_Daily!H330)</f>
        <v/>
      </c>
      <c r="J330" s="45">
        <f>IF(C330="aFRR+",DAMAS_Daily!C330,DAMAS_Daily!D330)</f>
        <v/>
      </c>
      <c r="K330" s="45">
        <f>IF(C330="aFRR+",MIN(DAMAS_Daily!C330*market_share_D*acceptance_rate*stack_activation,power_mw*hours_per_day,capacity_mwh),MIN(DAMAS_Daily!D330*market_share_D*acceptance_rate*stack_activation,power_mw*hours_per_day,capacity_mwh))</f>
        <v/>
      </c>
      <c r="L330" s="42">
        <f>IF(K330&gt;=capacity_mwh-0.01,"yes","no")</f>
        <v/>
      </c>
      <c r="M330" s="28">
        <f>IF(C330="aFRR+",(MIN(DAMAS_Daily!C330*market_share_D*acceptance_rate*stack_activation,power_mw*hours_per_day,capacity_mwh))*DAMAS_Daily!E330*activation_mult_D,(MIN(DAMAS_Daily!D330*market_share_D*acceptance_rate*stack_activation,power_mw*hours_per_day,capacity_mwh))*DAMAS_Daily!F330*activation_mult_D)</f>
        <v/>
      </c>
      <c r="N330" s="29">
        <f>F330+M330</f>
        <v/>
      </c>
    </row>
    <row r="331">
      <c r="A331" s="41">
        <f>DAMAS_Daily!A331</f>
        <v/>
      </c>
      <c r="B331" s="42">
        <f>DAMAS_Daily!B331</f>
        <v/>
      </c>
      <c r="C331" s="42">
        <f>IF((power_mw*hours_per_day*damas_afrr_up*capacity_mult_D*stack_capacity*acceptance_rate+(MIN(DAMAS_Daily!C331*market_share_D*acceptance_rate*stack_activation,power_mw*hours_per_day,capacity_mwh))*DAMAS_Daily!E331*activation_mult_D)&gt;=(power_mw*hours_per_day*damas_afrr_down*capacity_mult_D*stack_capacity*acceptance_rate+(MIN(DAMAS_Daily!D331*market_share_D*acceptance_rate*stack_activation,power_mw*hours_per_day,capacity_mwh))*DAMAS_Daily!F331*activation_mult_D),"aFRR+","aFRR-")</f>
        <v/>
      </c>
      <c r="D331" s="43">
        <f>IF(C331="aFRR+",damas_afrr_up*capacity_mult_D,damas_afrr_down*capacity_mult_D)</f>
        <v/>
      </c>
      <c r="E331" s="44">
        <f>acceptance_rate</f>
        <v/>
      </c>
      <c r="F331" s="28">
        <f>IF(C331="aFRR+",power_mw*hours_per_day*damas_afrr_up*capacity_mult_D*stack_capacity*acceptance_rate,power_mw*hours_per_day*damas_afrr_down*capacity_mult_D*stack_capacity*acceptance_rate)</f>
        <v/>
      </c>
      <c r="G331" s="42">
        <f>IF(C331="aFRR+",DAMAS_Daily!I331,DAMAS_Daily!J331)</f>
        <v/>
      </c>
      <c r="H331" s="43">
        <f>IF(C331="aFRR+",DAMAS_Daily!E331,DAMAS_Daily!F331)</f>
        <v/>
      </c>
      <c r="I331" s="43">
        <f>IF(C331="aFRR+",DAMAS_Daily!G331,DAMAS_Daily!H331)</f>
        <v/>
      </c>
      <c r="J331" s="45">
        <f>IF(C331="aFRR+",DAMAS_Daily!C331,DAMAS_Daily!D331)</f>
        <v/>
      </c>
      <c r="K331" s="45">
        <f>IF(C331="aFRR+",MIN(DAMAS_Daily!C331*market_share_D*acceptance_rate*stack_activation,power_mw*hours_per_day,capacity_mwh),MIN(DAMAS_Daily!D331*market_share_D*acceptance_rate*stack_activation,power_mw*hours_per_day,capacity_mwh))</f>
        <v/>
      </c>
      <c r="L331" s="42">
        <f>IF(K331&gt;=capacity_mwh-0.01,"yes","no")</f>
        <v/>
      </c>
      <c r="M331" s="28">
        <f>IF(C331="aFRR+",(MIN(DAMAS_Daily!C331*market_share_D*acceptance_rate*stack_activation,power_mw*hours_per_day,capacity_mwh))*DAMAS_Daily!E331*activation_mult_D,(MIN(DAMAS_Daily!D331*market_share_D*acceptance_rate*stack_activation,power_mw*hours_per_day,capacity_mwh))*DAMAS_Daily!F331*activation_mult_D)</f>
        <v/>
      </c>
      <c r="N331" s="29">
        <f>F331+M331</f>
        <v/>
      </c>
    </row>
    <row r="332">
      <c r="A332" s="41">
        <f>DAMAS_Daily!A332</f>
        <v/>
      </c>
      <c r="B332" s="42">
        <f>DAMAS_Daily!B332</f>
        <v/>
      </c>
      <c r="C332" s="42">
        <f>IF((power_mw*hours_per_day*damas_afrr_up*capacity_mult_D*stack_capacity*acceptance_rate+(MIN(DAMAS_Daily!C332*market_share_D*acceptance_rate*stack_activation,power_mw*hours_per_day,capacity_mwh))*DAMAS_Daily!E332*activation_mult_D)&gt;=(power_mw*hours_per_day*damas_afrr_down*capacity_mult_D*stack_capacity*acceptance_rate+(MIN(DAMAS_Daily!D332*market_share_D*acceptance_rate*stack_activation,power_mw*hours_per_day,capacity_mwh))*DAMAS_Daily!F332*activation_mult_D),"aFRR+","aFRR-")</f>
        <v/>
      </c>
      <c r="D332" s="43">
        <f>IF(C332="aFRR+",damas_afrr_up*capacity_mult_D,damas_afrr_down*capacity_mult_D)</f>
        <v/>
      </c>
      <c r="E332" s="44">
        <f>acceptance_rate</f>
        <v/>
      </c>
      <c r="F332" s="28">
        <f>IF(C332="aFRR+",power_mw*hours_per_day*damas_afrr_up*capacity_mult_D*stack_capacity*acceptance_rate,power_mw*hours_per_day*damas_afrr_down*capacity_mult_D*stack_capacity*acceptance_rate)</f>
        <v/>
      </c>
      <c r="G332" s="42">
        <f>IF(C332="aFRR+",DAMAS_Daily!I332,DAMAS_Daily!J332)</f>
        <v/>
      </c>
      <c r="H332" s="43">
        <f>IF(C332="aFRR+",DAMAS_Daily!E332,DAMAS_Daily!F332)</f>
        <v/>
      </c>
      <c r="I332" s="43">
        <f>IF(C332="aFRR+",DAMAS_Daily!G332,DAMAS_Daily!H332)</f>
        <v/>
      </c>
      <c r="J332" s="45">
        <f>IF(C332="aFRR+",DAMAS_Daily!C332,DAMAS_Daily!D332)</f>
        <v/>
      </c>
      <c r="K332" s="45">
        <f>IF(C332="aFRR+",MIN(DAMAS_Daily!C332*market_share_D*acceptance_rate*stack_activation,power_mw*hours_per_day,capacity_mwh),MIN(DAMAS_Daily!D332*market_share_D*acceptance_rate*stack_activation,power_mw*hours_per_day,capacity_mwh))</f>
        <v/>
      </c>
      <c r="L332" s="42">
        <f>IF(K332&gt;=capacity_mwh-0.01,"yes","no")</f>
        <v/>
      </c>
      <c r="M332" s="28">
        <f>IF(C332="aFRR+",(MIN(DAMAS_Daily!C332*market_share_D*acceptance_rate*stack_activation,power_mw*hours_per_day,capacity_mwh))*DAMAS_Daily!E332*activation_mult_D,(MIN(DAMAS_Daily!D332*market_share_D*acceptance_rate*stack_activation,power_mw*hours_per_day,capacity_mwh))*DAMAS_Daily!F332*activation_mult_D)</f>
        <v/>
      </c>
      <c r="N332" s="29">
        <f>F332+M332</f>
        <v/>
      </c>
    </row>
    <row r="333">
      <c r="A333" s="41">
        <f>DAMAS_Daily!A333</f>
        <v/>
      </c>
      <c r="B333" s="42">
        <f>DAMAS_Daily!B333</f>
        <v/>
      </c>
      <c r="C333" s="42">
        <f>IF((power_mw*hours_per_day*damas_afrr_up*capacity_mult_D*stack_capacity*acceptance_rate+(MIN(DAMAS_Daily!C333*market_share_D*acceptance_rate*stack_activation,power_mw*hours_per_day,capacity_mwh))*DAMAS_Daily!E333*activation_mult_D)&gt;=(power_mw*hours_per_day*damas_afrr_down*capacity_mult_D*stack_capacity*acceptance_rate+(MIN(DAMAS_Daily!D333*market_share_D*acceptance_rate*stack_activation,power_mw*hours_per_day,capacity_mwh))*DAMAS_Daily!F333*activation_mult_D),"aFRR+","aFRR-")</f>
        <v/>
      </c>
      <c r="D333" s="43">
        <f>IF(C333="aFRR+",damas_afrr_up*capacity_mult_D,damas_afrr_down*capacity_mult_D)</f>
        <v/>
      </c>
      <c r="E333" s="44">
        <f>acceptance_rate</f>
        <v/>
      </c>
      <c r="F333" s="28">
        <f>IF(C333="aFRR+",power_mw*hours_per_day*damas_afrr_up*capacity_mult_D*stack_capacity*acceptance_rate,power_mw*hours_per_day*damas_afrr_down*capacity_mult_D*stack_capacity*acceptance_rate)</f>
        <v/>
      </c>
      <c r="G333" s="42">
        <f>IF(C333="aFRR+",DAMAS_Daily!I333,DAMAS_Daily!J333)</f>
        <v/>
      </c>
      <c r="H333" s="43">
        <f>IF(C333="aFRR+",DAMAS_Daily!E333,DAMAS_Daily!F333)</f>
        <v/>
      </c>
      <c r="I333" s="43">
        <f>IF(C333="aFRR+",DAMAS_Daily!G333,DAMAS_Daily!H333)</f>
        <v/>
      </c>
      <c r="J333" s="45">
        <f>IF(C333="aFRR+",DAMAS_Daily!C333,DAMAS_Daily!D333)</f>
        <v/>
      </c>
      <c r="K333" s="45">
        <f>IF(C333="aFRR+",MIN(DAMAS_Daily!C333*market_share_D*acceptance_rate*stack_activation,power_mw*hours_per_day,capacity_mwh),MIN(DAMAS_Daily!D333*market_share_D*acceptance_rate*stack_activation,power_mw*hours_per_day,capacity_mwh))</f>
        <v/>
      </c>
      <c r="L333" s="42">
        <f>IF(K333&gt;=capacity_mwh-0.01,"yes","no")</f>
        <v/>
      </c>
      <c r="M333" s="28">
        <f>IF(C333="aFRR+",(MIN(DAMAS_Daily!C333*market_share_D*acceptance_rate*stack_activation,power_mw*hours_per_day,capacity_mwh))*DAMAS_Daily!E333*activation_mult_D,(MIN(DAMAS_Daily!D333*market_share_D*acceptance_rate*stack_activation,power_mw*hours_per_day,capacity_mwh))*DAMAS_Daily!F333*activation_mult_D)</f>
        <v/>
      </c>
      <c r="N333" s="29">
        <f>F333+M333</f>
        <v/>
      </c>
    </row>
    <row r="334">
      <c r="A334" s="41">
        <f>DAMAS_Daily!A334</f>
        <v/>
      </c>
      <c r="B334" s="42">
        <f>DAMAS_Daily!B334</f>
        <v/>
      </c>
      <c r="C334" s="42">
        <f>IF((power_mw*hours_per_day*damas_afrr_up*capacity_mult_D*stack_capacity*acceptance_rate+(MIN(DAMAS_Daily!C334*market_share_D*acceptance_rate*stack_activation,power_mw*hours_per_day,capacity_mwh))*DAMAS_Daily!E334*activation_mult_D)&gt;=(power_mw*hours_per_day*damas_afrr_down*capacity_mult_D*stack_capacity*acceptance_rate+(MIN(DAMAS_Daily!D334*market_share_D*acceptance_rate*stack_activation,power_mw*hours_per_day,capacity_mwh))*DAMAS_Daily!F334*activation_mult_D),"aFRR+","aFRR-")</f>
        <v/>
      </c>
      <c r="D334" s="43">
        <f>IF(C334="aFRR+",damas_afrr_up*capacity_mult_D,damas_afrr_down*capacity_mult_D)</f>
        <v/>
      </c>
      <c r="E334" s="44">
        <f>acceptance_rate</f>
        <v/>
      </c>
      <c r="F334" s="28">
        <f>IF(C334="aFRR+",power_mw*hours_per_day*damas_afrr_up*capacity_mult_D*stack_capacity*acceptance_rate,power_mw*hours_per_day*damas_afrr_down*capacity_mult_D*stack_capacity*acceptance_rate)</f>
        <v/>
      </c>
      <c r="G334" s="42">
        <f>IF(C334="aFRR+",DAMAS_Daily!I334,DAMAS_Daily!J334)</f>
        <v/>
      </c>
      <c r="H334" s="43">
        <f>IF(C334="aFRR+",DAMAS_Daily!E334,DAMAS_Daily!F334)</f>
        <v/>
      </c>
      <c r="I334" s="43">
        <f>IF(C334="aFRR+",DAMAS_Daily!G334,DAMAS_Daily!H334)</f>
        <v/>
      </c>
      <c r="J334" s="45">
        <f>IF(C334="aFRR+",DAMAS_Daily!C334,DAMAS_Daily!D334)</f>
        <v/>
      </c>
      <c r="K334" s="45">
        <f>IF(C334="aFRR+",MIN(DAMAS_Daily!C334*market_share_D*acceptance_rate*stack_activation,power_mw*hours_per_day,capacity_mwh),MIN(DAMAS_Daily!D334*market_share_D*acceptance_rate*stack_activation,power_mw*hours_per_day,capacity_mwh))</f>
        <v/>
      </c>
      <c r="L334" s="42">
        <f>IF(K334&gt;=capacity_mwh-0.01,"yes","no")</f>
        <v/>
      </c>
      <c r="M334" s="28">
        <f>IF(C334="aFRR+",(MIN(DAMAS_Daily!C334*market_share_D*acceptance_rate*stack_activation,power_mw*hours_per_day,capacity_mwh))*DAMAS_Daily!E334*activation_mult_D,(MIN(DAMAS_Daily!D334*market_share_D*acceptance_rate*stack_activation,power_mw*hours_per_day,capacity_mwh))*DAMAS_Daily!F334*activation_mult_D)</f>
        <v/>
      </c>
      <c r="N334" s="29">
        <f>F334+M334</f>
        <v/>
      </c>
    </row>
    <row r="335">
      <c r="A335" s="41">
        <f>DAMAS_Daily!A335</f>
        <v/>
      </c>
      <c r="B335" s="42">
        <f>DAMAS_Daily!B335</f>
        <v/>
      </c>
      <c r="C335" s="42">
        <f>IF((power_mw*hours_per_day*damas_afrr_up*capacity_mult_D*stack_capacity*acceptance_rate+(MIN(DAMAS_Daily!C335*market_share_D*acceptance_rate*stack_activation,power_mw*hours_per_day,capacity_mwh))*DAMAS_Daily!E335*activation_mult_D)&gt;=(power_mw*hours_per_day*damas_afrr_down*capacity_mult_D*stack_capacity*acceptance_rate+(MIN(DAMAS_Daily!D335*market_share_D*acceptance_rate*stack_activation,power_mw*hours_per_day,capacity_mwh))*DAMAS_Daily!F335*activation_mult_D),"aFRR+","aFRR-")</f>
        <v/>
      </c>
      <c r="D335" s="43">
        <f>IF(C335="aFRR+",damas_afrr_up*capacity_mult_D,damas_afrr_down*capacity_mult_D)</f>
        <v/>
      </c>
      <c r="E335" s="44">
        <f>acceptance_rate</f>
        <v/>
      </c>
      <c r="F335" s="28">
        <f>IF(C335="aFRR+",power_mw*hours_per_day*damas_afrr_up*capacity_mult_D*stack_capacity*acceptance_rate,power_mw*hours_per_day*damas_afrr_down*capacity_mult_D*stack_capacity*acceptance_rate)</f>
        <v/>
      </c>
      <c r="G335" s="42">
        <f>IF(C335="aFRR+",DAMAS_Daily!I335,DAMAS_Daily!J335)</f>
        <v/>
      </c>
      <c r="H335" s="43">
        <f>IF(C335="aFRR+",DAMAS_Daily!E335,DAMAS_Daily!F335)</f>
        <v/>
      </c>
      <c r="I335" s="43">
        <f>IF(C335="aFRR+",DAMAS_Daily!G335,DAMAS_Daily!H335)</f>
        <v/>
      </c>
      <c r="J335" s="45">
        <f>IF(C335="aFRR+",DAMAS_Daily!C335,DAMAS_Daily!D335)</f>
        <v/>
      </c>
      <c r="K335" s="45">
        <f>IF(C335="aFRR+",MIN(DAMAS_Daily!C335*market_share_D*acceptance_rate*stack_activation,power_mw*hours_per_day,capacity_mwh),MIN(DAMAS_Daily!D335*market_share_D*acceptance_rate*stack_activation,power_mw*hours_per_day,capacity_mwh))</f>
        <v/>
      </c>
      <c r="L335" s="42">
        <f>IF(K335&gt;=capacity_mwh-0.01,"yes","no")</f>
        <v/>
      </c>
      <c r="M335" s="28">
        <f>IF(C335="aFRR+",(MIN(DAMAS_Daily!C335*market_share_D*acceptance_rate*stack_activation,power_mw*hours_per_day,capacity_mwh))*DAMAS_Daily!E335*activation_mult_D,(MIN(DAMAS_Daily!D335*market_share_D*acceptance_rate*stack_activation,power_mw*hours_per_day,capacity_mwh))*DAMAS_Daily!F335*activation_mult_D)</f>
        <v/>
      </c>
      <c r="N335" s="29">
        <f>F335+M335</f>
        <v/>
      </c>
    </row>
    <row r="336">
      <c r="A336" s="41">
        <f>DAMAS_Daily!A336</f>
        <v/>
      </c>
      <c r="B336" s="42">
        <f>DAMAS_Daily!B336</f>
        <v/>
      </c>
      <c r="C336" s="42">
        <f>IF((power_mw*hours_per_day*damas_afrr_up*capacity_mult_D*stack_capacity*acceptance_rate+(MIN(DAMAS_Daily!C336*market_share_D*acceptance_rate*stack_activation,power_mw*hours_per_day,capacity_mwh))*DAMAS_Daily!E336*activation_mult_D)&gt;=(power_mw*hours_per_day*damas_afrr_down*capacity_mult_D*stack_capacity*acceptance_rate+(MIN(DAMAS_Daily!D336*market_share_D*acceptance_rate*stack_activation,power_mw*hours_per_day,capacity_mwh))*DAMAS_Daily!F336*activation_mult_D),"aFRR+","aFRR-")</f>
        <v/>
      </c>
      <c r="D336" s="43">
        <f>IF(C336="aFRR+",damas_afrr_up*capacity_mult_D,damas_afrr_down*capacity_mult_D)</f>
        <v/>
      </c>
      <c r="E336" s="44">
        <f>acceptance_rate</f>
        <v/>
      </c>
      <c r="F336" s="28">
        <f>IF(C336="aFRR+",power_mw*hours_per_day*damas_afrr_up*capacity_mult_D*stack_capacity*acceptance_rate,power_mw*hours_per_day*damas_afrr_down*capacity_mult_D*stack_capacity*acceptance_rate)</f>
        <v/>
      </c>
      <c r="G336" s="42">
        <f>IF(C336="aFRR+",DAMAS_Daily!I336,DAMAS_Daily!J336)</f>
        <v/>
      </c>
      <c r="H336" s="43">
        <f>IF(C336="aFRR+",DAMAS_Daily!E336,DAMAS_Daily!F336)</f>
        <v/>
      </c>
      <c r="I336" s="43">
        <f>IF(C336="aFRR+",DAMAS_Daily!G336,DAMAS_Daily!H336)</f>
        <v/>
      </c>
      <c r="J336" s="45">
        <f>IF(C336="aFRR+",DAMAS_Daily!C336,DAMAS_Daily!D336)</f>
        <v/>
      </c>
      <c r="K336" s="45">
        <f>IF(C336="aFRR+",MIN(DAMAS_Daily!C336*market_share_D*acceptance_rate*stack_activation,power_mw*hours_per_day,capacity_mwh),MIN(DAMAS_Daily!D336*market_share_D*acceptance_rate*stack_activation,power_mw*hours_per_day,capacity_mwh))</f>
        <v/>
      </c>
      <c r="L336" s="42">
        <f>IF(K336&gt;=capacity_mwh-0.01,"yes","no")</f>
        <v/>
      </c>
      <c r="M336" s="28">
        <f>IF(C336="aFRR+",(MIN(DAMAS_Daily!C336*market_share_D*acceptance_rate*stack_activation,power_mw*hours_per_day,capacity_mwh))*DAMAS_Daily!E336*activation_mult_D,(MIN(DAMAS_Daily!D336*market_share_D*acceptance_rate*stack_activation,power_mw*hours_per_day,capacity_mwh))*DAMAS_Daily!F336*activation_mult_D)</f>
        <v/>
      </c>
      <c r="N336" s="29">
        <f>F336+M336</f>
        <v/>
      </c>
    </row>
    <row r="337">
      <c r="A337" s="41">
        <f>DAMAS_Daily!A337</f>
        <v/>
      </c>
      <c r="B337" s="42">
        <f>DAMAS_Daily!B337</f>
        <v/>
      </c>
      <c r="C337" s="42">
        <f>IF((power_mw*hours_per_day*damas_afrr_up*capacity_mult_D*stack_capacity*acceptance_rate+(MIN(DAMAS_Daily!C337*market_share_D*acceptance_rate*stack_activation,power_mw*hours_per_day,capacity_mwh))*DAMAS_Daily!E337*activation_mult_D)&gt;=(power_mw*hours_per_day*damas_afrr_down*capacity_mult_D*stack_capacity*acceptance_rate+(MIN(DAMAS_Daily!D337*market_share_D*acceptance_rate*stack_activation,power_mw*hours_per_day,capacity_mwh))*DAMAS_Daily!F337*activation_mult_D),"aFRR+","aFRR-")</f>
        <v/>
      </c>
      <c r="D337" s="43">
        <f>IF(C337="aFRR+",damas_afrr_up*capacity_mult_D,damas_afrr_down*capacity_mult_D)</f>
        <v/>
      </c>
      <c r="E337" s="44">
        <f>acceptance_rate</f>
        <v/>
      </c>
      <c r="F337" s="28">
        <f>IF(C337="aFRR+",power_mw*hours_per_day*damas_afrr_up*capacity_mult_D*stack_capacity*acceptance_rate,power_mw*hours_per_day*damas_afrr_down*capacity_mult_D*stack_capacity*acceptance_rate)</f>
        <v/>
      </c>
      <c r="G337" s="42">
        <f>IF(C337="aFRR+",DAMAS_Daily!I337,DAMAS_Daily!J337)</f>
        <v/>
      </c>
      <c r="H337" s="43">
        <f>IF(C337="aFRR+",DAMAS_Daily!E337,DAMAS_Daily!F337)</f>
        <v/>
      </c>
      <c r="I337" s="43">
        <f>IF(C337="aFRR+",DAMAS_Daily!G337,DAMAS_Daily!H337)</f>
        <v/>
      </c>
      <c r="J337" s="45">
        <f>IF(C337="aFRR+",DAMAS_Daily!C337,DAMAS_Daily!D337)</f>
        <v/>
      </c>
      <c r="K337" s="45">
        <f>IF(C337="aFRR+",MIN(DAMAS_Daily!C337*market_share_D*acceptance_rate*stack_activation,power_mw*hours_per_day,capacity_mwh),MIN(DAMAS_Daily!D337*market_share_D*acceptance_rate*stack_activation,power_mw*hours_per_day,capacity_mwh))</f>
        <v/>
      </c>
      <c r="L337" s="42">
        <f>IF(K337&gt;=capacity_mwh-0.01,"yes","no")</f>
        <v/>
      </c>
      <c r="M337" s="28">
        <f>IF(C337="aFRR+",(MIN(DAMAS_Daily!C337*market_share_D*acceptance_rate*stack_activation,power_mw*hours_per_day,capacity_mwh))*DAMAS_Daily!E337*activation_mult_D,(MIN(DAMAS_Daily!D337*market_share_D*acceptance_rate*stack_activation,power_mw*hours_per_day,capacity_mwh))*DAMAS_Daily!F337*activation_mult_D)</f>
        <v/>
      </c>
      <c r="N337" s="29">
        <f>F337+M337</f>
        <v/>
      </c>
    </row>
    <row r="338">
      <c r="A338" s="41">
        <f>DAMAS_Daily!A338</f>
        <v/>
      </c>
      <c r="B338" s="42">
        <f>DAMAS_Daily!B338</f>
        <v/>
      </c>
      <c r="C338" s="42">
        <f>IF((power_mw*hours_per_day*damas_afrr_up*capacity_mult_D*stack_capacity*acceptance_rate+(MIN(DAMAS_Daily!C338*market_share_D*acceptance_rate*stack_activation,power_mw*hours_per_day,capacity_mwh))*DAMAS_Daily!E338*activation_mult_D)&gt;=(power_mw*hours_per_day*damas_afrr_down*capacity_mult_D*stack_capacity*acceptance_rate+(MIN(DAMAS_Daily!D338*market_share_D*acceptance_rate*stack_activation,power_mw*hours_per_day,capacity_mwh))*DAMAS_Daily!F338*activation_mult_D),"aFRR+","aFRR-")</f>
        <v/>
      </c>
      <c r="D338" s="43">
        <f>IF(C338="aFRR+",damas_afrr_up*capacity_mult_D,damas_afrr_down*capacity_mult_D)</f>
        <v/>
      </c>
      <c r="E338" s="44">
        <f>acceptance_rate</f>
        <v/>
      </c>
      <c r="F338" s="28">
        <f>IF(C338="aFRR+",power_mw*hours_per_day*damas_afrr_up*capacity_mult_D*stack_capacity*acceptance_rate,power_mw*hours_per_day*damas_afrr_down*capacity_mult_D*stack_capacity*acceptance_rate)</f>
        <v/>
      </c>
      <c r="G338" s="42">
        <f>IF(C338="aFRR+",DAMAS_Daily!I338,DAMAS_Daily!J338)</f>
        <v/>
      </c>
      <c r="H338" s="43">
        <f>IF(C338="aFRR+",DAMAS_Daily!E338,DAMAS_Daily!F338)</f>
        <v/>
      </c>
      <c r="I338" s="43">
        <f>IF(C338="aFRR+",DAMAS_Daily!G338,DAMAS_Daily!H338)</f>
        <v/>
      </c>
      <c r="J338" s="45">
        <f>IF(C338="aFRR+",DAMAS_Daily!C338,DAMAS_Daily!D338)</f>
        <v/>
      </c>
      <c r="K338" s="45">
        <f>IF(C338="aFRR+",MIN(DAMAS_Daily!C338*market_share_D*acceptance_rate*stack_activation,power_mw*hours_per_day,capacity_mwh),MIN(DAMAS_Daily!D338*market_share_D*acceptance_rate*stack_activation,power_mw*hours_per_day,capacity_mwh))</f>
        <v/>
      </c>
      <c r="L338" s="42">
        <f>IF(K338&gt;=capacity_mwh-0.01,"yes","no")</f>
        <v/>
      </c>
      <c r="M338" s="28">
        <f>IF(C338="aFRR+",(MIN(DAMAS_Daily!C338*market_share_D*acceptance_rate*stack_activation,power_mw*hours_per_day,capacity_mwh))*DAMAS_Daily!E338*activation_mult_D,(MIN(DAMAS_Daily!D338*market_share_D*acceptance_rate*stack_activation,power_mw*hours_per_day,capacity_mwh))*DAMAS_Daily!F338*activation_mult_D)</f>
        <v/>
      </c>
      <c r="N338" s="29">
        <f>F338+M338</f>
        <v/>
      </c>
    </row>
    <row r="339">
      <c r="A339" s="41">
        <f>DAMAS_Daily!A339</f>
        <v/>
      </c>
      <c r="B339" s="42">
        <f>DAMAS_Daily!B339</f>
        <v/>
      </c>
      <c r="C339" s="42">
        <f>IF((power_mw*hours_per_day*damas_afrr_up*capacity_mult_D*stack_capacity*acceptance_rate+(MIN(DAMAS_Daily!C339*market_share_D*acceptance_rate*stack_activation,power_mw*hours_per_day,capacity_mwh))*DAMAS_Daily!E339*activation_mult_D)&gt;=(power_mw*hours_per_day*damas_afrr_down*capacity_mult_D*stack_capacity*acceptance_rate+(MIN(DAMAS_Daily!D339*market_share_D*acceptance_rate*stack_activation,power_mw*hours_per_day,capacity_mwh))*DAMAS_Daily!F339*activation_mult_D),"aFRR+","aFRR-")</f>
        <v/>
      </c>
      <c r="D339" s="43">
        <f>IF(C339="aFRR+",damas_afrr_up*capacity_mult_D,damas_afrr_down*capacity_mult_D)</f>
        <v/>
      </c>
      <c r="E339" s="44">
        <f>acceptance_rate</f>
        <v/>
      </c>
      <c r="F339" s="28">
        <f>IF(C339="aFRR+",power_mw*hours_per_day*damas_afrr_up*capacity_mult_D*stack_capacity*acceptance_rate,power_mw*hours_per_day*damas_afrr_down*capacity_mult_D*stack_capacity*acceptance_rate)</f>
        <v/>
      </c>
      <c r="G339" s="42">
        <f>IF(C339="aFRR+",DAMAS_Daily!I339,DAMAS_Daily!J339)</f>
        <v/>
      </c>
      <c r="H339" s="43">
        <f>IF(C339="aFRR+",DAMAS_Daily!E339,DAMAS_Daily!F339)</f>
        <v/>
      </c>
      <c r="I339" s="43">
        <f>IF(C339="aFRR+",DAMAS_Daily!G339,DAMAS_Daily!H339)</f>
        <v/>
      </c>
      <c r="J339" s="45">
        <f>IF(C339="aFRR+",DAMAS_Daily!C339,DAMAS_Daily!D339)</f>
        <v/>
      </c>
      <c r="K339" s="45">
        <f>IF(C339="aFRR+",MIN(DAMAS_Daily!C339*market_share_D*acceptance_rate*stack_activation,power_mw*hours_per_day,capacity_mwh),MIN(DAMAS_Daily!D339*market_share_D*acceptance_rate*stack_activation,power_mw*hours_per_day,capacity_mwh))</f>
        <v/>
      </c>
      <c r="L339" s="42">
        <f>IF(K339&gt;=capacity_mwh-0.01,"yes","no")</f>
        <v/>
      </c>
      <c r="M339" s="28">
        <f>IF(C339="aFRR+",(MIN(DAMAS_Daily!C339*market_share_D*acceptance_rate*stack_activation,power_mw*hours_per_day,capacity_mwh))*DAMAS_Daily!E339*activation_mult_D,(MIN(DAMAS_Daily!D339*market_share_D*acceptance_rate*stack_activation,power_mw*hours_per_day,capacity_mwh))*DAMAS_Daily!F339*activation_mult_D)</f>
        <v/>
      </c>
      <c r="N339" s="29">
        <f>F339+M339</f>
        <v/>
      </c>
    </row>
    <row r="340">
      <c r="A340" s="41">
        <f>DAMAS_Daily!A340</f>
        <v/>
      </c>
      <c r="B340" s="42">
        <f>DAMAS_Daily!B340</f>
        <v/>
      </c>
      <c r="C340" s="42">
        <f>IF((power_mw*hours_per_day*damas_afrr_up*capacity_mult_D*stack_capacity*acceptance_rate+(MIN(DAMAS_Daily!C340*market_share_D*acceptance_rate*stack_activation,power_mw*hours_per_day,capacity_mwh))*DAMAS_Daily!E340*activation_mult_D)&gt;=(power_mw*hours_per_day*damas_afrr_down*capacity_mult_D*stack_capacity*acceptance_rate+(MIN(DAMAS_Daily!D340*market_share_D*acceptance_rate*stack_activation,power_mw*hours_per_day,capacity_mwh))*DAMAS_Daily!F340*activation_mult_D),"aFRR+","aFRR-")</f>
        <v/>
      </c>
      <c r="D340" s="43">
        <f>IF(C340="aFRR+",damas_afrr_up*capacity_mult_D,damas_afrr_down*capacity_mult_D)</f>
        <v/>
      </c>
      <c r="E340" s="44">
        <f>acceptance_rate</f>
        <v/>
      </c>
      <c r="F340" s="28">
        <f>IF(C340="aFRR+",power_mw*hours_per_day*damas_afrr_up*capacity_mult_D*stack_capacity*acceptance_rate,power_mw*hours_per_day*damas_afrr_down*capacity_mult_D*stack_capacity*acceptance_rate)</f>
        <v/>
      </c>
      <c r="G340" s="42">
        <f>IF(C340="aFRR+",DAMAS_Daily!I340,DAMAS_Daily!J340)</f>
        <v/>
      </c>
      <c r="H340" s="43">
        <f>IF(C340="aFRR+",DAMAS_Daily!E340,DAMAS_Daily!F340)</f>
        <v/>
      </c>
      <c r="I340" s="43">
        <f>IF(C340="aFRR+",DAMAS_Daily!G340,DAMAS_Daily!H340)</f>
        <v/>
      </c>
      <c r="J340" s="45">
        <f>IF(C340="aFRR+",DAMAS_Daily!C340,DAMAS_Daily!D340)</f>
        <v/>
      </c>
      <c r="K340" s="45">
        <f>IF(C340="aFRR+",MIN(DAMAS_Daily!C340*market_share_D*acceptance_rate*stack_activation,power_mw*hours_per_day,capacity_mwh),MIN(DAMAS_Daily!D340*market_share_D*acceptance_rate*stack_activation,power_mw*hours_per_day,capacity_mwh))</f>
        <v/>
      </c>
      <c r="L340" s="42">
        <f>IF(K340&gt;=capacity_mwh-0.01,"yes","no")</f>
        <v/>
      </c>
      <c r="M340" s="28">
        <f>IF(C340="aFRR+",(MIN(DAMAS_Daily!C340*market_share_D*acceptance_rate*stack_activation,power_mw*hours_per_day,capacity_mwh))*DAMAS_Daily!E340*activation_mult_D,(MIN(DAMAS_Daily!D340*market_share_D*acceptance_rate*stack_activation,power_mw*hours_per_day,capacity_mwh))*DAMAS_Daily!F340*activation_mult_D)</f>
        <v/>
      </c>
      <c r="N340" s="29">
        <f>F340+M340</f>
        <v/>
      </c>
    </row>
    <row r="341">
      <c r="A341" s="41">
        <f>DAMAS_Daily!A341</f>
        <v/>
      </c>
      <c r="B341" s="42">
        <f>DAMAS_Daily!B341</f>
        <v/>
      </c>
      <c r="C341" s="42">
        <f>IF((power_mw*hours_per_day*damas_afrr_up*capacity_mult_D*stack_capacity*acceptance_rate+(MIN(DAMAS_Daily!C341*market_share_D*acceptance_rate*stack_activation,power_mw*hours_per_day,capacity_mwh))*DAMAS_Daily!E341*activation_mult_D)&gt;=(power_mw*hours_per_day*damas_afrr_down*capacity_mult_D*stack_capacity*acceptance_rate+(MIN(DAMAS_Daily!D341*market_share_D*acceptance_rate*stack_activation,power_mw*hours_per_day,capacity_mwh))*DAMAS_Daily!F341*activation_mult_D),"aFRR+","aFRR-")</f>
        <v/>
      </c>
      <c r="D341" s="43">
        <f>IF(C341="aFRR+",damas_afrr_up*capacity_mult_D,damas_afrr_down*capacity_mult_D)</f>
        <v/>
      </c>
      <c r="E341" s="44">
        <f>acceptance_rate</f>
        <v/>
      </c>
      <c r="F341" s="28">
        <f>IF(C341="aFRR+",power_mw*hours_per_day*damas_afrr_up*capacity_mult_D*stack_capacity*acceptance_rate,power_mw*hours_per_day*damas_afrr_down*capacity_mult_D*stack_capacity*acceptance_rate)</f>
        <v/>
      </c>
      <c r="G341" s="42">
        <f>IF(C341="aFRR+",DAMAS_Daily!I341,DAMAS_Daily!J341)</f>
        <v/>
      </c>
      <c r="H341" s="43">
        <f>IF(C341="aFRR+",DAMAS_Daily!E341,DAMAS_Daily!F341)</f>
        <v/>
      </c>
      <c r="I341" s="43">
        <f>IF(C341="aFRR+",DAMAS_Daily!G341,DAMAS_Daily!H341)</f>
        <v/>
      </c>
      <c r="J341" s="45">
        <f>IF(C341="aFRR+",DAMAS_Daily!C341,DAMAS_Daily!D341)</f>
        <v/>
      </c>
      <c r="K341" s="45">
        <f>IF(C341="aFRR+",MIN(DAMAS_Daily!C341*market_share_D*acceptance_rate*stack_activation,power_mw*hours_per_day,capacity_mwh),MIN(DAMAS_Daily!D341*market_share_D*acceptance_rate*stack_activation,power_mw*hours_per_day,capacity_mwh))</f>
        <v/>
      </c>
      <c r="L341" s="42">
        <f>IF(K341&gt;=capacity_mwh-0.01,"yes","no")</f>
        <v/>
      </c>
      <c r="M341" s="28">
        <f>IF(C341="aFRR+",(MIN(DAMAS_Daily!C341*market_share_D*acceptance_rate*stack_activation,power_mw*hours_per_day,capacity_mwh))*DAMAS_Daily!E341*activation_mult_D,(MIN(DAMAS_Daily!D341*market_share_D*acceptance_rate*stack_activation,power_mw*hours_per_day,capacity_mwh))*DAMAS_Daily!F341*activation_mult_D)</f>
        <v/>
      </c>
      <c r="N341" s="29">
        <f>F341+M341</f>
        <v/>
      </c>
    </row>
    <row r="342">
      <c r="A342" s="41">
        <f>DAMAS_Daily!A342</f>
        <v/>
      </c>
      <c r="B342" s="42">
        <f>DAMAS_Daily!B342</f>
        <v/>
      </c>
      <c r="C342" s="42">
        <f>IF((power_mw*hours_per_day*damas_afrr_up*capacity_mult_D*stack_capacity*acceptance_rate+(MIN(DAMAS_Daily!C342*market_share_D*acceptance_rate*stack_activation,power_mw*hours_per_day,capacity_mwh))*DAMAS_Daily!E342*activation_mult_D)&gt;=(power_mw*hours_per_day*damas_afrr_down*capacity_mult_D*stack_capacity*acceptance_rate+(MIN(DAMAS_Daily!D342*market_share_D*acceptance_rate*stack_activation,power_mw*hours_per_day,capacity_mwh))*DAMAS_Daily!F342*activation_mult_D),"aFRR+","aFRR-")</f>
        <v/>
      </c>
      <c r="D342" s="43">
        <f>IF(C342="aFRR+",damas_afrr_up*capacity_mult_D,damas_afrr_down*capacity_mult_D)</f>
        <v/>
      </c>
      <c r="E342" s="44">
        <f>acceptance_rate</f>
        <v/>
      </c>
      <c r="F342" s="28">
        <f>IF(C342="aFRR+",power_mw*hours_per_day*damas_afrr_up*capacity_mult_D*stack_capacity*acceptance_rate,power_mw*hours_per_day*damas_afrr_down*capacity_mult_D*stack_capacity*acceptance_rate)</f>
        <v/>
      </c>
      <c r="G342" s="42">
        <f>IF(C342="aFRR+",DAMAS_Daily!I342,DAMAS_Daily!J342)</f>
        <v/>
      </c>
      <c r="H342" s="43">
        <f>IF(C342="aFRR+",DAMAS_Daily!E342,DAMAS_Daily!F342)</f>
        <v/>
      </c>
      <c r="I342" s="43">
        <f>IF(C342="aFRR+",DAMAS_Daily!G342,DAMAS_Daily!H342)</f>
        <v/>
      </c>
      <c r="J342" s="45">
        <f>IF(C342="aFRR+",DAMAS_Daily!C342,DAMAS_Daily!D342)</f>
        <v/>
      </c>
      <c r="K342" s="45">
        <f>IF(C342="aFRR+",MIN(DAMAS_Daily!C342*market_share_D*acceptance_rate*stack_activation,power_mw*hours_per_day,capacity_mwh),MIN(DAMAS_Daily!D342*market_share_D*acceptance_rate*stack_activation,power_mw*hours_per_day,capacity_mwh))</f>
        <v/>
      </c>
      <c r="L342" s="42">
        <f>IF(K342&gt;=capacity_mwh-0.01,"yes","no")</f>
        <v/>
      </c>
      <c r="M342" s="28">
        <f>IF(C342="aFRR+",(MIN(DAMAS_Daily!C342*market_share_D*acceptance_rate*stack_activation,power_mw*hours_per_day,capacity_mwh))*DAMAS_Daily!E342*activation_mult_D,(MIN(DAMAS_Daily!D342*market_share_D*acceptance_rate*stack_activation,power_mw*hours_per_day,capacity_mwh))*DAMAS_Daily!F342*activation_mult_D)</f>
        <v/>
      </c>
      <c r="N342" s="29">
        <f>F342+M342</f>
        <v/>
      </c>
    </row>
    <row r="343">
      <c r="A343" s="41">
        <f>DAMAS_Daily!A343</f>
        <v/>
      </c>
      <c r="B343" s="42">
        <f>DAMAS_Daily!B343</f>
        <v/>
      </c>
      <c r="C343" s="42">
        <f>IF((power_mw*hours_per_day*damas_afrr_up*capacity_mult_D*stack_capacity*acceptance_rate+(MIN(DAMAS_Daily!C343*market_share_D*acceptance_rate*stack_activation,power_mw*hours_per_day,capacity_mwh))*DAMAS_Daily!E343*activation_mult_D)&gt;=(power_mw*hours_per_day*damas_afrr_down*capacity_mult_D*stack_capacity*acceptance_rate+(MIN(DAMAS_Daily!D343*market_share_D*acceptance_rate*stack_activation,power_mw*hours_per_day,capacity_mwh))*DAMAS_Daily!F343*activation_mult_D),"aFRR+","aFRR-")</f>
        <v/>
      </c>
      <c r="D343" s="43">
        <f>IF(C343="aFRR+",damas_afrr_up*capacity_mult_D,damas_afrr_down*capacity_mult_D)</f>
        <v/>
      </c>
      <c r="E343" s="44">
        <f>acceptance_rate</f>
        <v/>
      </c>
      <c r="F343" s="28">
        <f>IF(C343="aFRR+",power_mw*hours_per_day*damas_afrr_up*capacity_mult_D*stack_capacity*acceptance_rate,power_mw*hours_per_day*damas_afrr_down*capacity_mult_D*stack_capacity*acceptance_rate)</f>
        <v/>
      </c>
      <c r="G343" s="42">
        <f>IF(C343="aFRR+",DAMAS_Daily!I343,DAMAS_Daily!J343)</f>
        <v/>
      </c>
      <c r="H343" s="43">
        <f>IF(C343="aFRR+",DAMAS_Daily!E343,DAMAS_Daily!F343)</f>
        <v/>
      </c>
      <c r="I343" s="43">
        <f>IF(C343="aFRR+",DAMAS_Daily!G343,DAMAS_Daily!H343)</f>
        <v/>
      </c>
      <c r="J343" s="45">
        <f>IF(C343="aFRR+",DAMAS_Daily!C343,DAMAS_Daily!D343)</f>
        <v/>
      </c>
      <c r="K343" s="45">
        <f>IF(C343="aFRR+",MIN(DAMAS_Daily!C343*market_share_D*acceptance_rate*stack_activation,power_mw*hours_per_day,capacity_mwh),MIN(DAMAS_Daily!D343*market_share_D*acceptance_rate*stack_activation,power_mw*hours_per_day,capacity_mwh))</f>
        <v/>
      </c>
      <c r="L343" s="42">
        <f>IF(K343&gt;=capacity_mwh-0.01,"yes","no")</f>
        <v/>
      </c>
      <c r="M343" s="28">
        <f>IF(C343="aFRR+",(MIN(DAMAS_Daily!C343*market_share_D*acceptance_rate*stack_activation,power_mw*hours_per_day,capacity_mwh))*DAMAS_Daily!E343*activation_mult_D,(MIN(DAMAS_Daily!D343*market_share_D*acceptance_rate*stack_activation,power_mw*hours_per_day,capacity_mwh))*DAMAS_Daily!F343*activation_mult_D)</f>
        <v/>
      </c>
      <c r="N343" s="29">
        <f>F343+M343</f>
        <v/>
      </c>
    </row>
    <row r="344">
      <c r="A344" s="41">
        <f>DAMAS_Daily!A344</f>
        <v/>
      </c>
      <c r="B344" s="42">
        <f>DAMAS_Daily!B344</f>
        <v/>
      </c>
      <c r="C344" s="42">
        <f>IF((power_mw*hours_per_day*damas_afrr_up*capacity_mult_D*stack_capacity*acceptance_rate+(MIN(DAMAS_Daily!C344*market_share_D*acceptance_rate*stack_activation,power_mw*hours_per_day,capacity_mwh))*DAMAS_Daily!E344*activation_mult_D)&gt;=(power_mw*hours_per_day*damas_afrr_down*capacity_mult_D*stack_capacity*acceptance_rate+(MIN(DAMAS_Daily!D344*market_share_D*acceptance_rate*stack_activation,power_mw*hours_per_day,capacity_mwh))*DAMAS_Daily!F344*activation_mult_D),"aFRR+","aFRR-")</f>
        <v/>
      </c>
      <c r="D344" s="43">
        <f>IF(C344="aFRR+",damas_afrr_up*capacity_mult_D,damas_afrr_down*capacity_mult_D)</f>
        <v/>
      </c>
      <c r="E344" s="44">
        <f>acceptance_rate</f>
        <v/>
      </c>
      <c r="F344" s="28">
        <f>IF(C344="aFRR+",power_mw*hours_per_day*damas_afrr_up*capacity_mult_D*stack_capacity*acceptance_rate,power_mw*hours_per_day*damas_afrr_down*capacity_mult_D*stack_capacity*acceptance_rate)</f>
        <v/>
      </c>
      <c r="G344" s="42">
        <f>IF(C344="aFRR+",DAMAS_Daily!I344,DAMAS_Daily!J344)</f>
        <v/>
      </c>
      <c r="H344" s="43">
        <f>IF(C344="aFRR+",DAMAS_Daily!E344,DAMAS_Daily!F344)</f>
        <v/>
      </c>
      <c r="I344" s="43">
        <f>IF(C344="aFRR+",DAMAS_Daily!G344,DAMAS_Daily!H344)</f>
        <v/>
      </c>
      <c r="J344" s="45">
        <f>IF(C344="aFRR+",DAMAS_Daily!C344,DAMAS_Daily!D344)</f>
        <v/>
      </c>
      <c r="K344" s="45">
        <f>IF(C344="aFRR+",MIN(DAMAS_Daily!C344*market_share_D*acceptance_rate*stack_activation,power_mw*hours_per_day,capacity_mwh),MIN(DAMAS_Daily!D344*market_share_D*acceptance_rate*stack_activation,power_mw*hours_per_day,capacity_mwh))</f>
        <v/>
      </c>
      <c r="L344" s="42">
        <f>IF(K344&gt;=capacity_mwh-0.01,"yes","no")</f>
        <v/>
      </c>
      <c r="M344" s="28">
        <f>IF(C344="aFRR+",(MIN(DAMAS_Daily!C344*market_share_D*acceptance_rate*stack_activation,power_mw*hours_per_day,capacity_mwh))*DAMAS_Daily!E344*activation_mult_D,(MIN(DAMAS_Daily!D344*market_share_D*acceptance_rate*stack_activation,power_mw*hours_per_day,capacity_mwh))*DAMAS_Daily!F344*activation_mult_D)</f>
        <v/>
      </c>
      <c r="N344" s="29">
        <f>F344+M344</f>
        <v/>
      </c>
    </row>
    <row r="345">
      <c r="A345" s="41">
        <f>DAMAS_Daily!A345</f>
        <v/>
      </c>
      <c r="B345" s="42">
        <f>DAMAS_Daily!B345</f>
        <v/>
      </c>
      <c r="C345" s="42">
        <f>IF((power_mw*hours_per_day*damas_afrr_up*capacity_mult_D*stack_capacity*acceptance_rate+(MIN(DAMAS_Daily!C345*market_share_D*acceptance_rate*stack_activation,power_mw*hours_per_day,capacity_mwh))*DAMAS_Daily!E345*activation_mult_D)&gt;=(power_mw*hours_per_day*damas_afrr_down*capacity_mult_D*stack_capacity*acceptance_rate+(MIN(DAMAS_Daily!D345*market_share_D*acceptance_rate*stack_activation,power_mw*hours_per_day,capacity_mwh))*DAMAS_Daily!F345*activation_mult_D),"aFRR+","aFRR-")</f>
        <v/>
      </c>
      <c r="D345" s="43">
        <f>IF(C345="aFRR+",damas_afrr_up*capacity_mult_D,damas_afrr_down*capacity_mult_D)</f>
        <v/>
      </c>
      <c r="E345" s="44">
        <f>acceptance_rate</f>
        <v/>
      </c>
      <c r="F345" s="28">
        <f>IF(C345="aFRR+",power_mw*hours_per_day*damas_afrr_up*capacity_mult_D*stack_capacity*acceptance_rate,power_mw*hours_per_day*damas_afrr_down*capacity_mult_D*stack_capacity*acceptance_rate)</f>
        <v/>
      </c>
      <c r="G345" s="42">
        <f>IF(C345="aFRR+",DAMAS_Daily!I345,DAMAS_Daily!J345)</f>
        <v/>
      </c>
      <c r="H345" s="43">
        <f>IF(C345="aFRR+",DAMAS_Daily!E345,DAMAS_Daily!F345)</f>
        <v/>
      </c>
      <c r="I345" s="43">
        <f>IF(C345="aFRR+",DAMAS_Daily!G345,DAMAS_Daily!H345)</f>
        <v/>
      </c>
      <c r="J345" s="45">
        <f>IF(C345="aFRR+",DAMAS_Daily!C345,DAMAS_Daily!D345)</f>
        <v/>
      </c>
      <c r="K345" s="45">
        <f>IF(C345="aFRR+",MIN(DAMAS_Daily!C345*market_share_D*acceptance_rate*stack_activation,power_mw*hours_per_day,capacity_mwh),MIN(DAMAS_Daily!D345*market_share_D*acceptance_rate*stack_activation,power_mw*hours_per_day,capacity_mwh))</f>
        <v/>
      </c>
      <c r="L345" s="42">
        <f>IF(K345&gt;=capacity_mwh-0.01,"yes","no")</f>
        <v/>
      </c>
      <c r="M345" s="28">
        <f>IF(C345="aFRR+",(MIN(DAMAS_Daily!C345*market_share_D*acceptance_rate*stack_activation,power_mw*hours_per_day,capacity_mwh))*DAMAS_Daily!E345*activation_mult_D,(MIN(DAMAS_Daily!D345*market_share_D*acceptance_rate*stack_activation,power_mw*hours_per_day,capacity_mwh))*DAMAS_Daily!F345*activation_mult_D)</f>
        <v/>
      </c>
      <c r="N345" s="29">
        <f>F345+M345</f>
        <v/>
      </c>
    </row>
    <row r="346">
      <c r="A346" s="41">
        <f>DAMAS_Daily!A346</f>
        <v/>
      </c>
      <c r="B346" s="42">
        <f>DAMAS_Daily!B346</f>
        <v/>
      </c>
      <c r="C346" s="42">
        <f>IF((power_mw*hours_per_day*damas_afrr_up*capacity_mult_D*stack_capacity*acceptance_rate+(MIN(DAMAS_Daily!C346*market_share_D*acceptance_rate*stack_activation,power_mw*hours_per_day,capacity_mwh))*DAMAS_Daily!E346*activation_mult_D)&gt;=(power_mw*hours_per_day*damas_afrr_down*capacity_mult_D*stack_capacity*acceptance_rate+(MIN(DAMAS_Daily!D346*market_share_D*acceptance_rate*stack_activation,power_mw*hours_per_day,capacity_mwh))*DAMAS_Daily!F346*activation_mult_D),"aFRR+","aFRR-")</f>
        <v/>
      </c>
      <c r="D346" s="43">
        <f>IF(C346="aFRR+",damas_afrr_up*capacity_mult_D,damas_afrr_down*capacity_mult_D)</f>
        <v/>
      </c>
      <c r="E346" s="44">
        <f>acceptance_rate</f>
        <v/>
      </c>
      <c r="F346" s="28">
        <f>IF(C346="aFRR+",power_mw*hours_per_day*damas_afrr_up*capacity_mult_D*stack_capacity*acceptance_rate,power_mw*hours_per_day*damas_afrr_down*capacity_mult_D*stack_capacity*acceptance_rate)</f>
        <v/>
      </c>
      <c r="G346" s="42">
        <f>IF(C346="aFRR+",DAMAS_Daily!I346,DAMAS_Daily!J346)</f>
        <v/>
      </c>
      <c r="H346" s="43">
        <f>IF(C346="aFRR+",DAMAS_Daily!E346,DAMAS_Daily!F346)</f>
        <v/>
      </c>
      <c r="I346" s="43">
        <f>IF(C346="aFRR+",DAMAS_Daily!G346,DAMAS_Daily!H346)</f>
        <v/>
      </c>
      <c r="J346" s="45">
        <f>IF(C346="aFRR+",DAMAS_Daily!C346,DAMAS_Daily!D346)</f>
        <v/>
      </c>
      <c r="K346" s="45">
        <f>IF(C346="aFRR+",MIN(DAMAS_Daily!C346*market_share_D*acceptance_rate*stack_activation,power_mw*hours_per_day,capacity_mwh),MIN(DAMAS_Daily!D346*market_share_D*acceptance_rate*stack_activation,power_mw*hours_per_day,capacity_mwh))</f>
        <v/>
      </c>
      <c r="L346" s="42">
        <f>IF(K346&gt;=capacity_mwh-0.01,"yes","no")</f>
        <v/>
      </c>
      <c r="M346" s="28">
        <f>IF(C346="aFRR+",(MIN(DAMAS_Daily!C346*market_share_D*acceptance_rate*stack_activation,power_mw*hours_per_day,capacity_mwh))*DAMAS_Daily!E346*activation_mult_D,(MIN(DAMAS_Daily!D346*market_share_D*acceptance_rate*stack_activation,power_mw*hours_per_day,capacity_mwh))*DAMAS_Daily!F346*activation_mult_D)</f>
        <v/>
      </c>
      <c r="N346" s="29">
        <f>F346+M346</f>
        <v/>
      </c>
    </row>
    <row r="347">
      <c r="A347" s="41">
        <f>DAMAS_Daily!A347</f>
        <v/>
      </c>
      <c r="B347" s="42">
        <f>DAMAS_Daily!B347</f>
        <v/>
      </c>
      <c r="C347" s="42">
        <f>IF((power_mw*hours_per_day*damas_afrr_up*capacity_mult_D*stack_capacity*acceptance_rate+(MIN(DAMAS_Daily!C347*market_share_D*acceptance_rate*stack_activation,power_mw*hours_per_day,capacity_mwh))*DAMAS_Daily!E347*activation_mult_D)&gt;=(power_mw*hours_per_day*damas_afrr_down*capacity_mult_D*stack_capacity*acceptance_rate+(MIN(DAMAS_Daily!D347*market_share_D*acceptance_rate*stack_activation,power_mw*hours_per_day,capacity_mwh))*DAMAS_Daily!F347*activation_mult_D),"aFRR+","aFRR-")</f>
        <v/>
      </c>
      <c r="D347" s="43">
        <f>IF(C347="aFRR+",damas_afrr_up*capacity_mult_D,damas_afrr_down*capacity_mult_D)</f>
        <v/>
      </c>
      <c r="E347" s="44">
        <f>acceptance_rate</f>
        <v/>
      </c>
      <c r="F347" s="28">
        <f>IF(C347="aFRR+",power_mw*hours_per_day*damas_afrr_up*capacity_mult_D*stack_capacity*acceptance_rate,power_mw*hours_per_day*damas_afrr_down*capacity_mult_D*stack_capacity*acceptance_rate)</f>
        <v/>
      </c>
      <c r="G347" s="42">
        <f>IF(C347="aFRR+",DAMAS_Daily!I347,DAMAS_Daily!J347)</f>
        <v/>
      </c>
      <c r="H347" s="43">
        <f>IF(C347="aFRR+",DAMAS_Daily!E347,DAMAS_Daily!F347)</f>
        <v/>
      </c>
      <c r="I347" s="43">
        <f>IF(C347="aFRR+",DAMAS_Daily!G347,DAMAS_Daily!H347)</f>
        <v/>
      </c>
      <c r="J347" s="45">
        <f>IF(C347="aFRR+",DAMAS_Daily!C347,DAMAS_Daily!D347)</f>
        <v/>
      </c>
      <c r="K347" s="45">
        <f>IF(C347="aFRR+",MIN(DAMAS_Daily!C347*market_share_D*acceptance_rate*stack_activation,power_mw*hours_per_day,capacity_mwh),MIN(DAMAS_Daily!D347*market_share_D*acceptance_rate*stack_activation,power_mw*hours_per_day,capacity_mwh))</f>
        <v/>
      </c>
      <c r="L347" s="42">
        <f>IF(K347&gt;=capacity_mwh-0.01,"yes","no")</f>
        <v/>
      </c>
      <c r="M347" s="28">
        <f>IF(C347="aFRR+",(MIN(DAMAS_Daily!C347*market_share_D*acceptance_rate*stack_activation,power_mw*hours_per_day,capacity_mwh))*DAMAS_Daily!E347*activation_mult_D,(MIN(DAMAS_Daily!D347*market_share_D*acceptance_rate*stack_activation,power_mw*hours_per_day,capacity_mwh))*DAMAS_Daily!F347*activation_mult_D)</f>
        <v/>
      </c>
      <c r="N347" s="29">
        <f>F347+M347</f>
        <v/>
      </c>
    </row>
    <row r="348">
      <c r="A348" s="41">
        <f>DAMAS_Daily!A348</f>
        <v/>
      </c>
      <c r="B348" s="42">
        <f>DAMAS_Daily!B348</f>
        <v/>
      </c>
      <c r="C348" s="42">
        <f>IF((power_mw*hours_per_day*damas_afrr_up*capacity_mult_D*stack_capacity*acceptance_rate+(MIN(DAMAS_Daily!C348*market_share_D*acceptance_rate*stack_activation,power_mw*hours_per_day,capacity_mwh))*DAMAS_Daily!E348*activation_mult_D)&gt;=(power_mw*hours_per_day*damas_afrr_down*capacity_mult_D*stack_capacity*acceptance_rate+(MIN(DAMAS_Daily!D348*market_share_D*acceptance_rate*stack_activation,power_mw*hours_per_day,capacity_mwh))*DAMAS_Daily!F348*activation_mult_D),"aFRR+","aFRR-")</f>
        <v/>
      </c>
      <c r="D348" s="43">
        <f>IF(C348="aFRR+",damas_afrr_up*capacity_mult_D,damas_afrr_down*capacity_mult_D)</f>
        <v/>
      </c>
      <c r="E348" s="44">
        <f>acceptance_rate</f>
        <v/>
      </c>
      <c r="F348" s="28">
        <f>IF(C348="aFRR+",power_mw*hours_per_day*damas_afrr_up*capacity_mult_D*stack_capacity*acceptance_rate,power_mw*hours_per_day*damas_afrr_down*capacity_mult_D*stack_capacity*acceptance_rate)</f>
        <v/>
      </c>
      <c r="G348" s="42">
        <f>IF(C348="aFRR+",DAMAS_Daily!I348,DAMAS_Daily!J348)</f>
        <v/>
      </c>
      <c r="H348" s="43">
        <f>IF(C348="aFRR+",DAMAS_Daily!E348,DAMAS_Daily!F348)</f>
        <v/>
      </c>
      <c r="I348" s="43">
        <f>IF(C348="aFRR+",DAMAS_Daily!G348,DAMAS_Daily!H348)</f>
        <v/>
      </c>
      <c r="J348" s="45">
        <f>IF(C348="aFRR+",DAMAS_Daily!C348,DAMAS_Daily!D348)</f>
        <v/>
      </c>
      <c r="K348" s="45">
        <f>IF(C348="aFRR+",MIN(DAMAS_Daily!C348*market_share_D*acceptance_rate*stack_activation,power_mw*hours_per_day,capacity_mwh),MIN(DAMAS_Daily!D348*market_share_D*acceptance_rate*stack_activation,power_mw*hours_per_day,capacity_mwh))</f>
        <v/>
      </c>
      <c r="L348" s="42">
        <f>IF(K348&gt;=capacity_mwh-0.01,"yes","no")</f>
        <v/>
      </c>
      <c r="M348" s="28">
        <f>IF(C348="aFRR+",(MIN(DAMAS_Daily!C348*market_share_D*acceptance_rate*stack_activation,power_mw*hours_per_day,capacity_mwh))*DAMAS_Daily!E348*activation_mult_D,(MIN(DAMAS_Daily!D348*market_share_D*acceptance_rate*stack_activation,power_mw*hours_per_day,capacity_mwh))*DAMAS_Daily!F348*activation_mult_D)</f>
        <v/>
      </c>
      <c r="N348" s="29">
        <f>F348+M348</f>
        <v/>
      </c>
    </row>
    <row r="349">
      <c r="A349" s="41">
        <f>DAMAS_Daily!A349</f>
        <v/>
      </c>
      <c r="B349" s="42">
        <f>DAMAS_Daily!B349</f>
        <v/>
      </c>
      <c r="C349" s="42">
        <f>IF((power_mw*hours_per_day*damas_afrr_up*capacity_mult_D*stack_capacity*acceptance_rate+(MIN(DAMAS_Daily!C349*market_share_D*acceptance_rate*stack_activation,power_mw*hours_per_day,capacity_mwh))*DAMAS_Daily!E349*activation_mult_D)&gt;=(power_mw*hours_per_day*damas_afrr_down*capacity_mult_D*stack_capacity*acceptance_rate+(MIN(DAMAS_Daily!D349*market_share_D*acceptance_rate*stack_activation,power_mw*hours_per_day,capacity_mwh))*DAMAS_Daily!F349*activation_mult_D),"aFRR+","aFRR-")</f>
        <v/>
      </c>
      <c r="D349" s="43">
        <f>IF(C349="aFRR+",damas_afrr_up*capacity_mult_D,damas_afrr_down*capacity_mult_D)</f>
        <v/>
      </c>
      <c r="E349" s="44">
        <f>acceptance_rate</f>
        <v/>
      </c>
      <c r="F349" s="28">
        <f>IF(C349="aFRR+",power_mw*hours_per_day*damas_afrr_up*capacity_mult_D*stack_capacity*acceptance_rate,power_mw*hours_per_day*damas_afrr_down*capacity_mult_D*stack_capacity*acceptance_rate)</f>
        <v/>
      </c>
      <c r="G349" s="42">
        <f>IF(C349="aFRR+",DAMAS_Daily!I349,DAMAS_Daily!J349)</f>
        <v/>
      </c>
      <c r="H349" s="43">
        <f>IF(C349="aFRR+",DAMAS_Daily!E349,DAMAS_Daily!F349)</f>
        <v/>
      </c>
      <c r="I349" s="43">
        <f>IF(C349="aFRR+",DAMAS_Daily!G349,DAMAS_Daily!H349)</f>
        <v/>
      </c>
      <c r="J349" s="45">
        <f>IF(C349="aFRR+",DAMAS_Daily!C349,DAMAS_Daily!D349)</f>
        <v/>
      </c>
      <c r="K349" s="45">
        <f>IF(C349="aFRR+",MIN(DAMAS_Daily!C349*market_share_D*acceptance_rate*stack_activation,power_mw*hours_per_day,capacity_mwh),MIN(DAMAS_Daily!D349*market_share_D*acceptance_rate*stack_activation,power_mw*hours_per_day,capacity_mwh))</f>
        <v/>
      </c>
      <c r="L349" s="42">
        <f>IF(K349&gt;=capacity_mwh-0.01,"yes","no")</f>
        <v/>
      </c>
      <c r="M349" s="28">
        <f>IF(C349="aFRR+",(MIN(DAMAS_Daily!C349*market_share_D*acceptance_rate*stack_activation,power_mw*hours_per_day,capacity_mwh))*DAMAS_Daily!E349*activation_mult_D,(MIN(DAMAS_Daily!D349*market_share_D*acceptance_rate*stack_activation,power_mw*hours_per_day,capacity_mwh))*DAMAS_Daily!F349*activation_mult_D)</f>
        <v/>
      </c>
      <c r="N349" s="29">
        <f>F349+M349</f>
        <v/>
      </c>
    </row>
    <row r="350">
      <c r="A350" s="41">
        <f>DAMAS_Daily!A350</f>
        <v/>
      </c>
      <c r="B350" s="42">
        <f>DAMAS_Daily!B350</f>
        <v/>
      </c>
      <c r="C350" s="42">
        <f>IF((power_mw*hours_per_day*damas_afrr_up*capacity_mult_D*stack_capacity*acceptance_rate+(MIN(DAMAS_Daily!C350*market_share_D*acceptance_rate*stack_activation,power_mw*hours_per_day,capacity_mwh))*DAMAS_Daily!E350*activation_mult_D)&gt;=(power_mw*hours_per_day*damas_afrr_down*capacity_mult_D*stack_capacity*acceptance_rate+(MIN(DAMAS_Daily!D350*market_share_D*acceptance_rate*stack_activation,power_mw*hours_per_day,capacity_mwh))*DAMAS_Daily!F350*activation_mult_D),"aFRR+","aFRR-")</f>
        <v/>
      </c>
      <c r="D350" s="43">
        <f>IF(C350="aFRR+",damas_afrr_up*capacity_mult_D,damas_afrr_down*capacity_mult_D)</f>
        <v/>
      </c>
      <c r="E350" s="44">
        <f>acceptance_rate</f>
        <v/>
      </c>
      <c r="F350" s="28">
        <f>IF(C350="aFRR+",power_mw*hours_per_day*damas_afrr_up*capacity_mult_D*stack_capacity*acceptance_rate,power_mw*hours_per_day*damas_afrr_down*capacity_mult_D*stack_capacity*acceptance_rate)</f>
        <v/>
      </c>
      <c r="G350" s="42">
        <f>IF(C350="aFRR+",DAMAS_Daily!I350,DAMAS_Daily!J350)</f>
        <v/>
      </c>
      <c r="H350" s="43">
        <f>IF(C350="aFRR+",DAMAS_Daily!E350,DAMAS_Daily!F350)</f>
        <v/>
      </c>
      <c r="I350" s="43">
        <f>IF(C350="aFRR+",DAMAS_Daily!G350,DAMAS_Daily!H350)</f>
        <v/>
      </c>
      <c r="J350" s="45">
        <f>IF(C350="aFRR+",DAMAS_Daily!C350,DAMAS_Daily!D350)</f>
        <v/>
      </c>
      <c r="K350" s="45">
        <f>IF(C350="aFRR+",MIN(DAMAS_Daily!C350*market_share_D*acceptance_rate*stack_activation,power_mw*hours_per_day,capacity_mwh),MIN(DAMAS_Daily!D350*market_share_D*acceptance_rate*stack_activation,power_mw*hours_per_day,capacity_mwh))</f>
        <v/>
      </c>
      <c r="L350" s="42">
        <f>IF(K350&gt;=capacity_mwh-0.01,"yes","no")</f>
        <v/>
      </c>
      <c r="M350" s="28">
        <f>IF(C350="aFRR+",(MIN(DAMAS_Daily!C350*market_share_D*acceptance_rate*stack_activation,power_mw*hours_per_day,capacity_mwh))*DAMAS_Daily!E350*activation_mult_D,(MIN(DAMAS_Daily!D350*market_share_D*acceptance_rate*stack_activation,power_mw*hours_per_day,capacity_mwh))*DAMAS_Daily!F350*activation_mult_D)</f>
        <v/>
      </c>
      <c r="N350" s="29">
        <f>F350+M350</f>
        <v/>
      </c>
    </row>
    <row r="351">
      <c r="A351" s="41">
        <f>DAMAS_Daily!A351</f>
        <v/>
      </c>
      <c r="B351" s="42">
        <f>DAMAS_Daily!B351</f>
        <v/>
      </c>
      <c r="C351" s="42">
        <f>IF((power_mw*hours_per_day*damas_afrr_up*capacity_mult_D*stack_capacity*acceptance_rate+(MIN(DAMAS_Daily!C351*market_share_D*acceptance_rate*stack_activation,power_mw*hours_per_day,capacity_mwh))*DAMAS_Daily!E351*activation_mult_D)&gt;=(power_mw*hours_per_day*damas_afrr_down*capacity_mult_D*stack_capacity*acceptance_rate+(MIN(DAMAS_Daily!D351*market_share_D*acceptance_rate*stack_activation,power_mw*hours_per_day,capacity_mwh))*DAMAS_Daily!F351*activation_mult_D),"aFRR+","aFRR-")</f>
        <v/>
      </c>
      <c r="D351" s="43">
        <f>IF(C351="aFRR+",damas_afrr_up*capacity_mult_D,damas_afrr_down*capacity_mult_D)</f>
        <v/>
      </c>
      <c r="E351" s="44">
        <f>acceptance_rate</f>
        <v/>
      </c>
      <c r="F351" s="28">
        <f>IF(C351="aFRR+",power_mw*hours_per_day*damas_afrr_up*capacity_mult_D*stack_capacity*acceptance_rate,power_mw*hours_per_day*damas_afrr_down*capacity_mult_D*stack_capacity*acceptance_rate)</f>
        <v/>
      </c>
      <c r="G351" s="42">
        <f>IF(C351="aFRR+",DAMAS_Daily!I351,DAMAS_Daily!J351)</f>
        <v/>
      </c>
      <c r="H351" s="43">
        <f>IF(C351="aFRR+",DAMAS_Daily!E351,DAMAS_Daily!F351)</f>
        <v/>
      </c>
      <c r="I351" s="43">
        <f>IF(C351="aFRR+",DAMAS_Daily!G351,DAMAS_Daily!H351)</f>
        <v/>
      </c>
      <c r="J351" s="45">
        <f>IF(C351="aFRR+",DAMAS_Daily!C351,DAMAS_Daily!D351)</f>
        <v/>
      </c>
      <c r="K351" s="45">
        <f>IF(C351="aFRR+",MIN(DAMAS_Daily!C351*market_share_D*acceptance_rate*stack_activation,power_mw*hours_per_day,capacity_mwh),MIN(DAMAS_Daily!D351*market_share_D*acceptance_rate*stack_activation,power_mw*hours_per_day,capacity_mwh))</f>
        <v/>
      </c>
      <c r="L351" s="42">
        <f>IF(K351&gt;=capacity_mwh-0.01,"yes","no")</f>
        <v/>
      </c>
      <c r="M351" s="28">
        <f>IF(C351="aFRR+",(MIN(DAMAS_Daily!C351*market_share_D*acceptance_rate*stack_activation,power_mw*hours_per_day,capacity_mwh))*DAMAS_Daily!E351*activation_mult_D,(MIN(DAMAS_Daily!D351*market_share_D*acceptance_rate*stack_activation,power_mw*hours_per_day,capacity_mwh))*DAMAS_Daily!F351*activation_mult_D)</f>
        <v/>
      </c>
      <c r="N351" s="29">
        <f>F351+M351</f>
        <v/>
      </c>
    </row>
    <row r="352">
      <c r="A352" s="41">
        <f>DAMAS_Daily!A352</f>
        <v/>
      </c>
      <c r="B352" s="42">
        <f>DAMAS_Daily!B352</f>
        <v/>
      </c>
      <c r="C352" s="42">
        <f>IF((power_mw*hours_per_day*damas_afrr_up*capacity_mult_D*stack_capacity*acceptance_rate+(MIN(DAMAS_Daily!C352*market_share_D*acceptance_rate*stack_activation,power_mw*hours_per_day,capacity_mwh))*DAMAS_Daily!E352*activation_mult_D)&gt;=(power_mw*hours_per_day*damas_afrr_down*capacity_mult_D*stack_capacity*acceptance_rate+(MIN(DAMAS_Daily!D352*market_share_D*acceptance_rate*stack_activation,power_mw*hours_per_day,capacity_mwh))*DAMAS_Daily!F352*activation_mult_D),"aFRR+","aFRR-")</f>
        <v/>
      </c>
      <c r="D352" s="43">
        <f>IF(C352="aFRR+",damas_afrr_up*capacity_mult_D,damas_afrr_down*capacity_mult_D)</f>
        <v/>
      </c>
      <c r="E352" s="44">
        <f>acceptance_rate</f>
        <v/>
      </c>
      <c r="F352" s="28">
        <f>IF(C352="aFRR+",power_mw*hours_per_day*damas_afrr_up*capacity_mult_D*stack_capacity*acceptance_rate,power_mw*hours_per_day*damas_afrr_down*capacity_mult_D*stack_capacity*acceptance_rate)</f>
        <v/>
      </c>
      <c r="G352" s="42">
        <f>IF(C352="aFRR+",DAMAS_Daily!I352,DAMAS_Daily!J352)</f>
        <v/>
      </c>
      <c r="H352" s="43">
        <f>IF(C352="aFRR+",DAMAS_Daily!E352,DAMAS_Daily!F352)</f>
        <v/>
      </c>
      <c r="I352" s="43">
        <f>IF(C352="aFRR+",DAMAS_Daily!G352,DAMAS_Daily!H352)</f>
        <v/>
      </c>
      <c r="J352" s="45">
        <f>IF(C352="aFRR+",DAMAS_Daily!C352,DAMAS_Daily!D352)</f>
        <v/>
      </c>
      <c r="K352" s="45">
        <f>IF(C352="aFRR+",MIN(DAMAS_Daily!C352*market_share_D*acceptance_rate*stack_activation,power_mw*hours_per_day,capacity_mwh),MIN(DAMAS_Daily!D352*market_share_D*acceptance_rate*stack_activation,power_mw*hours_per_day,capacity_mwh))</f>
        <v/>
      </c>
      <c r="L352" s="42">
        <f>IF(K352&gt;=capacity_mwh-0.01,"yes","no")</f>
        <v/>
      </c>
      <c r="M352" s="28">
        <f>IF(C352="aFRR+",(MIN(DAMAS_Daily!C352*market_share_D*acceptance_rate*stack_activation,power_mw*hours_per_day,capacity_mwh))*DAMAS_Daily!E352*activation_mult_D,(MIN(DAMAS_Daily!D352*market_share_D*acceptance_rate*stack_activation,power_mw*hours_per_day,capacity_mwh))*DAMAS_Daily!F352*activation_mult_D)</f>
        <v/>
      </c>
      <c r="N352" s="29">
        <f>F352+M352</f>
        <v/>
      </c>
    </row>
    <row r="353">
      <c r="A353" s="41">
        <f>DAMAS_Daily!A353</f>
        <v/>
      </c>
      <c r="B353" s="42">
        <f>DAMAS_Daily!B353</f>
        <v/>
      </c>
      <c r="C353" s="42">
        <f>IF((power_mw*hours_per_day*damas_afrr_up*capacity_mult_D*stack_capacity*acceptance_rate+(MIN(DAMAS_Daily!C353*market_share_D*acceptance_rate*stack_activation,power_mw*hours_per_day,capacity_mwh))*DAMAS_Daily!E353*activation_mult_D)&gt;=(power_mw*hours_per_day*damas_afrr_down*capacity_mult_D*stack_capacity*acceptance_rate+(MIN(DAMAS_Daily!D353*market_share_D*acceptance_rate*stack_activation,power_mw*hours_per_day,capacity_mwh))*DAMAS_Daily!F353*activation_mult_D),"aFRR+","aFRR-")</f>
        <v/>
      </c>
      <c r="D353" s="43">
        <f>IF(C353="aFRR+",damas_afrr_up*capacity_mult_D,damas_afrr_down*capacity_mult_D)</f>
        <v/>
      </c>
      <c r="E353" s="44">
        <f>acceptance_rate</f>
        <v/>
      </c>
      <c r="F353" s="28">
        <f>IF(C353="aFRR+",power_mw*hours_per_day*damas_afrr_up*capacity_mult_D*stack_capacity*acceptance_rate,power_mw*hours_per_day*damas_afrr_down*capacity_mult_D*stack_capacity*acceptance_rate)</f>
        <v/>
      </c>
      <c r="G353" s="42">
        <f>IF(C353="aFRR+",DAMAS_Daily!I353,DAMAS_Daily!J353)</f>
        <v/>
      </c>
      <c r="H353" s="43">
        <f>IF(C353="aFRR+",DAMAS_Daily!E353,DAMAS_Daily!F353)</f>
        <v/>
      </c>
      <c r="I353" s="43">
        <f>IF(C353="aFRR+",DAMAS_Daily!G353,DAMAS_Daily!H353)</f>
        <v/>
      </c>
      <c r="J353" s="45">
        <f>IF(C353="aFRR+",DAMAS_Daily!C353,DAMAS_Daily!D353)</f>
        <v/>
      </c>
      <c r="K353" s="45">
        <f>IF(C353="aFRR+",MIN(DAMAS_Daily!C353*market_share_D*acceptance_rate*stack_activation,power_mw*hours_per_day,capacity_mwh),MIN(DAMAS_Daily!D353*market_share_D*acceptance_rate*stack_activation,power_mw*hours_per_day,capacity_mwh))</f>
        <v/>
      </c>
      <c r="L353" s="42">
        <f>IF(K353&gt;=capacity_mwh-0.01,"yes","no")</f>
        <v/>
      </c>
      <c r="M353" s="28">
        <f>IF(C353="aFRR+",(MIN(DAMAS_Daily!C353*market_share_D*acceptance_rate*stack_activation,power_mw*hours_per_day,capacity_mwh))*DAMAS_Daily!E353*activation_mult_D,(MIN(DAMAS_Daily!D353*market_share_D*acceptance_rate*stack_activation,power_mw*hours_per_day,capacity_mwh))*DAMAS_Daily!F353*activation_mult_D)</f>
        <v/>
      </c>
      <c r="N353" s="29">
        <f>F353+M353</f>
        <v/>
      </c>
    </row>
    <row r="354">
      <c r="A354" s="41">
        <f>DAMAS_Daily!A354</f>
        <v/>
      </c>
      <c r="B354" s="42">
        <f>DAMAS_Daily!B354</f>
        <v/>
      </c>
      <c r="C354" s="42">
        <f>IF((power_mw*hours_per_day*damas_afrr_up*capacity_mult_D*stack_capacity*acceptance_rate+(MIN(DAMAS_Daily!C354*market_share_D*acceptance_rate*stack_activation,power_mw*hours_per_day,capacity_mwh))*DAMAS_Daily!E354*activation_mult_D)&gt;=(power_mw*hours_per_day*damas_afrr_down*capacity_mult_D*stack_capacity*acceptance_rate+(MIN(DAMAS_Daily!D354*market_share_D*acceptance_rate*stack_activation,power_mw*hours_per_day,capacity_mwh))*DAMAS_Daily!F354*activation_mult_D),"aFRR+","aFRR-")</f>
        <v/>
      </c>
      <c r="D354" s="43">
        <f>IF(C354="aFRR+",damas_afrr_up*capacity_mult_D,damas_afrr_down*capacity_mult_D)</f>
        <v/>
      </c>
      <c r="E354" s="44">
        <f>acceptance_rate</f>
        <v/>
      </c>
      <c r="F354" s="28">
        <f>IF(C354="aFRR+",power_mw*hours_per_day*damas_afrr_up*capacity_mult_D*stack_capacity*acceptance_rate,power_mw*hours_per_day*damas_afrr_down*capacity_mult_D*stack_capacity*acceptance_rate)</f>
        <v/>
      </c>
      <c r="G354" s="42">
        <f>IF(C354="aFRR+",DAMAS_Daily!I354,DAMAS_Daily!J354)</f>
        <v/>
      </c>
      <c r="H354" s="43">
        <f>IF(C354="aFRR+",DAMAS_Daily!E354,DAMAS_Daily!F354)</f>
        <v/>
      </c>
      <c r="I354" s="43">
        <f>IF(C354="aFRR+",DAMAS_Daily!G354,DAMAS_Daily!H354)</f>
        <v/>
      </c>
      <c r="J354" s="45">
        <f>IF(C354="aFRR+",DAMAS_Daily!C354,DAMAS_Daily!D354)</f>
        <v/>
      </c>
      <c r="K354" s="45">
        <f>IF(C354="aFRR+",MIN(DAMAS_Daily!C354*market_share_D*acceptance_rate*stack_activation,power_mw*hours_per_day,capacity_mwh),MIN(DAMAS_Daily!D354*market_share_D*acceptance_rate*stack_activation,power_mw*hours_per_day,capacity_mwh))</f>
        <v/>
      </c>
      <c r="L354" s="42">
        <f>IF(K354&gt;=capacity_mwh-0.01,"yes","no")</f>
        <v/>
      </c>
      <c r="M354" s="28">
        <f>IF(C354="aFRR+",(MIN(DAMAS_Daily!C354*market_share_D*acceptance_rate*stack_activation,power_mw*hours_per_day,capacity_mwh))*DAMAS_Daily!E354*activation_mult_D,(MIN(DAMAS_Daily!D354*market_share_D*acceptance_rate*stack_activation,power_mw*hours_per_day,capacity_mwh))*DAMAS_Daily!F354*activation_mult_D)</f>
        <v/>
      </c>
      <c r="N354" s="29">
        <f>F354+M354</f>
        <v/>
      </c>
    </row>
    <row r="355">
      <c r="A355" s="41">
        <f>DAMAS_Daily!A355</f>
        <v/>
      </c>
      <c r="B355" s="42">
        <f>DAMAS_Daily!B355</f>
        <v/>
      </c>
      <c r="C355" s="42">
        <f>IF((power_mw*hours_per_day*damas_afrr_up*capacity_mult_D*stack_capacity*acceptance_rate+(MIN(DAMAS_Daily!C355*market_share_D*acceptance_rate*stack_activation,power_mw*hours_per_day,capacity_mwh))*DAMAS_Daily!E355*activation_mult_D)&gt;=(power_mw*hours_per_day*damas_afrr_down*capacity_mult_D*stack_capacity*acceptance_rate+(MIN(DAMAS_Daily!D355*market_share_D*acceptance_rate*stack_activation,power_mw*hours_per_day,capacity_mwh))*DAMAS_Daily!F355*activation_mult_D),"aFRR+","aFRR-")</f>
        <v/>
      </c>
      <c r="D355" s="43">
        <f>IF(C355="aFRR+",damas_afrr_up*capacity_mult_D,damas_afrr_down*capacity_mult_D)</f>
        <v/>
      </c>
      <c r="E355" s="44">
        <f>acceptance_rate</f>
        <v/>
      </c>
      <c r="F355" s="28">
        <f>IF(C355="aFRR+",power_mw*hours_per_day*damas_afrr_up*capacity_mult_D*stack_capacity*acceptance_rate,power_mw*hours_per_day*damas_afrr_down*capacity_mult_D*stack_capacity*acceptance_rate)</f>
        <v/>
      </c>
      <c r="G355" s="42">
        <f>IF(C355="aFRR+",DAMAS_Daily!I355,DAMAS_Daily!J355)</f>
        <v/>
      </c>
      <c r="H355" s="43">
        <f>IF(C355="aFRR+",DAMAS_Daily!E355,DAMAS_Daily!F355)</f>
        <v/>
      </c>
      <c r="I355" s="43">
        <f>IF(C355="aFRR+",DAMAS_Daily!G355,DAMAS_Daily!H355)</f>
        <v/>
      </c>
      <c r="J355" s="45">
        <f>IF(C355="aFRR+",DAMAS_Daily!C355,DAMAS_Daily!D355)</f>
        <v/>
      </c>
      <c r="K355" s="45">
        <f>IF(C355="aFRR+",MIN(DAMAS_Daily!C355*market_share_D*acceptance_rate*stack_activation,power_mw*hours_per_day,capacity_mwh),MIN(DAMAS_Daily!D355*market_share_D*acceptance_rate*stack_activation,power_mw*hours_per_day,capacity_mwh))</f>
        <v/>
      </c>
      <c r="L355" s="42">
        <f>IF(K355&gt;=capacity_mwh-0.01,"yes","no")</f>
        <v/>
      </c>
      <c r="M355" s="28">
        <f>IF(C355="aFRR+",(MIN(DAMAS_Daily!C355*market_share_D*acceptance_rate*stack_activation,power_mw*hours_per_day,capacity_mwh))*DAMAS_Daily!E355*activation_mult_D,(MIN(DAMAS_Daily!D355*market_share_D*acceptance_rate*stack_activation,power_mw*hours_per_day,capacity_mwh))*DAMAS_Daily!F355*activation_mult_D)</f>
        <v/>
      </c>
      <c r="N355" s="29">
        <f>F355+M355</f>
        <v/>
      </c>
    </row>
    <row r="356">
      <c r="A356" s="41">
        <f>DAMAS_Daily!A356</f>
        <v/>
      </c>
      <c r="B356" s="42">
        <f>DAMAS_Daily!B356</f>
        <v/>
      </c>
      <c r="C356" s="42">
        <f>IF((power_mw*hours_per_day*damas_afrr_up*capacity_mult_D*stack_capacity*acceptance_rate+(MIN(DAMAS_Daily!C356*market_share_D*acceptance_rate*stack_activation,power_mw*hours_per_day,capacity_mwh))*DAMAS_Daily!E356*activation_mult_D)&gt;=(power_mw*hours_per_day*damas_afrr_down*capacity_mult_D*stack_capacity*acceptance_rate+(MIN(DAMAS_Daily!D356*market_share_D*acceptance_rate*stack_activation,power_mw*hours_per_day,capacity_mwh))*DAMAS_Daily!F356*activation_mult_D),"aFRR+","aFRR-")</f>
        <v/>
      </c>
      <c r="D356" s="43">
        <f>IF(C356="aFRR+",damas_afrr_up*capacity_mult_D,damas_afrr_down*capacity_mult_D)</f>
        <v/>
      </c>
      <c r="E356" s="44">
        <f>acceptance_rate</f>
        <v/>
      </c>
      <c r="F356" s="28">
        <f>IF(C356="aFRR+",power_mw*hours_per_day*damas_afrr_up*capacity_mult_D*stack_capacity*acceptance_rate,power_mw*hours_per_day*damas_afrr_down*capacity_mult_D*stack_capacity*acceptance_rate)</f>
        <v/>
      </c>
      <c r="G356" s="42">
        <f>IF(C356="aFRR+",DAMAS_Daily!I356,DAMAS_Daily!J356)</f>
        <v/>
      </c>
      <c r="H356" s="43">
        <f>IF(C356="aFRR+",DAMAS_Daily!E356,DAMAS_Daily!F356)</f>
        <v/>
      </c>
      <c r="I356" s="43">
        <f>IF(C356="aFRR+",DAMAS_Daily!G356,DAMAS_Daily!H356)</f>
        <v/>
      </c>
      <c r="J356" s="45">
        <f>IF(C356="aFRR+",DAMAS_Daily!C356,DAMAS_Daily!D356)</f>
        <v/>
      </c>
      <c r="K356" s="45">
        <f>IF(C356="aFRR+",MIN(DAMAS_Daily!C356*market_share_D*acceptance_rate*stack_activation,power_mw*hours_per_day,capacity_mwh),MIN(DAMAS_Daily!D356*market_share_D*acceptance_rate*stack_activation,power_mw*hours_per_day,capacity_mwh))</f>
        <v/>
      </c>
      <c r="L356" s="42">
        <f>IF(K356&gt;=capacity_mwh-0.01,"yes","no")</f>
        <v/>
      </c>
      <c r="M356" s="28">
        <f>IF(C356="aFRR+",(MIN(DAMAS_Daily!C356*market_share_D*acceptance_rate*stack_activation,power_mw*hours_per_day,capacity_mwh))*DAMAS_Daily!E356*activation_mult_D,(MIN(DAMAS_Daily!D356*market_share_D*acceptance_rate*stack_activation,power_mw*hours_per_day,capacity_mwh))*DAMAS_Daily!F356*activation_mult_D)</f>
        <v/>
      </c>
      <c r="N356" s="29">
        <f>F356+M356</f>
        <v/>
      </c>
    </row>
    <row r="357">
      <c r="A357" s="41">
        <f>DAMAS_Daily!A357</f>
        <v/>
      </c>
      <c r="B357" s="42">
        <f>DAMAS_Daily!B357</f>
        <v/>
      </c>
      <c r="C357" s="42">
        <f>IF((power_mw*hours_per_day*damas_afrr_up*capacity_mult_D*stack_capacity*acceptance_rate+(MIN(DAMAS_Daily!C357*market_share_D*acceptance_rate*stack_activation,power_mw*hours_per_day,capacity_mwh))*DAMAS_Daily!E357*activation_mult_D)&gt;=(power_mw*hours_per_day*damas_afrr_down*capacity_mult_D*stack_capacity*acceptance_rate+(MIN(DAMAS_Daily!D357*market_share_D*acceptance_rate*stack_activation,power_mw*hours_per_day,capacity_mwh))*DAMAS_Daily!F357*activation_mult_D),"aFRR+","aFRR-")</f>
        <v/>
      </c>
      <c r="D357" s="43">
        <f>IF(C357="aFRR+",damas_afrr_up*capacity_mult_D,damas_afrr_down*capacity_mult_D)</f>
        <v/>
      </c>
      <c r="E357" s="44">
        <f>acceptance_rate</f>
        <v/>
      </c>
      <c r="F357" s="28">
        <f>IF(C357="aFRR+",power_mw*hours_per_day*damas_afrr_up*capacity_mult_D*stack_capacity*acceptance_rate,power_mw*hours_per_day*damas_afrr_down*capacity_mult_D*stack_capacity*acceptance_rate)</f>
        <v/>
      </c>
      <c r="G357" s="42">
        <f>IF(C357="aFRR+",DAMAS_Daily!I357,DAMAS_Daily!J357)</f>
        <v/>
      </c>
      <c r="H357" s="43">
        <f>IF(C357="aFRR+",DAMAS_Daily!E357,DAMAS_Daily!F357)</f>
        <v/>
      </c>
      <c r="I357" s="43">
        <f>IF(C357="aFRR+",DAMAS_Daily!G357,DAMAS_Daily!H357)</f>
        <v/>
      </c>
      <c r="J357" s="45">
        <f>IF(C357="aFRR+",DAMAS_Daily!C357,DAMAS_Daily!D357)</f>
        <v/>
      </c>
      <c r="K357" s="45">
        <f>IF(C357="aFRR+",MIN(DAMAS_Daily!C357*market_share_D*acceptance_rate*stack_activation,power_mw*hours_per_day,capacity_mwh),MIN(DAMAS_Daily!D357*market_share_D*acceptance_rate*stack_activation,power_mw*hours_per_day,capacity_mwh))</f>
        <v/>
      </c>
      <c r="L357" s="42">
        <f>IF(K357&gt;=capacity_mwh-0.01,"yes","no")</f>
        <v/>
      </c>
      <c r="M357" s="28">
        <f>IF(C357="aFRR+",(MIN(DAMAS_Daily!C357*market_share_D*acceptance_rate*stack_activation,power_mw*hours_per_day,capacity_mwh))*DAMAS_Daily!E357*activation_mult_D,(MIN(DAMAS_Daily!D357*market_share_D*acceptance_rate*stack_activation,power_mw*hours_per_day,capacity_mwh))*DAMAS_Daily!F357*activation_mult_D)</f>
        <v/>
      </c>
      <c r="N357" s="29">
        <f>F357+M357</f>
        <v/>
      </c>
    </row>
    <row r="358">
      <c r="A358" s="41">
        <f>DAMAS_Daily!A358</f>
        <v/>
      </c>
      <c r="B358" s="42">
        <f>DAMAS_Daily!B358</f>
        <v/>
      </c>
      <c r="C358" s="42">
        <f>IF((power_mw*hours_per_day*damas_afrr_up*capacity_mult_D*stack_capacity*acceptance_rate+(MIN(DAMAS_Daily!C358*market_share_D*acceptance_rate*stack_activation,power_mw*hours_per_day,capacity_mwh))*DAMAS_Daily!E358*activation_mult_D)&gt;=(power_mw*hours_per_day*damas_afrr_down*capacity_mult_D*stack_capacity*acceptance_rate+(MIN(DAMAS_Daily!D358*market_share_D*acceptance_rate*stack_activation,power_mw*hours_per_day,capacity_mwh))*DAMAS_Daily!F358*activation_mult_D),"aFRR+","aFRR-")</f>
        <v/>
      </c>
      <c r="D358" s="43">
        <f>IF(C358="aFRR+",damas_afrr_up*capacity_mult_D,damas_afrr_down*capacity_mult_D)</f>
        <v/>
      </c>
      <c r="E358" s="44">
        <f>acceptance_rate</f>
        <v/>
      </c>
      <c r="F358" s="28">
        <f>IF(C358="aFRR+",power_mw*hours_per_day*damas_afrr_up*capacity_mult_D*stack_capacity*acceptance_rate,power_mw*hours_per_day*damas_afrr_down*capacity_mult_D*stack_capacity*acceptance_rate)</f>
        <v/>
      </c>
      <c r="G358" s="42">
        <f>IF(C358="aFRR+",DAMAS_Daily!I358,DAMAS_Daily!J358)</f>
        <v/>
      </c>
      <c r="H358" s="43">
        <f>IF(C358="aFRR+",DAMAS_Daily!E358,DAMAS_Daily!F358)</f>
        <v/>
      </c>
      <c r="I358" s="43">
        <f>IF(C358="aFRR+",DAMAS_Daily!G358,DAMAS_Daily!H358)</f>
        <v/>
      </c>
      <c r="J358" s="45">
        <f>IF(C358="aFRR+",DAMAS_Daily!C358,DAMAS_Daily!D358)</f>
        <v/>
      </c>
      <c r="K358" s="45">
        <f>IF(C358="aFRR+",MIN(DAMAS_Daily!C358*market_share_D*acceptance_rate*stack_activation,power_mw*hours_per_day,capacity_mwh),MIN(DAMAS_Daily!D358*market_share_D*acceptance_rate*stack_activation,power_mw*hours_per_day,capacity_mwh))</f>
        <v/>
      </c>
      <c r="L358" s="42">
        <f>IF(K358&gt;=capacity_mwh-0.01,"yes","no")</f>
        <v/>
      </c>
      <c r="M358" s="28">
        <f>IF(C358="aFRR+",(MIN(DAMAS_Daily!C358*market_share_D*acceptance_rate*stack_activation,power_mw*hours_per_day,capacity_mwh))*DAMAS_Daily!E358*activation_mult_D,(MIN(DAMAS_Daily!D358*market_share_D*acceptance_rate*stack_activation,power_mw*hours_per_day,capacity_mwh))*DAMAS_Daily!F358*activation_mult_D)</f>
        <v/>
      </c>
      <c r="N358" s="29">
        <f>F358+M358</f>
        <v/>
      </c>
    </row>
    <row r="359">
      <c r="A359" s="41">
        <f>DAMAS_Daily!A359</f>
        <v/>
      </c>
      <c r="B359" s="42">
        <f>DAMAS_Daily!B359</f>
        <v/>
      </c>
      <c r="C359" s="42">
        <f>IF((power_mw*hours_per_day*damas_afrr_up*capacity_mult_D*stack_capacity*acceptance_rate+(MIN(DAMAS_Daily!C359*market_share_D*acceptance_rate*stack_activation,power_mw*hours_per_day,capacity_mwh))*DAMAS_Daily!E359*activation_mult_D)&gt;=(power_mw*hours_per_day*damas_afrr_down*capacity_mult_D*stack_capacity*acceptance_rate+(MIN(DAMAS_Daily!D359*market_share_D*acceptance_rate*stack_activation,power_mw*hours_per_day,capacity_mwh))*DAMAS_Daily!F359*activation_mult_D),"aFRR+","aFRR-")</f>
        <v/>
      </c>
      <c r="D359" s="43">
        <f>IF(C359="aFRR+",damas_afrr_up*capacity_mult_D,damas_afrr_down*capacity_mult_D)</f>
        <v/>
      </c>
      <c r="E359" s="44">
        <f>acceptance_rate</f>
        <v/>
      </c>
      <c r="F359" s="28">
        <f>IF(C359="aFRR+",power_mw*hours_per_day*damas_afrr_up*capacity_mult_D*stack_capacity*acceptance_rate,power_mw*hours_per_day*damas_afrr_down*capacity_mult_D*stack_capacity*acceptance_rate)</f>
        <v/>
      </c>
      <c r="G359" s="42">
        <f>IF(C359="aFRR+",DAMAS_Daily!I359,DAMAS_Daily!J359)</f>
        <v/>
      </c>
      <c r="H359" s="43">
        <f>IF(C359="aFRR+",DAMAS_Daily!E359,DAMAS_Daily!F359)</f>
        <v/>
      </c>
      <c r="I359" s="43">
        <f>IF(C359="aFRR+",DAMAS_Daily!G359,DAMAS_Daily!H359)</f>
        <v/>
      </c>
      <c r="J359" s="45">
        <f>IF(C359="aFRR+",DAMAS_Daily!C359,DAMAS_Daily!D359)</f>
        <v/>
      </c>
      <c r="K359" s="45">
        <f>IF(C359="aFRR+",MIN(DAMAS_Daily!C359*market_share_D*acceptance_rate*stack_activation,power_mw*hours_per_day,capacity_mwh),MIN(DAMAS_Daily!D359*market_share_D*acceptance_rate*stack_activation,power_mw*hours_per_day,capacity_mwh))</f>
        <v/>
      </c>
      <c r="L359" s="42">
        <f>IF(K359&gt;=capacity_mwh-0.01,"yes","no")</f>
        <v/>
      </c>
      <c r="M359" s="28">
        <f>IF(C359="aFRR+",(MIN(DAMAS_Daily!C359*market_share_D*acceptance_rate*stack_activation,power_mw*hours_per_day,capacity_mwh))*DAMAS_Daily!E359*activation_mult_D,(MIN(DAMAS_Daily!D359*market_share_D*acceptance_rate*stack_activation,power_mw*hours_per_day,capacity_mwh))*DAMAS_Daily!F359*activation_mult_D)</f>
        <v/>
      </c>
      <c r="N359" s="29">
        <f>F359+M359</f>
        <v/>
      </c>
    </row>
    <row r="360">
      <c r="A360" s="41">
        <f>DAMAS_Daily!A360</f>
        <v/>
      </c>
      <c r="B360" s="42">
        <f>DAMAS_Daily!B360</f>
        <v/>
      </c>
      <c r="C360" s="42">
        <f>IF((power_mw*hours_per_day*damas_afrr_up*capacity_mult_D*stack_capacity*acceptance_rate+(MIN(DAMAS_Daily!C360*market_share_D*acceptance_rate*stack_activation,power_mw*hours_per_day,capacity_mwh))*DAMAS_Daily!E360*activation_mult_D)&gt;=(power_mw*hours_per_day*damas_afrr_down*capacity_mult_D*stack_capacity*acceptance_rate+(MIN(DAMAS_Daily!D360*market_share_D*acceptance_rate*stack_activation,power_mw*hours_per_day,capacity_mwh))*DAMAS_Daily!F360*activation_mult_D),"aFRR+","aFRR-")</f>
        <v/>
      </c>
      <c r="D360" s="43">
        <f>IF(C360="aFRR+",damas_afrr_up*capacity_mult_D,damas_afrr_down*capacity_mult_D)</f>
        <v/>
      </c>
      <c r="E360" s="44">
        <f>acceptance_rate</f>
        <v/>
      </c>
      <c r="F360" s="28">
        <f>IF(C360="aFRR+",power_mw*hours_per_day*damas_afrr_up*capacity_mult_D*stack_capacity*acceptance_rate,power_mw*hours_per_day*damas_afrr_down*capacity_mult_D*stack_capacity*acceptance_rate)</f>
        <v/>
      </c>
      <c r="G360" s="42">
        <f>IF(C360="aFRR+",DAMAS_Daily!I360,DAMAS_Daily!J360)</f>
        <v/>
      </c>
      <c r="H360" s="43">
        <f>IF(C360="aFRR+",DAMAS_Daily!E360,DAMAS_Daily!F360)</f>
        <v/>
      </c>
      <c r="I360" s="43">
        <f>IF(C360="aFRR+",DAMAS_Daily!G360,DAMAS_Daily!H360)</f>
        <v/>
      </c>
      <c r="J360" s="45">
        <f>IF(C360="aFRR+",DAMAS_Daily!C360,DAMAS_Daily!D360)</f>
        <v/>
      </c>
      <c r="K360" s="45">
        <f>IF(C360="aFRR+",MIN(DAMAS_Daily!C360*market_share_D*acceptance_rate*stack_activation,power_mw*hours_per_day,capacity_mwh),MIN(DAMAS_Daily!D360*market_share_D*acceptance_rate*stack_activation,power_mw*hours_per_day,capacity_mwh))</f>
        <v/>
      </c>
      <c r="L360" s="42">
        <f>IF(K360&gt;=capacity_mwh-0.01,"yes","no")</f>
        <v/>
      </c>
      <c r="M360" s="28">
        <f>IF(C360="aFRR+",(MIN(DAMAS_Daily!C360*market_share_D*acceptance_rate*stack_activation,power_mw*hours_per_day,capacity_mwh))*DAMAS_Daily!E360*activation_mult_D,(MIN(DAMAS_Daily!D360*market_share_D*acceptance_rate*stack_activation,power_mw*hours_per_day,capacity_mwh))*DAMAS_Daily!F360*activation_mult_D)</f>
        <v/>
      </c>
      <c r="N360" s="29">
        <f>F360+M360</f>
        <v/>
      </c>
    </row>
    <row r="361">
      <c r="A361" s="41">
        <f>DAMAS_Daily!A361</f>
        <v/>
      </c>
      <c r="B361" s="42">
        <f>DAMAS_Daily!B361</f>
        <v/>
      </c>
      <c r="C361" s="42">
        <f>IF((power_mw*hours_per_day*damas_afrr_up*capacity_mult_D*stack_capacity*acceptance_rate+(MIN(DAMAS_Daily!C361*market_share_D*acceptance_rate*stack_activation,power_mw*hours_per_day,capacity_mwh))*DAMAS_Daily!E361*activation_mult_D)&gt;=(power_mw*hours_per_day*damas_afrr_down*capacity_mult_D*stack_capacity*acceptance_rate+(MIN(DAMAS_Daily!D361*market_share_D*acceptance_rate*stack_activation,power_mw*hours_per_day,capacity_mwh))*DAMAS_Daily!F361*activation_mult_D),"aFRR+","aFRR-")</f>
        <v/>
      </c>
      <c r="D361" s="43">
        <f>IF(C361="aFRR+",damas_afrr_up*capacity_mult_D,damas_afrr_down*capacity_mult_D)</f>
        <v/>
      </c>
      <c r="E361" s="44">
        <f>acceptance_rate</f>
        <v/>
      </c>
      <c r="F361" s="28">
        <f>IF(C361="aFRR+",power_mw*hours_per_day*damas_afrr_up*capacity_mult_D*stack_capacity*acceptance_rate,power_mw*hours_per_day*damas_afrr_down*capacity_mult_D*stack_capacity*acceptance_rate)</f>
        <v/>
      </c>
      <c r="G361" s="42">
        <f>IF(C361="aFRR+",DAMAS_Daily!I361,DAMAS_Daily!J361)</f>
        <v/>
      </c>
      <c r="H361" s="43">
        <f>IF(C361="aFRR+",DAMAS_Daily!E361,DAMAS_Daily!F361)</f>
        <v/>
      </c>
      <c r="I361" s="43">
        <f>IF(C361="aFRR+",DAMAS_Daily!G361,DAMAS_Daily!H361)</f>
        <v/>
      </c>
      <c r="J361" s="45">
        <f>IF(C361="aFRR+",DAMAS_Daily!C361,DAMAS_Daily!D361)</f>
        <v/>
      </c>
      <c r="K361" s="45">
        <f>IF(C361="aFRR+",MIN(DAMAS_Daily!C361*market_share_D*acceptance_rate*stack_activation,power_mw*hours_per_day,capacity_mwh),MIN(DAMAS_Daily!D361*market_share_D*acceptance_rate*stack_activation,power_mw*hours_per_day,capacity_mwh))</f>
        <v/>
      </c>
      <c r="L361" s="42">
        <f>IF(K361&gt;=capacity_mwh-0.01,"yes","no")</f>
        <v/>
      </c>
      <c r="M361" s="28">
        <f>IF(C361="aFRR+",(MIN(DAMAS_Daily!C361*market_share_D*acceptance_rate*stack_activation,power_mw*hours_per_day,capacity_mwh))*DAMAS_Daily!E361*activation_mult_D,(MIN(DAMAS_Daily!D361*market_share_D*acceptance_rate*stack_activation,power_mw*hours_per_day,capacity_mwh))*DAMAS_Daily!F361*activation_mult_D)</f>
        <v/>
      </c>
      <c r="N361" s="29">
        <f>F361+M361</f>
        <v/>
      </c>
    </row>
    <row r="362">
      <c r="A362" s="41">
        <f>DAMAS_Daily!A362</f>
        <v/>
      </c>
      <c r="B362" s="42">
        <f>DAMAS_Daily!B362</f>
        <v/>
      </c>
      <c r="C362" s="42">
        <f>IF((power_mw*hours_per_day*damas_afrr_up*capacity_mult_D*stack_capacity*acceptance_rate+(MIN(DAMAS_Daily!C362*market_share_D*acceptance_rate*stack_activation,power_mw*hours_per_day,capacity_mwh))*DAMAS_Daily!E362*activation_mult_D)&gt;=(power_mw*hours_per_day*damas_afrr_down*capacity_mult_D*stack_capacity*acceptance_rate+(MIN(DAMAS_Daily!D362*market_share_D*acceptance_rate*stack_activation,power_mw*hours_per_day,capacity_mwh))*DAMAS_Daily!F362*activation_mult_D),"aFRR+","aFRR-")</f>
        <v/>
      </c>
      <c r="D362" s="43">
        <f>IF(C362="aFRR+",damas_afrr_up*capacity_mult_D,damas_afrr_down*capacity_mult_D)</f>
        <v/>
      </c>
      <c r="E362" s="44">
        <f>acceptance_rate</f>
        <v/>
      </c>
      <c r="F362" s="28">
        <f>IF(C362="aFRR+",power_mw*hours_per_day*damas_afrr_up*capacity_mult_D*stack_capacity*acceptance_rate,power_mw*hours_per_day*damas_afrr_down*capacity_mult_D*stack_capacity*acceptance_rate)</f>
        <v/>
      </c>
      <c r="G362" s="42">
        <f>IF(C362="aFRR+",DAMAS_Daily!I362,DAMAS_Daily!J362)</f>
        <v/>
      </c>
      <c r="H362" s="43">
        <f>IF(C362="aFRR+",DAMAS_Daily!E362,DAMAS_Daily!F362)</f>
        <v/>
      </c>
      <c r="I362" s="43">
        <f>IF(C362="aFRR+",DAMAS_Daily!G362,DAMAS_Daily!H362)</f>
        <v/>
      </c>
      <c r="J362" s="45">
        <f>IF(C362="aFRR+",DAMAS_Daily!C362,DAMAS_Daily!D362)</f>
        <v/>
      </c>
      <c r="K362" s="45">
        <f>IF(C362="aFRR+",MIN(DAMAS_Daily!C362*market_share_D*acceptance_rate*stack_activation,power_mw*hours_per_day,capacity_mwh),MIN(DAMAS_Daily!D362*market_share_D*acceptance_rate*stack_activation,power_mw*hours_per_day,capacity_mwh))</f>
        <v/>
      </c>
      <c r="L362" s="42">
        <f>IF(K362&gt;=capacity_mwh-0.01,"yes","no")</f>
        <v/>
      </c>
      <c r="M362" s="28">
        <f>IF(C362="aFRR+",(MIN(DAMAS_Daily!C362*market_share_D*acceptance_rate*stack_activation,power_mw*hours_per_day,capacity_mwh))*DAMAS_Daily!E362*activation_mult_D,(MIN(DAMAS_Daily!D362*market_share_D*acceptance_rate*stack_activation,power_mw*hours_per_day,capacity_mwh))*DAMAS_Daily!F362*activation_mult_D)</f>
        <v/>
      </c>
      <c r="N362" s="29">
        <f>F362+M362</f>
        <v/>
      </c>
    </row>
    <row r="363">
      <c r="A363" s="41">
        <f>DAMAS_Daily!A363</f>
        <v/>
      </c>
      <c r="B363" s="42">
        <f>DAMAS_Daily!B363</f>
        <v/>
      </c>
      <c r="C363" s="42">
        <f>IF((power_mw*hours_per_day*damas_afrr_up*capacity_mult_D*stack_capacity*acceptance_rate+(MIN(DAMAS_Daily!C363*market_share_D*acceptance_rate*stack_activation,power_mw*hours_per_day,capacity_mwh))*DAMAS_Daily!E363*activation_mult_D)&gt;=(power_mw*hours_per_day*damas_afrr_down*capacity_mult_D*stack_capacity*acceptance_rate+(MIN(DAMAS_Daily!D363*market_share_D*acceptance_rate*stack_activation,power_mw*hours_per_day,capacity_mwh))*DAMAS_Daily!F363*activation_mult_D),"aFRR+","aFRR-")</f>
        <v/>
      </c>
      <c r="D363" s="43">
        <f>IF(C363="aFRR+",damas_afrr_up*capacity_mult_D,damas_afrr_down*capacity_mult_D)</f>
        <v/>
      </c>
      <c r="E363" s="44">
        <f>acceptance_rate</f>
        <v/>
      </c>
      <c r="F363" s="28">
        <f>IF(C363="aFRR+",power_mw*hours_per_day*damas_afrr_up*capacity_mult_D*stack_capacity*acceptance_rate,power_mw*hours_per_day*damas_afrr_down*capacity_mult_D*stack_capacity*acceptance_rate)</f>
        <v/>
      </c>
      <c r="G363" s="42">
        <f>IF(C363="aFRR+",DAMAS_Daily!I363,DAMAS_Daily!J363)</f>
        <v/>
      </c>
      <c r="H363" s="43">
        <f>IF(C363="aFRR+",DAMAS_Daily!E363,DAMAS_Daily!F363)</f>
        <v/>
      </c>
      <c r="I363" s="43">
        <f>IF(C363="aFRR+",DAMAS_Daily!G363,DAMAS_Daily!H363)</f>
        <v/>
      </c>
      <c r="J363" s="45">
        <f>IF(C363="aFRR+",DAMAS_Daily!C363,DAMAS_Daily!D363)</f>
        <v/>
      </c>
      <c r="K363" s="45">
        <f>IF(C363="aFRR+",MIN(DAMAS_Daily!C363*market_share_D*acceptance_rate*stack_activation,power_mw*hours_per_day,capacity_mwh),MIN(DAMAS_Daily!D363*market_share_D*acceptance_rate*stack_activation,power_mw*hours_per_day,capacity_mwh))</f>
        <v/>
      </c>
      <c r="L363" s="42">
        <f>IF(K363&gt;=capacity_mwh-0.01,"yes","no")</f>
        <v/>
      </c>
      <c r="M363" s="28">
        <f>IF(C363="aFRR+",(MIN(DAMAS_Daily!C363*market_share_D*acceptance_rate*stack_activation,power_mw*hours_per_day,capacity_mwh))*DAMAS_Daily!E363*activation_mult_D,(MIN(DAMAS_Daily!D363*market_share_D*acceptance_rate*stack_activation,power_mw*hours_per_day,capacity_mwh))*DAMAS_Daily!F363*activation_mult_D)</f>
        <v/>
      </c>
      <c r="N363" s="29">
        <f>F363+M363</f>
        <v/>
      </c>
    </row>
    <row r="364">
      <c r="A364" s="41">
        <f>DAMAS_Daily!A364</f>
        <v/>
      </c>
      <c r="B364" s="42">
        <f>DAMAS_Daily!B364</f>
        <v/>
      </c>
      <c r="C364" s="42">
        <f>IF((power_mw*hours_per_day*damas_afrr_up*capacity_mult_D*stack_capacity*acceptance_rate+(MIN(DAMAS_Daily!C364*market_share_D*acceptance_rate*stack_activation,power_mw*hours_per_day,capacity_mwh))*DAMAS_Daily!E364*activation_mult_D)&gt;=(power_mw*hours_per_day*damas_afrr_down*capacity_mult_D*stack_capacity*acceptance_rate+(MIN(DAMAS_Daily!D364*market_share_D*acceptance_rate*stack_activation,power_mw*hours_per_day,capacity_mwh))*DAMAS_Daily!F364*activation_mult_D),"aFRR+","aFRR-")</f>
        <v/>
      </c>
      <c r="D364" s="43">
        <f>IF(C364="aFRR+",damas_afrr_up*capacity_mult_D,damas_afrr_down*capacity_mult_D)</f>
        <v/>
      </c>
      <c r="E364" s="44">
        <f>acceptance_rate</f>
        <v/>
      </c>
      <c r="F364" s="28">
        <f>IF(C364="aFRR+",power_mw*hours_per_day*damas_afrr_up*capacity_mult_D*stack_capacity*acceptance_rate,power_mw*hours_per_day*damas_afrr_down*capacity_mult_D*stack_capacity*acceptance_rate)</f>
        <v/>
      </c>
      <c r="G364" s="42">
        <f>IF(C364="aFRR+",DAMAS_Daily!I364,DAMAS_Daily!J364)</f>
        <v/>
      </c>
      <c r="H364" s="43">
        <f>IF(C364="aFRR+",DAMAS_Daily!E364,DAMAS_Daily!F364)</f>
        <v/>
      </c>
      <c r="I364" s="43">
        <f>IF(C364="aFRR+",DAMAS_Daily!G364,DAMAS_Daily!H364)</f>
        <v/>
      </c>
      <c r="J364" s="45">
        <f>IF(C364="aFRR+",DAMAS_Daily!C364,DAMAS_Daily!D364)</f>
        <v/>
      </c>
      <c r="K364" s="45">
        <f>IF(C364="aFRR+",MIN(DAMAS_Daily!C364*market_share_D*acceptance_rate*stack_activation,power_mw*hours_per_day,capacity_mwh),MIN(DAMAS_Daily!D364*market_share_D*acceptance_rate*stack_activation,power_mw*hours_per_day,capacity_mwh))</f>
        <v/>
      </c>
      <c r="L364" s="42">
        <f>IF(K364&gt;=capacity_mwh-0.01,"yes","no")</f>
        <v/>
      </c>
      <c r="M364" s="28">
        <f>IF(C364="aFRR+",(MIN(DAMAS_Daily!C364*market_share_D*acceptance_rate*stack_activation,power_mw*hours_per_day,capacity_mwh))*DAMAS_Daily!E364*activation_mult_D,(MIN(DAMAS_Daily!D364*market_share_D*acceptance_rate*stack_activation,power_mw*hours_per_day,capacity_mwh))*DAMAS_Daily!F364*activation_mult_D)</f>
        <v/>
      </c>
      <c r="N364" s="29">
        <f>F364+M364</f>
        <v/>
      </c>
    </row>
    <row r="365">
      <c r="A365" s="41">
        <f>DAMAS_Daily!A365</f>
        <v/>
      </c>
      <c r="B365" s="42">
        <f>DAMAS_Daily!B365</f>
        <v/>
      </c>
      <c r="C365" s="42">
        <f>IF((power_mw*hours_per_day*damas_afrr_up*capacity_mult_D*stack_capacity*acceptance_rate+(MIN(DAMAS_Daily!C365*market_share_D*acceptance_rate*stack_activation,power_mw*hours_per_day,capacity_mwh))*DAMAS_Daily!E365*activation_mult_D)&gt;=(power_mw*hours_per_day*damas_afrr_down*capacity_mult_D*stack_capacity*acceptance_rate+(MIN(DAMAS_Daily!D365*market_share_D*acceptance_rate*stack_activation,power_mw*hours_per_day,capacity_mwh))*DAMAS_Daily!F365*activation_mult_D),"aFRR+","aFRR-")</f>
        <v/>
      </c>
      <c r="D365" s="43">
        <f>IF(C365="aFRR+",damas_afrr_up*capacity_mult_D,damas_afrr_down*capacity_mult_D)</f>
        <v/>
      </c>
      <c r="E365" s="44">
        <f>acceptance_rate</f>
        <v/>
      </c>
      <c r="F365" s="28">
        <f>IF(C365="aFRR+",power_mw*hours_per_day*damas_afrr_up*capacity_mult_D*stack_capacity*acceptance_rate,power_mw*hours_per_day*damas_afrr_down*capacity_mult_D*stack_capacity*acceptance_rate)</f>
        <v/>
      </c>
      <c r="G365" s="42">
        <f>IF(C365="aFRR+",DAMAS_Daily!I365,DAMAS_Daily!J365)</f>
        <v/>
      </c>
      <c r="H365" s="43">
        <f>IF(C365="aFRR+",DAMAS_Daily!E365,DAMAS_Daily!F365)</f>
        <v/>
      </c>
      <c r="I365" s="43">
        <f>IF(C365="aFRR+",DAMAS_Daily!G365,DAMAS_Daily!H365)</f>
        <v/>
      </c>
      <c r="J365" s="45">
        <f>IF(C365="aFRR+",DAMAS_Daily!C365,DAMAS_Daily!D365)</f>
        <v/>
      </c>
      <c r="K365" s="45">
        <f>IF(C365="aFRR+",MIN(DAMAS_Daily!C365*market_share_D*acceptance_rate*stack_activation,power_mw*hours_per_day,capacity_mwh),MIN(DAMAS_Daily!D365*market_share_D*acceptance_rate*stack_activation,power_mw*hours_per_day,capacity_mwh))</f>
        <v/>
      </c>
      <c r="L365" s="42">
        <f>IF(K365&gt;=capacity_mwh-0.01,"yes","no")</f>
        <v/>
      </c>
      <c r="M365" s="28">
        <f>IF(C365="aFRR+",(MIN(DAMAS_Daily!C365*market_share_D*acceptance_rate*stack_activation,power_mw*hours_per_day,capacity_mwh))*DAMAS_Daily!E365*activation_mult_D,(MIN(DAMAS_Daily!D365*market_share_D*acceptance_rate*stack_activation,power_mw*hours_per_day,capacity_mwh))*DAMAS_Daily!F365*activation_mult_D)</f>
        <v/>
      </c>
      <c r="N365" s="29">
        <f>F365+M365</f>
        <v/>
      </c>
    </row>
    <row r="366">
      <c r="A366" s="41">
        <f>DAMAS_Daily!A366</f>
        <v/>
      </c>
      <c r="B366" s="42">
        <f>DAMAS_Daily!B366</f>
        <v/>
      </c>
      <c r="C366" s="42">
        <f>IF((power_mw*hours_per_day*damas_afrr_up*capacity_mult_D*stack_capacity*acceptance_rate+(MIN(DAMAS_Daily!C366*market_share_D*acceptance_rate*stack_activation,power_mw*hours_per_day,capacity_mwh))*DAMAS_Daily!E366*activation_mult_D)&gt;=(power_mw*hours_per_day*damas_afrr_down*capacity_mult_D*stack_capacity*acceptance_rate+(MIN(DAMAS_Daily!D366*market_share_D*acceptance_rate*stack_activation,power_mw*hours_per_day,capacity_mwh))*DAMAS_Daily!F366*activation_mult_D),"aFRR+","aFRR-")</f>
        <v/>
      </c>
      <c r="D366" s="43">
        <f>IF(C366="aFRR+",damas_afrr_up*capacity_mult_D,damas_afrr_down*capacity_mult_D)</f>
        <v/>
      </c>
      <c r="E366" s="44">
        <f>acceptance_rate</f>
        <v/>
      </c>
      <c r="F366" s="28">
        <f>IF(C366="aFRR+",power_mw*hours_per_day*damas_afrr_up*capacity_mult_D*stack_capacity*acceptance_rate,power_mw*hours_per_day*damas_afrr_down*capacity_mult_D*stack_capacity*acceptance_rate)</f>
        <v/>
      </c>
      <c r="G366" s="42">
        <f>IF(C366="aFRR+",DAMAS_Daily!I366,DAMAS_Daily!J366)</f>
        <v/>
      </c>
      <c r="H366" s="43">
        <f>IF(C366="aFRR+",DAMAS_Daily!E366,DAMAS_Daily!F366)</f>
        <v/>
      </c>
      <c r="I366" s="43">
        <f>IF(C366="aFRR+",DAMAS_Daily!G366,DAMAS_Daily!H366)</f>
        <v/>
      </c>
      <c r="J366" s="45">
        <f>IF(C366="aFRR+",DAMAS_Daily!C366,DAMAS_Daily!D366)</f>
        <v/>
      </c>
      <c r="K366" s="45">
        <f>IF(C366="aFRR+",MIN(DAMAS_Daily!C366*market_share_D*acceptance_rate*stack_activation,power_mw*hours_per_day,capacity_mwh),MIN(DAMAS_Daily!D366*market_share_D*acceptance_rate*stack_activation,power_mw*hours_per_day,capacity_mwh))</f>
        <v/>
      </c>
      <c r="L366" s="42">
        <f>IF(K366&gt;=capacity_mwh-0.01,"yes","no")</f>
        <v/>
      </c>
      <c r="M366" s="28">
        <f>IF(C366="aFRR+",(MIN(DAMAS_Daily!C366*market_share_D*acceptance_rate*stack_activation,power_mw*hours_per_day,capacity_mwh))*DAMAS_Daily!E366*activation_mult_D,(MIN(DAMAS_Daily!D366*market_share_D*acceptance_rate*stack_activation,power_mw*hours_per_day,capacity_mwh))*DAMAS_Daily!F366*activation_mult_D)</f>
        <v/>
      </c>
      <c r="N366" s="29">
        <f>F366+M366</f>
        <v/>
      </c>
    </row>
    <row r="367">
      <c r="A367" s="41">
        <f>DAMAS_Daily!A367</f>
        <v/>
      </c>
      <c r="B367" s="42">
        <f>DAMAS_Daily!B367</f>
        <v/>
      </c>
      <c r="C367" s="42">
        <f>IF((power_mw*hours_per_day*damas_afrr_up*capacity_mult_D*stack_capacity*acceptance_rate+(MIN(DAMAS_Daily!C367*market_share_D*acceptance_rate*stack_activation,power_mw*hours_per_day,capacity_mwh))*DAMAS_Daily!E367*activation_mult_D)&gt;=(power_mw*hours_per_day*damas_afrr_down*capacity_mult_D*stack_capacity*acceptance_rate+(MIN(DAMAS_Daily!D367*market_share_D*acceptance_rate*stack_activation,power_mw*hours_per_day,capacity_mwh))*DAMAS_Daily!F367*activation_mult_D),"aFRR+","aFRR-")</f>
        <v/>
      </c>
      <c r="D367" s="43">
        <f>IF(C367="aFRR+",damas_afrr_up*capacity_mult_D,damas_afrr_down*capacity_mult_D)</f>
        <v/>
      </c>
      <c r="E367" s="44">
        <f>acceptance_rate</f>
        <v/>
      </c>
      <c r="F367" s="28">
        <f>IF(C367="aFRR+",power_mw*hours_per_day*damas_afrr_up*capacity_mult_D*stack_capacity*acceptance_rate,power_mw*hours_per_day*damas_afrr_down*capacity_mult_D*stack_capacity*acceptance_rate)</f>
        <v/>
      </c>
      <c r="G367" s="42">
        <f>IF(C367="aFRR+",DAMAS_Daily!I367,DAMAS_Daily!J367)</f>
        <v/>
      </c>
      <c r="H367" s="43">
        <f>IF(C367="aFRR+",DAMAS_Daily!E367,DAMAS_Daily!F367)</f>
        <v/>
      </c>
      <c r="I367" s="43">
        <f>IF(C367="aFRR+",DAMAS_Daily!G367,DAMAS_Daily!H367)</f>
        <v/>
      </c>
      <c r="J367" s="45">
        <f>IF(C367="aFRR+",DAMAS_Daily!C367,DAMAS_Daily!D367)</f>
        <v/>
      </c>
      <c r="K367" s="45">
        <f>IF(C367="aFRR+",MIN(DAMAS_Daily!C367*market_share_D*acceptance_rate*stack_activation,power_mw*hours_per_day,capacity_mwh),MIN(DAMAS_Daily!D367*market_share_D*acceptance_rate*stack_activation,power_mw*hours_per_day,capacity_mwh))</f>
        <v/>
      </c>
      <c r="L367" s="42">
        <f>IF(K367&gt;=capacity_mwh-0.01,"yes","no")</f>
        <v/>
      </c>
      <c r="M367" s="28">
        <f>IF(C367="aFRR+",(MIN(DAMAS_Daily!C367*market_share_D*acceptance_rate*stack_activation,power_mw*hours_per_day,capacity_mwh))*DAMAS_Daily!E367*activation_mult_D,(MIN(DAMAS_Daily!D367*market_share_D*acceptance_rate*stack_activation,power_mw*hours_per_day,capacity_mwh))*DAMAS_Daily!F367*activation_mult_D)</f>
        <v/>
      </c>
      <c r="N367" s="29">
        <f>F367+M367</f>
        <v/>
      </c>
    </row>
    <row r="368">
      <c r="A368" s="46" t="inlineStr">
        <is>
          <t>TOTAL</t>
        </is>
      </c>
      <c r="B368" s="46" t="inlineStr">
        <is>
          <t>366 days</t>
        </is>
      </c>
      <c r="C368" s="46" t="inlineStr">
        <is>
          <t>—</t>
        </is>
      </c>
      <c r="D368" s="46" t="n"/>
      <c r="E368" s="46" t="n"/>
      <c r="F368" s="47">
        <f>SUM(F2:F367)</f>
        <v/>
      </c>
      <c r="G368" s="46">
        <f>SUM(G2:G367)</f>
        <v/>
      </c>
      <c r="H368" s="46" t="n"/>
      <c r="I368" s="46" t="n"/>
      <c r="J368" s="46" t="n"/>
      <c r="K368" s="48">
        <f>SUM(K2:K367)</f>
        <v/>
      </c>
      <c r="L368" s="46" t="n"/>
      <c r="M368" s="47">
        <f>SUM(M2:M367)</f>
        <v/>
      </c>
      <c r="N368" s="47">
        <f>SUM(N2:N367)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Inputs — edit yellow cells to recompute every scenario</t>
        </is>
      </c>
    </row>
    <row r="3" ht="22" customHeight="1">
      <c r="A3" s="2" t="inlineStr">
        <is>
          <t>Battery configuration (10 MW / 20 MWh canonical)</t>
        </is>
      </c>
    </row>
    <row r="4">
      <c r="A4" s="3" t="inlineStr">
        <is>
          <t>Power</t>
        </is>
      </c>
      <c r="B4" s="49" t="n">
        <v>10</v>
      </c>
      <c r="C4" s="50" t="inlineStr">
        <is>
          <t>Battery rated power</t>
        </is>
      </c>
      <c r="D4" s="32" t="n"/>
      <c r="E4" s="32" t="n"/>
    </row>
    <row r="5">
      <c r="A5" s="3" t="inlineStr">
        <is>
          <t>Energy capacity</t>
        </is>
      </c>
      <c r="B5" s="51" t="n">
        <v>20</v>
      </c>
      <c r="C5" s="50" t="inlineStr">
        <is>
          <t>Daily throughput cap</t>
        </is>
      </c>
      <c r="D5" s="32" t="n"/>
      <c r="E5" s="32" t="n"/>
    </row>
    <row r="6">
      <c r="A6" s="3" t="inlineStr">
        <is>
          <t>Hours per day</t>
        </is>
      </c>
      <c r="B6" s="52" t="n">
        <v>24</v>
      </c>
      <c r="C6" s="50" t="inlineStr">
        <is>
          <t>24h availability</t>
        </is>
      </c>
      <c r="D6" s="32" t="n"/>
      <c r="E6" s="32" t="n"/>
    </row>
    <row r="7">
      <c r="A7" s="3" t="inlineStr">
        <is>
          <t>Acceptance rate</t>
        </is>
      </c>
      <c r="B7" s="53" t="n">
        <v>0.8</v>
      </c>
      <c r="C7" s="50" t="inlineStr">
        <is>
          <t>Balanced strategy 80%</t>
        </is>
      </c>
      <c r="D7" s="32" t="n"/>
      <c r="E7" s="32" t="n"/>
    </row>
    <row r="9" ht="22" customHeight="1">
      <c r="A9" s="2" t="inlineStr">
        <is>
          <t>DAMAS clearing — capacity bid base (€/MW/h)</t>
        </is>
      </c>
    </row>
    <row r="10">
      <c r="A10" s="3" t="inlineStr">
        <is>
          <t>aFRR Up clearing</t>
        </is>
      </c>
      <c r="B10" s="54" t="n">
        <v>8.720000000000001</v>
      </c>
      <c r="C10" s="50" t="inlineStr">
        <is>
          <t>Real DAMAS public-tender sample mean. Edit if you have different data.</t>
        </is>
      </c>
      <c r="D10" s="32" t="n"/>
      <c r="E10" s="32" t="n"/>
    </row>
    <row r="11">
      <c r="A11" s="3" t="inlineStr">
        <is>
          <t>aFRR Down clearing</t>
        </is>
      </c>
      <c r="B11" s="54" t="n">
        <v>6.59</v>
      </c>
      <c r="C11" s="50" t="inlineStr">
        <is>
          <t>ditto</t>
        </is>
      </c>
      <c r="D11" s="32" t="n"/>
      <c r="E11" s="32" t="n"/>
    </row>
    <row r="13" ht="22" customHeight="1">
      <c r="A13" s="2" t="inlineStr">
        <is>
          <t>Stacking factors (physical hardware constraint)</t>
        </is>
      </c>
    </row>
    <row r="14">
      <c r="A14" s="3" t="inlineStr">
        <is>
          <t>aFRR capacity stacking</t>
        </is>
      </c>
      <c r="B14" s="53" t="n">
        <v>1</v>
      </c>
      <c r="C14" s="50" t="inlineStr">
        <is>
          <t>Pure availability — independent of other streams</t>
        </is>
      </c>
      <c r="D14" s="32" t="n"/>
      <c r="E14" s="32" t="n"/>
    </row>
    <row r="15">
      <c r="A15" s="3" t="inlineStr">
        <is>
          <t>aFRR activation stacking</t>
        </is>
      </c>
      <c r="B15" s="53" t="n">
        <v>0.6</v>
      </c>
      <c r="C15" s="50" t="inlineStr">
        <is>
          <t>Activation MWh competes with PZU throughput</t>
        </is>
      </c>
      <c r="D15" s="32" t="n"/>
      <c r="E15" s="32" t="n"/>
    </row>
    <row r="17" ht="22" customHeight="1">
      <c r="A17" s="2" t="inlineStr">
        <is>
          <t>Scenario A — A. Current (10%, pre-PICASSO)</t>
        </is>
      </c>
    </row>
    <row r="18">
      <c r="A18" s="3" t="inlineStr">
        <is>
          <t xml:space="preserve">  Market share</t>
        </is>
      </c>
      <c r="B18" s="53" t="n">
        <v>0.1</v>
      </c>
      <c r="C18" s="50" t="inlineStr">
        <is>
          <t>Captured share of TSO activations (~10% small entrant)</t>
        </is>
      </c>
      <c r="D18" s="32" t="n"/>
      <c r="E18" s="32" t="n"/>
    </row>
    <row r="19">
      <c r="A19" s="3" t="inlineStr">
        <is>
          <t xml:space="preserve">  Capacity multiplier</t>
        </is>
      </c>
      <c r="B19" s="53" t="n">
        <v>1</v>
      </c>
      <c r="C19" s="50" t="inlineStr">
        <is>
          <t>× DAMAS clearing → bid</t>
        </is>
      </c>
      <c r="D19" s="32" t="n"/>
      <c r="E19" s="32" t="n"/>
    </row>
    <row r="20">
      <c r="A20" s="3" t="inlineStr">
        <is>
          <t xml:space="preserve">  Activation multiplier</t>
        </is>
      </c>
      <c r="B20" s="53" t="n">
        <v>1</v>
      </c>
      <c r="C20" s="50" t="inlineStr">
        <is>
          <t>× actual settlement price → activation revenue</t>
        </is>
      </c>
      <c r="D20" s="32" t="n"/>
      <c r="E20" s="32" t="n"/>
    </row>
    <row r="21" ht="22" customHeight="1">
      <c r="A21" s="2" t="inlineStr">
        <is>
          <t>Scenario B — B. PICASSO go-live (−25%)</t>
        </is>
      </c>
    </row>
    <row r="22">
      <c r="A22" s="3" t="inlineStr">
        <is>
          <t xml:space="preserve">  Market share</t>
        </is>
      </c>
      <c r="B22" s="53" t="n">
        <v>0.1</v>
      </c>
      <c r="C22" s="50" t="inlineStr">
        <is>
          <t>Captured share of TSO activations (~10% small entrant)</t>
        </is>
      </c>
      <c r="D22" s="32" t="n"/>
      <c r="E22" s="32" t="n"/>
    </row>
    <row r="23">
      <c r="A23" s="3" t="inlineStr">
        <is>
          <t xml:space="preserve">  Capacity multiplier</t>
        </is>
      </c>
      <c r="B23" s="53" t="n">
        <v>0.75</v>
      </c>
      <c r="C23" s="50" t="inlineStr">
        <is>
          <t>× DAMAS clearing → bid</t>
        </is>
      </c>
      <c r="D23" s="32" t="n"/>
      <c r="E23" s="32" t="n"/>
    </row>
    <row r="24">
      <c r="A24" s="3" t="inlineStr">
        <is>
          <t xml:space="preserve">  Activation multiplier</t>
        </is>
      </c>
      <c r="B24" s="53" t="n">
        <v>0.75</v>
      </c>
      <c r="C24" s="50" t="inlineStr">
        <is>
          <t>× actual settlement price → activation revenue</t>
        </is>
      </c>
      <c r="D24" s="32" t="n"/>
      <c r="E24" s="32" t="n"/>
    </row>
    <row r="25" ht="22" customHeight="1">
      <c r="A25" s="2" t="inlineStr">
        <is>
          <t>Scenario C — C. Mature market (5% share, −40%)</t>
        </is>
      </c>
    </row>
    <row r="26">
      <c r="A26" s="3" t="inlineStr">
        <is>
          <t xml:space="preserve">  Market share</t>
        </is>
      </c>
      <c r="B26" s="53" t="n">
        <v>0.05</v>
      </c>
      <c r="C26" s="50" t="inlineStr">
        <is>
          <t>Captured share of TSO activations (~10% small entrant)</t>
        </is>
      </c>
      <c r="D26" s="32" t="n"/>
      <c r="E26" s="32" t="n"/>
    </row>
    <row r="27">
      <c r="A27" s="3" t="inlineStr">
        <is>
          <t xml:space="preserve">  Capacity multiplier</t>
        </is>
      </c>
      <c r="B27" s="53" t="n">
        <v>0.6</v>
      </c>
      <c r="C27" s="50" t="inlineStr">
        <is>
          <t>× DAMAS clearing → bid</t>
        </is>
      </c>
      <c r="D27" s="32" t="n"/>
      <c r="E27" s="32" t="n"/>
    </row>
    <row r="28">
      <c r="A28" s="3" t="inlineStr">
        <is>
          <t xml:space="preserve">  Activation multiplier</t>
        </is>
      </c>
      <c r="B28" s="53" t="n">
        <v>0.65</v>
      </c>
      <c r="C28" s="50" t="inlineStr">
        <is>
          <t>× actual settlement price → activation revenue</t>
        </is>
      </c>
      <c r="D28" s="32" t="n"/>
      <c r="E28" s="32" t="n"/>
    </row>
    <row r="29" ht="22" customHeight="1">
      <c r="A29" s="2" t="inlineStr">
        <is>
          <t>Scenario D — D. Bear case (2%, full saturation)</t>
        </is>
      </c>
    </row>
    <row r="30">
      <c r="A30" s="3" t="inlineStr">
        <is>
          <t xml:space="preserve">  Market share</t>
        </is>
      </c>
      <c r="B30" s="53" t="n">
        <v>0.02</v>
      </c>
      <c r="C30" s="50" t="inlineStr">
        <is>
          <t>Captured share of TSO activations (~10% small entrant)</t>
        </is>
      </c>
      <c r="D30" s="32" t="n"/>
      <c r="E30" s="32" t="n"/>
    </row>
    <row r="31">
      <c r="A31" s="3" t="inlineStr">
        <is>
          <t xml:space="preserve">  Capacity multiplier</t>
        </is>
      </c>
      <c r="B31" s="53" t="n">
        <v>0.4</v>
      </c>
      <c r="C31" s="50" t="inlineStr">
        <is>
          <t>× DAMAS clearing → bid</t>
        </is>
      </c>
      <c r="D31" s="32" t="n"/>
      <c r="E31" s="32" t="n"/>
    </row>
    <row r="32">
      <c r="A32" s="3" t="inlineStr">
        <is>
          <t xml:space="preserve">  Activation multiplier</t>
        </is>
      </c>
      <c r="B32" s="53" t="n">
        <v>0.5</v>
      </c>
      <c r="C32" s="50" t="inlineStr">
        <is>
          <t>× actual settlement price → activation revenue</t>
        </is>
      </c>
      <c r="D32" s="32" t="n"/>
      <c r="E32" s="32" t="n"/>
    </row>
  </sheetData>
  <mergeCells count="28">
    <mergeCell ref="C31:E31"/>
    <mergeCell ref="C22:E22"/>
    <mergeCell ref="A1:E1"/>
    <mergeCell ref="C11:E11"/>
    <mergeCell ref="C27:E27"/>
    <mergeCell ref="C23:E23"/>
    <mergeCell ref="A25:E25"/>
    <mergeCell ref="C7:E7"/>
    <mergeCell ref="C32:E32"/>
    <mergeCell ref="A3:E3"/>
    <mergeCell ref="A21:E21"/>
    <mergeCell ref="C28:E28"/>
    <mergeCell ref="C19:E19"/>
    <mergeCell ref="C18:E18"/>
    <mergeCell ref="C30:E30"/>
    <mergeCell ref="A17:E17"/>
    <mergeCell ref="C15:E15"/>
    <mergeCell ref="C6:E6"/>
    <mergeCell ref="C24:E24"/>
    <mergeCell ref="A29:E29"/>
    <mergeCell ref="C14:E14"/>
    <mergeCell ref="C5:E5"/>
    <mergeCell ref="C4:E4"/>
    <mergeCell ref="C26:E26"/>
    <mergeCell ref="A13:E13"/>
    <mergeCell ref="C20:E20"/>
    <mergeCell ref="A9:E9"/>
    <mergeCell ref="C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</cols>
  <sheetData>
    <row r="1" ht="36" customHeight="1">
      <c r="A1" s="40" t="inlineStr">
        <is>
          <t>Date</t>
        </is>
      </c>
      <c r="B1" s="40" t="inlineStr">
        <is>
          <t>Weekday</t>
        </is>
      </c>
      <c r="C1" s="40" t="inlineStr">
        <is>
          <t>Market UP MWh</t>
        </is>
      </c>
      <c r="D1" s="40" t="inlineStr">
        <is>
          <t>Market DOWN MWh</t>
        </is>
      </c>
      <c r="E1" s="40" t="inlineStr">
        <is>
          <t>Avg price UP</t>
        </is>
      </c>
      <c r="F1" s="40" t="inlineStr">
        <is>
          <t>Avg price DOWN</t>
        </is>
      </c>
      <c r="G1" s="40" t="inlineStr">
        <is>
          <t>Max price UP</t>
        </is>
      </c>
      <c r="H1" s="40" t="inlineStr">
        <is>
          <t>Max price DOWN</t>
        </is>
      </c>
      <c r="I1" s="40" t="inlineStr">
        <is>
          <t>Slots UP</t>
        </is>
      </c>
      <c r="J1" s="40" t="inlineStr">
        <is>
          <t>Slots DOWN</t>
        </is>
      </c>
    </row>
    <row r="2">
      <c r="A2" s="41" t="n">
        <v>45778</v>
      </c>
      <c r="B2" s="42" t="inlineStr">
        <is>
          <t>Thursday</t>
        </is>
      </c>
      <c r="C2" s="45" t="n">
        <v>1445.312</v>
      </c>
      <c r="D2" s="45" t="n">
        <v>286.725</v>
      </c>
      <c r="E2" s="43" t="n">
        <v>176.0145169811321</v>
      </c>
      <c r="F2" s="43" t="n">
        <v>69.35346086956521</v>
      </c>
      <c r="G2" s="43" t="n">
        <v>485.667</v>
      </c>
      <c r="H2" s="43" t="n">
        <v>393.897</v>
      </c>
      <c r="I2" s="42" t="n">
        <v>53</v>
      </c>
      <c r="J2" s="42" t="n">
        <v>46</v>
      </c>
    </row>
    <row r="3">
      <c r="A3" s="41" t="n">
        <v>45779</v>
      </c>
      <c r="B3" s="42" t="inlineStr">
        <is>
          <t>Friday</t>
        </is>
      </c>
      <c r="C3" s="45" t="n">
        <v>304.974</v>
      </c>
      <c r="D3" s="45" t="n">
        <v>586.943</v>
      </c>
      <c r="E3" s="43" t="n">
        <v>149.3799935483871</v>
      </c>
      <c r="F3" s="43" t="n">
        <v>66.3911594936709</v>
      </c>
      <c r="G3" s="43" t="n">
        <v>305.921</v>
      </c>
      <c r="H3" s="43" t="n">
        <v>376.6942</v>
      </c>
      <c r="I3" s="42" t="n">
        <v>62</v>
      </c>
      <c r="J3" s="42" t="n">
        <v>79</v>
      </c>
    </row>
    <row r="4">
      <c r="A4" s="41" t="n">
        <v>45780</v>
      </c>
      <c r="B4" s="42" t="inlineStr">
        <is>
          <t>Saturday</t>
        </is>
      </c>
      <c r="C4" s="45" t="n">
        <v>127.713</v>
      </c>
      <c r="D4" s="45" t="n">
        <v>945.117</v>
      </c>
      <c r="E4" s="43" t="n">
        <v>137.895675862069</v>
      </c>
      <c r="F4" s="43" t="n">
        <v>59.27000740740741</v>
      </c>
      <c r="G4" s="43" t="n">
        <v>234.5882</v>
      </c>
      <c r="H4" s="43" t="n">
        <v>498.2406</v>
      </c>
      <c r="I4" s="42" t="n">
        <v>58</v>
      </c>
      <c r="J4" s="42" t="n">
        <v>81</v>
      </c>
    </row>
    <row r="5">
      <c r="A5" s="41" t="n">
        <v>45781</v>
      </c>
      <c r="B5" s="42" t="inlineStr">
        <is>
          <t>Sunday</t>
        </is>
      </c>
      <c r="C5" s="45" t="n">
        <v>335.388</v>
      </c>
      <c r="D5" s="45" t="n">
        <v>810.297</v>
      </c>
      <c r="E5" s="43" t="n">
        <v>128.4149296296296</v>
      </c>
      <c r="F5" s="43" t="n">
        <v>84.49913972602741</v>
      </c>
      <c r="G5" s="43" t="n">
        <v>441.1414</v>
      </c>
      <c r="H5" s="43" t="n">
        <v>424.2090000000001</v>
      </c>
      <c r="I5" s="42" t="n">
        <v>54</v>
      </c>
      <c r="J5" s="42" t="n">
        <v>73</v>
      </c>
    </row>
    <row r="6">
      <c r="A6" s="41" t="n">
        <v>45782</v>
      </c>
      <c r="B6" s="42" t="inlineStr">
        <is>
          <t>Monday</t>
        </is>
      </c>
      <c r="C6" s="45" t="n">
        <v>529.044</v>
      </c>
      <c r="D6" s="45" t="n">
        <v>628.732</v>
      </c>
      <c r="E6" s="43" t="n">
        <v>182.0566561403509</v>
      </c>
      <c r="F6" s="43" t="n">
        <v>75.76980655737707</v>
      </c>
      <c r="G6" s="43" t="n">
        <v>468.4728</v>
      </c>
      <c r="H6" s="43" t="n">
        <v>469.0718</v>
      </c>
      <c r="I6" s="42" t="n">
        <v>57</v>
      </c>
      <c r="J6" s="42" t="n">
        <v>61</v>
      </c>
    </row>
    <row r="7">
      <c r="A7" s="41" t="n">
        <v>45783</v>
      </c>
      <c r="B7" s="42" t="inlineStr">
        <is>
          <t>Tuesday</t>
        </is>
      </c>
      <c r="C7" s="45" t="n">
        <v>734.255</v>
      </c>
      <c r="D7" s="45" t="n">
        <v>501.094</v>
      </c>
      <c r="E7" s="43" t="n">
        <v>194.0687582089552</v>
      </c>
      <c r="F7" s="43" t="n">
        <v>100.8182923076923</v>
      </c>
      <c r="G7" s="43" t="n">
        <v>492.7358</v>
      </c>
      <c r="H7" s="43" t="n">
        <v>487.7196</v>
      </c>
      <c r="I7" s="42" t="n">
        <v>67</v>
      </c>
      <c r="J7" s="42" t="n">
        <v>52</v>
      </c>
    </row>
    <row r="8">
      <c r="A8" s="41" t="n">
        <v>45784</v>
      </c>
      <c r="B8" s="42" t="inlineStr">
        <is>
          <t>Wednesday</t>
        </is>
      </c>
      <c r="C8" s="45" t="n">
        <v>349.234</v>
      </c>
      <c r="D8" s="45" t="n">
        <v>807.899</v>
      </c>
      <c r="E8" s="43" t="n">
        <v>164.879621875</v>
      </c>
      <c r="F8" s="43" t="n">
        <v>73.35134444444445</v>
      </c>
      <c r="G8" s="43" t="n">
        <v>350.1592000000001</v>
      </c>
      <c r="H8" s="43" t="n">
        <v>430.1270000000001</v>
      </c>
      <c r="I8" s="42" t="n">
        <v>64</v>
      </c>
      <c r="J8" s="42" t="n">
        <v>72</v>
      </c>
    </row>
    <row r="9">
      <c r="A9" s="41" t="n">
        <v>45785</v>
      </c>
      <c r="B9" s="42" t="inlineStr">
        <is>
          <t>Thursday</t>
        </is>
      </c>
      <c r="C9" s="45" t="n">
        <v>425.6429383143097</v>
      </c>
      <c r="D9" s="45" t="n">
        <v>339.5801669029259</v>
      </c>
      <c r="E9" s="43" t="n">
        <v>180.5885914051107</v>
      </c>
      <c r="F9" s="43" t="n">
        <v>63.76761335808855</v>
      </c>
      <c r="G9" s="43" t="n">
        <v>488.0296000000001</v>
      </c>
      <c r="H9" s="43" t="n">
        <v>244.1378</v>
      </c>
      <c r="I9" s="42" t="n">
        <v>70</v>
      </c>
      <c r="J9" s="42" t="n">
        <v>71</v>
      </c>
    </row>
    <row r="10">
      <c r="A10" s="41" t="n">
        <v>45786</v>
      </c>
      <c r="B10" s="42" t="inlineStr">
        <is>
          <t>Friday</t>
        </is>
      </c>
      <c r="C10" s="45" t="n">
        <v>538.178</v>
      </c>
      <c r="D10" s="45" t="n">
        <v>665.572</v>
      </c>
      <c r="E10" s="43" t="n">
        <v>171.0696119402985</v>
      </c>
      <c r="F10" s="43" t="n">
        <v>60.56084324324325</v>
      </c>
      <c r="G10" s="43" t="n">
        <v>472.8324</v>
      </c>
      <c r="H10" s="43" t="n">
        <v>457.5816</v>
      </c>
      <c r="I10" s="42" t="n">
        <v>67</v>
      </c>
      <c r="J10" s="42" t="n">
        <v>74</v>
      </c>
    </row>
    <row r="11">
      <c r="A11" s="41" t="n">
        <v>45787</v>
      </c>
      <c r="B11" s="42" t="inlineStr">
        <is>
          <t>Saturday</t>
        </is>
      </c>
      <c r="C11" s="45" t="n">
        <v>866.356</v>
      </c>
      <c r="D11" s="45" t="n">
        <v>611.614</v>
      </c>
      <c r="E11" s="43" t="n">
        <v>172.8392163934426</v>
      </c>
      <c r="F11" s="43" t="n">
        <v>55.35509200000001</v>
      </c>
      <c r="G11" s="43" t="n">
        <v>478.5020000000001</v>
      </c>
      <c r="H11" s="43" t="n">
        <v>340.0202</v>
      </c>
      <c r="I11" s="42" t="n">
        <v>61</v>
      </c>
      <c r="J11" s="42" t="n">
        <v>50</v>
      </c>
    </row>
    <row r="12">
      <c r="A12" s="41" t="n">
        <v>45788</v>
      </c>
      <c r="B12" s="42" t="inlineStr">
        <is>
          <t>Sunday</t>
        </is>
      </c>
      <c r="C12" s="45" t="n">
        <v>340.749</v>
      </c>
      <c r="D12" s="45" t="n">
        <v>646.838</v>
      </c>
      <c r="E12" s="43" t="n">
        <v>145.5695777777778</v>
      </c>
      <c r="F12" s="43" t="n">
        <v>69.01996842105264</v>
      </c>
      <c r="G12" s="43" t="n">
        <v>332.3852</v>
      </c>
      <c r="H12" s="43" t="n">
        <v>472.5888</v>
      </c>
      <c r="I12" s="42" t="n">
        <v>63</v>
      </c>
      <c r="J12" s="42" t="n">
        <v>76</v>
      </c>
    </row>
    <row r="13">
      <c r="A13" s="41" t="n">
        <v>45789</v>
      </c>
      <c r="B13" s="42" t="inlineStr">
        <is>
          <t>Monday</t>
        </is>
      </c>
      <c r="C13" s="45" t="n">
        <v>1008.347</v>
      </c>
      <c r="D13" s="45" t="n">
        <v>252.895</v>
      </c>
      <c r="E13" s="43" t="n">
        <v>200.6467913043478</v>
      </c>
      <c r="F13" s="43" t="n">
        <v>72.37657647058823</v>
      </c>
      <c r="G13" s="43" t="n">
        <v>471.2738000000001</v>
      </c>
      <c r="H13" s="43" t="n">
        <v>401.2774</v>
      </c>
      <c r="I13" s="42" t="n">
        <v>69</v>
      </c>
      <c r="J13" s="42" t="n">
        <v>51</v>
      </c>
    </row>
    <row r="14">
      <c r="A14" s="41" t="n">
        <v>45790</v>
      </c>
      <c r="B14" s="42" t="inlineStr">
        <is>
          <t>Tuesday</t>
        </is>
      </c>
      <c r="C14" s="45" t="n">
        <v>405.517</v>
      </c>
      <c r="D14" s="45" t="n">
        <v>729.712</v>
      </c>
      <c r="E14" s="43" t="n">
        <v>153.4100193548387</v>
      </c>
      <c r="F14" s="43" t="n">
        <v>63.81058550724637</v>
      </c>
      <c r="G14" s="43" t="n">
        <v>290.9856</v>
      </c>
      <c r="H14" s="43" t="n">
        <v>460.8066</v>
      </c>
      <c r="I14" s="42" t="n">
        <v>62</v>
      </c>
      <c r="J14" s="42" t="n">
        <v>69</v>
      </c>
    </row>
    <row r="15">
      <c r="A15" s="41" t="n">
        <v>45791</v>
      </c>
      <c r="B15" s="42" t="inlineStr">
        <is>
          <t>Wednesday</t>
        </is>
      </c>
      <c r="C15" s="45" t="n">
        <v>403.594</v>
      </c>
      <c r="D15" s="45" t="n">
        <v>920.566</v>
      </c>
      <c r="E15" s="43" t="n">
        <v>158.98148125</v>
      </c>
      <c r="F15" s="43" t="n">
        <v>96.72174366197183</v>
      </c>
      <c r="G15" s="43" t="n">
        <v>451.273</v>
      </c>
      <c r="H15" s="43" t="n">
        <v>497.3236</v>
      </c>
      <c r="I15" s="42" t="n">
        <v>64</v>
      </c>
      <c r="J15" s="42" t="n">
        <v>71</v>
      </c>
    </row>
    <row r="16">
      <c r="A16" s="41" t="n">
        <v>45792</v>
      </c>
      <c r="B16" s="42" t="inlineStr">
        <is>
          <t>Thursday</t>
        </is>
      </c>
      <c r="C16" s="45" t="n">
        <v>488.729</v>
      </c>
      <c r="D16" s="45" t="n">
        <v>762.0700000000001</v>
      </c>
      <c r="E16" s="43" t="n">
        <v>169.5857064516129</v>
      </c>
      <c r="F16" s="43" t="n">
        <v>79.35628450704225</v>
      </c>
      <c r="G16" s="43" t="n">
        <v>489.9308</v>
      </c>
      <c r="H16" s="43" t="n">
        <v>470.1458</v>
      </c>
      <c r="I16" s="42" t="n">
        <v>62</v>
      </c>
      <c r="J16" s="42" t="n">
        <v>71</v>
      </c>
    </row>
    <row r="17">
      <c r="A17" s="41" t="n">
        <v>45793</v>
      </c>
      <c r="B17" s="42" t="inlineStr">
        <is>
          <t>Friday</t>
        </is>
      </c>
      <c r="C17" s="45" t="n">
        <v>1297.947</v>
      </c>
      <c r="D17" s="45" t="n">
        <v>249.272</v>
      </c>
      <c r="E17" s="43" t="n">
        <v>165.8374567164179</v>
      </c>
      <c r="F17" s="43" t="n">
        <v>59.78023859649122</v>
      </c>
      <c r="G17" s="43" t="n">
        <v>495.674</v>
      </c>
      <c r="H17" s="43" t="n">
        <v>329.2552000000001</v>
      </c>
      <c r="I17" s="42" t="n">
        <v>67</v>
      </c>
      <c r="J17" s="42" t="n">
        <v>57</v>
      </c>
    </row>
    <row r="18">
      <c r="A18" s="41" t="n">
        <v>45794</v>
      </c>
      <c r="B18" s="42" t="inlineStr">
        <is>
          <t>Saturday</t>
        </is>
      </c>
      <c r="C18" s="45" t="n">
        <v>1301.999</v>
      </c>
      <c r="D18" s="45" t="n">
        <v>266.03</v>
      </c>
      <c r="E18" s="43" t="n">
        <v>169.2337703703704</v>
      </c>
      <c r="F18" s="43" t="n">
        <v>57.17615714285715</v>
      </c>
      <c r="G18" s="43" t="n">
        <v>486.8284</v>
      </c>
      <c r="H18" s="43" t="n">
        <v>429.7684</v>
      </c>
      <c r="I18" s="42" t="n">
        <v>54</v>
      </c>
      <c r="J18" s="42" t="n">
        <v>56</v>
      </c>
    </row>
    <row r="19">
      <c r="A19" s="41" t="n">
        <v>45795</v>
      </c>
      <c r="B19" s="42" t="inlineStr">
        <is>
          <t>Sunday</t>
        </is>
      </c>
      <c r="C19" s="45" t="n">
        <v>985.297</v>
      </c>
      <c r="D19" s="45" t="n">
        <v>267.015</v>
      </c>
      <c r="E19" s="43" t="n">
        <v>161.3263741935484</v>
      </c>
      <c r="F19" s="43" t="n">
        <v>71.60707457627117</v>
      </c>
      <c r="G19" s="43" t="n">
        <v>473.0914</v>
      </c>
      <c r="H19" s="43" t="n">
        <v>493.0382</v>
      </c>
      <c r="I19" s="42" t="n">
        <v>62</v>
      </c>
      <c r="J19" s="42" t="n">
        <v>59</v>
      </c>
    </row>
    <row r="20">
      <c r="A20" s="41" t="n">
        <v>45796</v>
      </c>
      <c r="B20" s="42" t="inlineStr">
        <is>
          <t>Monday</t>
        </is>
      </c>
      <c r="C20" s="45" t="n">
        <v>655.321</v>
      </c>
      <c r="D20" s="45" t="n">
        <v>765.421</v>
      </c>
      <c r="E20" s="43" t="n">
        <v>160.4086392857143</v>
      </c>
      <c r="F20" s="43" t="n">
        <v>62.65298412698412</v>
      </c>
      <c r="G20" s="43" t="n">
        <v>352.5776</v>
      </c>
      <c r="H20" s="43" t="n">
        <v>428.2284</v>
      </c>
      <c r="I20" s="42" t="n">
        <v>56</v>
      </c>
      <c r="J20" s="42" t="n">
        <v>63</v>
      </c>
    </row>
    <row r="21">
      <c r="A21" s="41" t="n">
        <v>45797</v>
      </c>
      <c r="B21" s="42" t="inlineStr">
        <is>
          <t>Tuesday</t>
        </is>
      </c>
      <c r="C21" s="45" t="n">
        <v>794.155</v>
      </c>
      <c r="D21" s="45" t="n">
        <v>502.219</v>
      </c>
      <c r="E21" s="43" t="n">
        <v>174.18944375</v>
      </c>
      <c r="F21" s="43" t="n">
        <v>84.64268307692308</v>
      </c>
      <c r="G21" s="43" t="n">
        <v>466.2168</v>
      </c>
      <c r="H21" s="43" t="n">
        <v>482.8104000000001</v>
      </c>
      <c r="I21" s="42" t="n">
        <v>64</v>
      </c>
      <c r="J21" s="42" t="n">
        <v>65</v>
      </c>
    </row>
    <row r="22">
      <c r="A22" s="41" t="n">
        <v>45798</v>
      </c>
      <c r="B22" s="42" t="inlineStr">
        <is>
          <t>Wednesday</t>
        </is>
      </c>
      <c r="C22" s="45" t="n">
        <v>117.901</v>
      </c>
      <c r="D22" s="45" t="n">
        <v>824.7339999999999</v>
      </c>
      <c r="E22" s="43" t="n">
        <v>149.324101754386</v>
      </c>
      <c r="F22" s="43" t="n">
        <v>70.7077033707865</v>
      </c>
      <c r="G22" s="43" t="n">
        <v>340.9834</v>
      </c>
      <c r="H22" s="43" t="n">
        <v>448.5616</v>
      </c>
      <c r="I22" s="42" t="n">
        <v>57</v>
      </c>
      <c r="J22" s="42" t="n">
        <v>89</v>
      </c>
    </row>
    <row r="23">
      <c r="A23" s="41" t="n">
        <v>45799</v>
      </c>
      <c r="B23" s="42" t="inlineStr">
        <is>
          <t>Thursday</t>
        </is>
      </c>
      <c r="C23" s="45" t="n">
        <v>1126.629</v>
      </c>
      <c r="D23" s="45" t="n">
        <v>251.816</v>
      </c>
      <c r="E23" s="43" t="n">
        <v>160.897253125</v>
      </c>
      <c r="F23" s="43" t="n">
        <v>54.81197777777778</v>
      </c>
      <c r="G23" s="43" t="n">
        <v>378.9326</v>
      </c>
      <c r="H23" s="43" t="n">
        <v>309.9586</v>
      </c>
      <c r="I23" s="42" t="n">
        <v>64</v>
      </c>
      <c r="J23" s="42" t="n">
        <v>63</v>
      </c>
    </row>
    <row r="24">
      <c r="A24" s="41" t="n">
        <v>45800</v>
      </c>
      <c r="B24" s="42" t="inlineStr">
        <is>
          <t>Friday</t>
        </is>
      </c>
      <c r="C24" s="45" t="n">
        <v>252.294</v>
      </c>
      <c r="D24" s="45" t="n">
        <v>523.446</v>
      </c>
      <c r="E24" s="43" t="n">
        <v>161.5314388059702</v>
      </c>
      <c r="F24" s="43" t="n">
        <v>71.47031951219512</v>
      </c>
      <c r="G24" s="43" t="n">
        <v>411.0106</v>
      </c>
      <c r="H24" s="43" t="n">
        <v>394.1796</v>
      </c>
      <c r="I24" s="42" t="n">
        <v>67</v>
      </c>
      <c r="J24" s="42" t="n">
        <v>82</v>
      </c>
    </row>
    <row r="25">
      <c r="A25" s="41" t="n">
        <v>45801</v>
      </c>
      <c r="B25" s="42" t="inlineStr">
        <is>
          <t>Saturday</t>
        </is>
      </c>
      <c r="C25" s="45" t="n">
        <v>739.912</v>
      </c>
      <c r="D25" s="45" t="n">
        <v>562.789</v>
      </c>
      <c r="E25" s="43" t="n">
        <v>159.395464</v>
      </c>
      <c r="F25" s="43" t="n">
        <v>49.95739076923078</v>
      </c>
      <c r="G25" s="43" t="n">
        <v>457.6448</v>
      </c>
      <c r="H25" s="43" t="n">
        <v>201.1786</v>
      </c>
      <c r="I25" s="42" t="n">
        <v>50</v>
      </c>
      <c r="J25" s="42" t="n">
        <v>65</v>
      </c>
    </row>
    <row r="26">
      <c r="A26" s="41" t="n">
        <v>45802</v>
      </c>
      <c r="B26" s="42" t="inlineStr">
        <is>
          <t>Sunday</t>
        </is>
      </c>
      <c r="C26" s="45" t="n">
        <v>572.602</v>
      </c>
      <c r="D26" s="45" t="n">
        <v>489.888</v>
      </c>
      <c r="E26" s="43" t="n">
        <v>146.9455517241379</v>
      </c>
      <c r="F26" s="43" t="n">
        <v>61.45541515151515</v>
      </c>
      <c r="G26" s="43" t="n">
        <v>488.0722</v>
      </c>
      <c r="H26" s="43" t="n">
        <v>478.7034</v>
      </c>
      <c r="I26" s="42" t="n">
        <v>58</v>
      </c>
      <c r="J26" s="42" t="n">
        <v>66</v>
      </c>
    </row>
    <row r="27">
      <c r="A27" s="41" t="n">
        <v>45803</v>
      </c>
      <c r="B27" s="42" t="inlineStr">
        <is>
          <t>Monday</t>
        </is>
      </c>
      <c r="C27" s="45" t="n">
        <v>931.302</v>
      </c>
      <c r="D27" s="45" t="n">
        <v>231.587</v>
      </c>
      <c r="E27" s="43" t="n">
        <v>173.0484338028169</v>
      </c>
      <c r="F27" s="43" t="n">
        <v>70.12803050847458</v>
      </c>
      <c r="G27" s="43" t="n">
        <v>395.9406</v>
      </c>
      <c r="H27" s="43" t="n">
        <v>365.8946</v>
      </c>
      <c r="I27" s="42" t="n">
        <v>71</v>
      </c>
      <c r="J27" s="42" t="n">
        <v>59</v>
      </c>
    </row>
    <row r="28">
      <c r="A28" s="41" t="n">
        <v>45804</v>
      </c>
      <c r="B28" s="42" t="inlineStr">
        <is>
          <t>Tuesday</t>
        </is>
      </c>
      <c r="C28" s="45" t="n">
        <v>676.966</v>
      </c>
      <c r="D28" s="45" t="n">
        <v>685.001</v>
      </c>
      <c r="E28" s="43" t="n">
        <v>159.4442266666667</v>
      </c>
      <c r="F28" s="43" t="n">
        <v>81.2940542857143</v>
      </c>
      <c r="G28" s="43" t="n">
        <v>427.5852</v>
      </c>
      <c r="H28" s="43" t="n">
        <v>397.8424</v>
      </c>
      <c r="I28" s="42" t="n">
        <v>60</v>
      </c>
      <c r="J28" s="42" t="n">
        <v>70</v>
      </c>
    </row>
    <row r="29">
      <c r="A29" s="41" t="n">
        <v>45805</v>
      </c>
      <c r="B29" s="42" t="inlineStr">
        <is>
          <t>Wednesday</t>
        </is>
      </c>
      <c r="C29" s="45" t="n">
        <v>198.575</v>
      </c>
      <c r="D29" s="45" t="n">
        <v>865.476</v>
      </c>
      <c r="E29" s="43" t="n">
        <v>151.0744666666667</v>
      </c>
      <c r="F29" s="43" t="n">
        <v>50.30537272727274</v>
      </c>
      <c r="G29" s="43" t="n">
        <v>446.7394000000001</v>
      </c>
      <c r="H29" s="43" t="n">
        <v>256.1196</v>
      </c>
      <c r="I29" s="42" t="n">
        <v>60</v>
      </c>
      <c r="J29" s="42" t="n">
        <v>88</v>
      </c>
    </row>
    <row r="30">
      <c r="A30" s="41" t="n">
        <v>45806</v>
      </c>
      <c r="B30" s="42" t="inlineStr">
        <is>
          <t>Thursday</t>
        </is>
      </c>
      <c r="C30" s="45" t="n">
        <v>413.651</v>
      </c>
      <c r="D30" s="45" t="n">
        <v>317.908</v>
      </c>
      <c r="E30" s="43" t="n">
        <v>160.524</v>
      </c>
      <c r="F30" s="43" t="n">
        <v>62.66364507042254</v>
      </c>
      <c r="G30" s="43" t="n">
        <v>456.7868000000001</v>
      </c>
      <c r="H30" s="43" t="n">
        <v>483.4616</v>
      </c>
      <c r="I30" s="42" t="n">
        <v>73</v>
      </c>
      <c r="J30" s="42" t="n">
        <v>71</v>
      </c>
    </row>
    <row r="31">
      <c r="A31" s="41" t="n">
        <v>45807</v>
      </c>
      <c r="B31" s="42" t="inlineStr">
        <is>
          <t>Friday</t>
        </is>
      </c>
      <c r="C31" s="45" t="n">
        <v>373.386</v>
      </c>
      <c r="D31" s="45" t="n">
        <v>889.924</v>
      </c>
      <c r="E31" s="43" t="n">
        <v>161.1963552238806</v>
      </c>
      <c r="F31" s="43" t="n">
        <v>70.29957681159421</v>
      </c>
      <c r="G31" s="43" t="n">
        <v>472.4182</v>
      </c>
      <c r="H31" s="43" t="n">
        <v>446.7058</v>
      </c>
      <c r="I31" s="42" t="n">
        <v>67</v>
      </c>
      <c r="J31" s="42" t="n">
        <v>69</v>
      </c>
    </row>
    <row r="32">
      <c r="A32" s="41" t="n">
        <v>45808</v>
      </c>
      <c r="B32" s="42" t="inlineStr">
        <is>
          <t>Saturday</t>
        </is>
      </c>
      <c r="C32" s="45" t="n">
        <v>642.664</v>
      </c>
      <c r="D32" s="45" t="n">
        <v>661.179</v>
      </c>
      <c r="E32" s="43" t="n">
        <v>164.236128125</v>
      </c>
      <c r="F32" s="43" t="n">
        <v>80.75393571428572</v>
      </c>
      <c r="G32" s="43" t="n">
        <v>397.8888</v>
      </c>
      <c r="H32" s="43" t="n">
        <v>452.8156</v>
      </c>
      <c r="I32" s="42" t="n">
        <v>64</v>
      </c>
      <c r="J32" s="42" t="n">
        <v>56</v>
      </c>
    </row>
    <row r="33">
      <c r="A33" s="41" t="n">
        <v>45809</v>
      </c>
      <c r="B33" s="42" t="inlineStr">
        <is>
          <t>Sunday</t>
        </is>
      </c>
      <c r="C33" s="45" t="n">
        <v>150.208</v>
      </c>
      <c r="D33" s="45" t="n">
        <v>1059.865</v>
      </c>
      <c r="E33" s="43" t="n">
        <v>127.671505</v>
      </c>
      <c r="F33" s="43" t="n">
        <v>73.85704761904763</v>
      </c>
      <c r="G33" s="43" t="n">
        <v>259.6456</v>
      </c>
      <c r="H33" s="43" t="n">
        <v>470.2754</v>
      </c>
      <c r="I33" s="42" t="n">
        <v>40</v>
      </c>
      <c r="J33" s="42" t="n">
        <v>84</v>
      </c>
    </row>
    <row r="34">
      <c r="A34" s="41" t="n">
        <v>45810</v>
      </c>
      <c r="B34" s="42" t="inlineStr">
        <is>
          <t>Monday</t>
        </is>
      </c>
      <c r="C34" s="45" t="n">
        <v>157.384</v>
      </c>
      <c r="D34" s="45" t="n">
        <v>987.112</v>
      </c>
      <c r="E34" s="43" t="n">
        <v>148.244437037037</v>
      </c>
      <c r="F34" s="43" t="n">
        <v>76.81514074074073</v>
      </c>
      <c r="G34" s="43" t="n">
        <v>307.2846</v>
      </c>
      <c r="H34" s="43" t="n">
        <v>460.3874</v>
      </c>
      <c r="I34" s="42" t="n">
        <v>54</v>
      </c>
      <c r="J34" s="42" t="n">
        <v>81</v>
      </c>
    </row>
    <row r="35">
      <c r="A35" s="41" t="n">
        <v>45811</v>
      </c>
      <c r="B35" s="42" t="inlineStr">
        <is>
          <t>Tuesday</t>
        </is>
      </c>
      <c r="C35" s="45" t="n">
        <v>303.432</v>
      </c>
      <c r="D35" s="45" t="n">
        <v>861.3</v>
      </c>
      <c r="E35" s="43" t="n">
        <v>158.5637551724138</v>
      </c>
      <c r="F35" s="43" t="n">
        <v>88.45419733333334</v>
      </c>
      <c r="G35" s="43" t="n">
        <v>298.9062</v>
      </c>
      <c r="H35" s="43" t="n">
        <v>482.7452000000001</v>
      </c>
      <c r="I35" s="42" t="n">
        <v>58</v>
      </c>
      <c r="J35" s="42" t="n">
        <v>75</v>
      </c>
    </row>
    <row r="36">
      <c r="A36" s="41" t="n">
        <v>45812</v>
      </c>
      <c r="B36" s="42" t="inlineStr">
        <is>
          <t>Wednesday</t>
        </is>
      </c>
      <c r="C36" s="45" t="n">
        <v>358.938</v>
      </c>
      <c r="D36" s="45" t="n">
        <v>475.819</v>
      </c>
      <c r="E36" s="43" t="n">
        <v>163.8213661971831</v>
      </c>
      <c r="F36" s="43" t="n">
        <v>53.36347560975612</v>
      </c>
      <c r="G36" s="43" t="n">
        <v>494.8204</v>
      </c>
      <c r="H36" s="43" t="n">
        <v>403.864</v>
      </c>
      <c r="I36" s="42" t="n">
        <v>71</v>
      </c>
      <c r="J36" s="42" t="n">
        <v>82</v>
      </c>
    </row>
    <row r="37">
      <c r="A37" s="41" t="n">
        <v>45813</v>
      </c>
      <c r="B37" s="42" t="inlineStr">
        <is>
          <t>Thursday</t>
        </is>
      </c>
      <c r="C37" s="45" t="n">
        <v>370.81</v>
      </c>
      <c r="D37" s="45" t="n">
        <v>557.845</v>
      </c>
      <c r="E37" s="43" t="n">
        <v>156.6974412698413</v>
      </c>
      <c r="F37" s="43" t="n">
        <v>60.28429156626507</v>
      </c>
      <c r="G37" s="43" t="n">
        <v>396.643</v>
      </c>
      <c r="H37" s="43" t="n">
        <v>375.0544</v>
      </c>
      <c r="I37" s="42" t="n">
        <v>63</v>
      </c>
      <c r="J37" s="42" t="n">
        <v>83</v>
      </c>
    </row>
    <row r="38">
      <c r="A38" s="41" t="n">
        <v>45814</v>
      </c>
      <c r="B38" s="42" t="inlineStr">
        <is>
          <t>Friday</t>
        </is>
      </c>
      <c r="C38" s="45" t="n">
        <v>503.262</v>
      </c>
      <c r="D38" s="45" t="n">
        <v>775.181</v>
      </c>
      <c r="E38" s="43" t="n">
        <v>158.7966576923077</v>
      </c>
      <c r="F38" s="43" t="n">
        <v>52.05936363636363</v>
      </c>
      <c r="G38" s="43" t="n">
        <v>446.4198000000001</v>
      </c>
      <c r="H38" s="43" t="n">
        <v>308.432</v>
      </c>
      <c r="I38" s="42" t="n">
        <v>52</v>
      </c>
      <c r="J38" s="42" t="n">
        <v>77</v>
      </c>
    </row>
    <row r="39">
      <c r="A39" s="41" t="n">
        <v>45815</v>
      </c>
      <c r="B39" s="42" t="inlineStr">
        <is>
          <t>Saturday</t>
        </is>
      </c>
      <c r="C39" s="45" t="n">
        <v>219.106</v>
      </c>
      <c r="D39" s="45" t="n">
        <v>551.631</v>
      </c>
      <c r="E39" s="43" t="n">
        <v>127.9006920634921</v>
      </c>
      <c r="F39" s="43" t="n">
        <v>65.26931325301204</v>
      </c>
      <c r="G39" s="43" t="n">
        <v>357.222</v>
      </c>
      <c r="H39" s="43" t="n">
        <v>358.7516000000001</v>
      </c>
      <c r="I39" s="42" t="n">
        <v>63</v>
      </c>
      <c r="J39" s="42" t="n">
        <v>83</v>
      </c>
    </row>
    <row r="40">
      <c r="A40" s="41" t="n">
        <v>45816</v>
      </c>
      <c r="B40" s="42" t="inlineStr">
        <is>
          <t>Sunday</t>
        </is>
      </c>
      <c r="C40" s="45" t="n">
        <v>188.033</v>
      </c>
      <c r="D40" s="45" t="n">
        <v>930.077</v>
      </c>
      <c r="E40" s="43" t="n">
        <v>124.29828</v>
      </c>
      <c r="F40" s="43" t="n">
        <v>58.37863846153847</v>
      </c>
      <c r="G40" s="43" t="n">
        <v>248.826</v>
      </c>
      <c r="H40" s="43" t="n">
        <v>470.4962</v>
      </c>
      <c r="I40" s="42" t="n">
        <v>45</v>
      </c>
      <c r="J40" s="42" t="n">
        <v>78</v>
      </c>
    </row>
    <row r="41">
      <c r="A41" s="41" t="n">
        <v>45817</v>
      </c>
      <c r="B41" s="42" t="inlineStr">
        <is>
          <t>Monday</t>
        </is>
      </c>
      <c r="C41" s="45" t="n">
        <v>276.802</v>
      </c>
      <c r="D41" s="45" t="n">
        <v>1138.761</v>
      </c>
      <c r="E41" s="43" t="n">
        <v>130.3590260869565</v>
      </c>
      <c r="F41" s="43" t="n">
        <v>81.37307352941176</v>
      </c>
      <c r="G41" s="43" t="n">
        <v>187.4616</v>
      </c>
      <c r="H41" s="43" t="n">
        <v>417.8126</v>
      </c>
      <c r="I41" s="42" t="n">
        <v>46</v>
      </c>
      <c r="J41" s="42" t="n">
        <v>68</v>
      </c>
    </row>
    <row r="42">
      <c r="A42" s="41" t="n">
        <v>45818</v>
      </c>
      <c r="B42" s="42" t="inlineStr">
        <is>
          <t>Tuesday</t>
        </is>
      </c>
      <c r="C42" s="45" t="n">
        <v>855.121</v>
      </c>
      <c r="D42" s="45" t="n">
        <v>843.861</v>
      </c>
      <c r="E42" s="43" t="n">
        <v>178.6128893617021</v>
      </c>
      <c r="F42" s="43" t="n">
        <v>96.91792258064517</v>
      </c>
      <c r="G42" s="43" t="n">
        <v>485.3906</v>
      </c>
      <c r="H42" s="43" t="n">
        <v>439.8062</v>
      </c>
      <c r="I42" s="42" t="n">
        <v>47</v>
      </c>
      <c r="J42" s="42" t="n">
        <v>62</v>
      </c>
    </row>
    <row r="43">
      <c r="A43" s="41" t="n">
        <v>45819</v>
      </c>
      <c r="B43" s="42" t="inlineStr">
        <is>
          <t>Wednesday</t>
        </is>
      </c>
      <c r="C43" s="45" t="n">
        <v>471.568</v>
      </c>
      <c r="D43" s="45" t="n">
        <v>700.496</v>
      </c>
      <c r="E43" s="43" t="n">
        <v>146.423046875</v>
      </c>
      <c r="F43" s="43" t="n">
        <v>65.67188421052633</v>
      </c>
      <c r="G43" s="43" t="n">
        <v>460.2088</v>
      </c>
      <c r="H43" s="43" t="n">
        <v>479.9104</v>
      </c>
      <c r="I43" s="42" t="n">
        <v>64</v>
      </c>
      <c r="J43" s="42" t="n">
        <v>76</v>
      </c>
    </row>
    <row r="44">
      <c r="A44" s="41" t="n">
        <v>45820</v>
      </c>
      <c r="B44" s="42" t="inlineStr">
        <is>
          <t>Thursday</t>
        </is>
      </c>
      <c r="C44" s="45" t="n">
        <v>587.675</v>
      </c>
      <c r="D44" s="45" t="n">
        <v>738.053</v>
      </c>
      <c r="E44" s="43" t="n">
        <v>154.7616436363636</v>
      </c>
      <c r="F44" s="43" t="n">
        <v>58.49624</v>
      </c>
      <c r="G44" s="43" t="n">
        <v>494.0698</v>
      </c>
      <c r="H44" s="43" t="n">
        <v>448.2060000000001</v>
      </c>
      <c r="I44" s="42" t="n">
        <v>55</v>
      </c>
      <c r="J44" s="42" t="n">
        <v>75</v>
      </c>
    </row>
    <row r="45">
      <c r="A45" s="41" t="n">
        <v>45821</v>
      </c>
      <c r="B45" s="42" t="inlineStr">
        <is>
          <t>Friday</t>
        </is>
      </c>
      <c r="C45" s="45" t="n">
        <v>381.353</v>
      </c>
      <c r="D45" s="45" t="n">
        <v>882.324</v>
      </c>
      <c r="E45" s="43" t="n">
        <v>154.5858333333334</v>
      </c>
      <c r="F45" s="43" t="n">
        <v>83.40383333333332</v>
      </c>
      <c r="G45" s="43" t="n">
        <v>493.7796000000001</v>
      </c>
      <c r="H45" s="43" t="n">
        <v>499.8664</v>
      </c>
      <c r="I45" s="42" t="n">
        <v>60</v>
      </c>
      <c r="J45" s="42" t="n">
        <v>72</v>
      </c>
    </row>
    <row r="46">
      <c r="A46" s="41" t="n">
        <v>45822</v>
      </c>
      <c r="B46" s="42" t="inlineStr">
        <is>
          <t>Saturday</t>
        </is>
      </c>
      <c r="C46" s="45" t="n">
        <v>322.146</v>
      </c>
      <c r="D46" s="45" t="n">
        <v>443.932</v>
      </c>
      <c r="E46" s="43" t="n">
        <v>127.2698527777778</v>
      </c>
      <c r="F46" s="43" t="n">
        <v>58.18697402597402</v>
      </c>
      <c r="G46" s="43" t="n">
        <v>240.195</v>
      </c>
      <c r="H46" s="43" t="n">
        <v>490.0298</v>
      </c>
      <c r="I46" s="42" t="n">
        <v>72</v>
      </c>
      <c r="J46" s="42" t="n">
        <v>77</v>
      </c>
    </row>
    <row r="47">
      <c r="A47" s="41" t="n">
        <v>45823</v>
      </c>
      <c r="B47" s="42" t="inlineStr">
        <is>
          <t>Sunday</t>
        </is>
      </c>
      <c r="C47" s="45" t="n">
        <v>230.247</v>
      </c>
      <c r="D47" s="45" t="n">
        <v>852.375</v>
      </c>
      <c r="E47" s="43" t="n">
        <v>138.6814274509804</v>
      </c>
      <c r="F47" s="43" t="n">
        <v>66.0236657894737</v>
      </c>
      <c r="G47" s="43" t="n">
        <v>490.2972</v>
      </c>
      <c r="H47" s="43" t="n">
        <v>473.9528</v>
      </c>
      <c r="I47" s="42" t="n">
        <v>51</v>
      </c>
      <c r="J47" s="42" t="n">
        <v>76</v>
      </c>
    </row>
    <row r="48">
      <c r="A48" s="41" t="n">
        <v>45824</v>
      </c>
      <c r="B48" s="42" t="inlineStr">
        <is>
          <t>Monday</t>
        </is>
      </c>
      <c r="C48" s="45" t="n">
        <v>231.595</v>
      </c>
      <c r="D48" s="45" t="n">
        <v>756.923</v>
      </c>
      <c r="E48" s="43" t="n">
        <v>137.899</v>
      </c>
      <c r="F48" s="43" t="n">
        <v>50.70361379310344</v>
      </c>
      <c r="G48" s="43" t="n">
        <v>265.853</v>
      </c>
      <c r="H48" s="43" t="n">
        <v>394.9078</v>
      </c>
      <c r="I48" s="42" t="n">
        <v>56</v>
      </c>
      <c r="J48" s="42" t="n">
        <v>87</v>
      </c>
    </row>
    <row r="49">
      <c r="A49" s="41" t="n">
        <v>45825</v>
      </c>
      <c r="B49" s="42" t="inlineStr">
        <is>
          <t>Tuesday</t>
        </is>
      </c>
      <c r="C49" s="45" t="n">
        <v>516.664</v>
      </c>
      <c r="D49" s="45" t="n">
        <v>635.054</v>
      </c>
      <c r="E49" s="43" t="n">
        <v>152.7386222222222</v>
      </c>
      <c r="F49" s="43" t="n">
        <v>87.34292571428571</v>
      </c>
      <c r="G49" s="43" t="n">
        <v>273.5772</v>
      </c>
      <c r="H49" s="43" t="n">
        <v>483.1304</v>
      </c>
      <c r="I49" s="42" t="n">
        <v>63</v>
      </c>
      <c r="J49" s="42" t="n">
        <v>70</v>
      </c>
    </row>
    <row r="50">
      <c r="A50" s="41" t="n">
        <v>45826</v>
      </c>
      <c r="B50" s="42" t="inlineStr">
        <is>
          <t>Wednesday</t>
        </is>
      </c>
      <c r="C50" s="45" t="n">
        <v>718.629</v>
      </c>
      <c r="D50" s="45" t="n">
        <v>570.495</v>
      </c>
      <c r="E50" s="43" t="n">
        <v>156.3649242424242</v>
      </c>
      <c r="F50" s="43" t="n">
        <v>81.03428000000001</v>
      </c>
      <c r="G50" s="43" t="n">
        <v>341.8920000000001</v>
      </c>
      <c r="H50" s="43" t="n">
        <v>468.0718</v>
      </c>
      <c r="I50" s="42" t="n">
        <v>66</v>
      </c>
      <c r="J50" s="42" t="n">
        <v>65</v>
      </c>
    </row>
    <row r="51">
      <c r="A51" s="41" t="n">
        <v>45827</v>
      </c>
      <c r="B51" s="42" t="inlineStr">
        <is>
          <t>Thursday</t>
        </is>
      </c>
      <c r="C51" s="45" t="n">
        <v>413.879</v>
      </c>
      <c r="D51" s="45" t="n">
        <v>374.088</v>
      </c>
      <c r="E51" s="43" t="n">
        <v>137.0514582278481</v>
      </c>
      <c r="F51" s="43" t="n">
        <v>66.00993684210528</v>
      </c>
      <c r="G51" s="43" t="n">
        <v>250.2608</v>
      </c>
      <c r="H51" s="43" t="n">
        <v>410.75</v>
      </c>
      <c r="I51" s="42" t="n">
        <v>79</v>
      </c>
      <c r="J51" s="42" t="n">
        <v>76</v>
      </c>
    </row>
    <row r="52">
      <c r="A52" s="41" t="n">
        <v>45828</v>
      </c>
      <c r="B52" s="42" t="inlineStr">
        <is>
          <t>Friday</t>
        </is>
      </c>
      <c r="C52" s="45" t="n">
        <v>294.973</v>
      </c>
      <c r="D52" s="45" t="n">
        <v>1016.438</v>
      </c>
      <c r="E52" s="43" t="n">
        <v>136.5581052631579</v>
      </c>
      <c r="F52" s="43" t="n">
        <v>97.65997179487179</v>
      </c>
      <c r="G52" s="43" t="n">
        <v>495.4082000000001</v>
      </c>
      <c r="H52" s="43" t="n">
        <v>467.4814000000001</v>
      </c>
      <c r="I52" s="42" t="n">
        <v>57</v>
      </c>
      <c r="J52" s="42" t="n">
        <v>78</v>
      </c>
    </row>
    <row r="53">
      <c r="A53" s="41" t="n">
        <v>45829</v>
      </c>
      <c r="B53" s="42" t="inlineStr">
        <is>
          <t>Saturday</t>
        </is>
      </c>
      <c r="C53" s="45" t="n">
        <v>483.048</v>
      </c>
      <c r="D53" s="45" t="n">
        <v>780.143</v>
      </c>
      <c r="E53" s="43" t="n">
        <v>142.3946830769231</v>
      </c>
      <c r="F53" s="43" t="n">
        <v>93.18801515151516</v>
      </c>
      <c r="G53" s="43" t="n">
        <v>250.405</v>
      </c>
      <c r="H53" s="43" t="n">
        <v>498.6544</v>
      </c>
      <c r="I53" s="42" t="n">
        <v>65</v>
      </c>
      <c r="J53" s="42" t="n">
        <v>66</v>
      </c>
    </row>
    <row r="54">
      <c r="A54" s="41" t="n">
        <v>45830</v>
      </c>
      <c r="B54" s="42" t="inlineStr">
        <is>
          <t>Sunday</t>
        </is>
      </c>
      <c r="C54" s="45" t="n">
        <v>571.433</v>
      </c>
      <c r="D54" s="45" t="n">
        <v>527.905</v>
      </c>
      <c r="E54" s="43" t="n">
        <v>149.79398</v>
      </c>
      <c r="F54" s="43" t="n">
        <v>71.54833823529411</v>
      </c>
      <c r="G54" s="43" t="n">
        <v>401.6864000000001</v>
      </c>
      <c r="H54" s="43" t="n">
        <v>471.2728</v>
      </c>
      <c r="I54" s="42" t="n">
        <v>70</v>
      </c>
      <c r="J54" s="42" t="n">
        <v>68</v>
      </c>
    </row>
    <row r="55">
      <c r="A55" s="41" t="n">
        <v>45831</v>
      </c>
      <c r="B55" s="42" t="inlineStr">
        <is>
          <t>Monday</t>
        </is>
      </c>
      <c r="C55" s="45" t="n">
        <v>610.528</v>
      </c>
      <c r="D55" s="45" t="n">
        <v>478.555</v>
      </c>
      <c r="E55" s="43" t="n">
        <v>153.6798603174603</v>
      </c>
      <c r="F55" s="43" t="n">
        <v>54.78822894736842</v>
      </c>
      <c r="G55" s="43" t="n">
        <v>430.8906</v>
      </c>
      <c r="H55" s="43" t="n">
        <v>354.5698</v>
      </c>
      <c r="I55" s="42" t="n">
        <v>63</v>
      </c>
      <c r="J55" s="42" t="n">
        <v>76</v>
      </c>
    </row>
    <row r="56">
      <c r="A56" s="41" t="n">
        <v>45832</v>
      </c>
      <c r="B56" s="42" t="inlineStr">
        <is>
          <t>Tuesday</t>
        </is>
      </c>
      <c r="C56" s="45" t="n">
        <v>190.43</v>
      </c>
      <c r="D56" s="45" t="n">
        <v>1098.636</v>
      </c>
      <c r="E56" s="43" t="n">
        <v>136.8609266666667</v>
      </c>
      <c r="F56" s="43" t="n">
        <v>54.68415764705882</v>
      </c>
      <c r="G56" s="43" t="n">
        <v>335.9142</v>
      </c>
      <c r="H56" s="43" t="n">
        <v>239.9608</v>
      </c>
      <c r="I56" s="42" t="n">
        <v>60</v>
      </c>
      <c r="J56" s="42" t="n">
        <v>85</v>
      </c>
    </row>
    <row r="57">
      <c r="A57" s="41" t="n">
        <v>45833</v>
      </c>
      <c r="B57" s="42" t="inlineStr">
        <is>
          <t>Wednesday</t>
        </is>
      </c>
      <c r="C57" s="45" t="n">
        <v>617.7239999999999</v>
      </c>
      <c r="D57" s="45" t="n">
        <v>525.085</v>
      </c>
      <c r="E57" s="43" t="n">
        <v>147.6074149253731</v>
      </c>
      <c r="F57" s="43" t="n">
        <v>50.81805714285715</v>
      </c>
      <c r="G57" s="43" t="n">
        <v>333.7356</v>
      </c>
      <c r="H57" s="43" t="n">
        <v>112.645</v>
      </c>
      <c r="I57" s="42" t="n">
        <v>67</v>
      </c>
      <c r="J57" s="42" t="n">
        <v>70</v>
      </c>
    </row>
    <row r="58">
      <c r="A58" s="41" t="n">
        <v>45834</v>
      </c>
      <c r="B58" s="42" t="inlineStr">
        <is>
          <t>Thursday</t>
        </is>
      </c>
      <c r="C58" s="45" t="n">
        <v>1622.165</v>
      </c>
      <c r="D58" s="45" t="n">
        <v>192.012</v>
      </c>
      <c r="E58" s="43" t="n">
        <v>169.8463174603175</v>
      </c>
      <c r="F58" s="43" t="n">
        <v>69.67517627118646</v>
      </c>
      <c r="G58" s="43" t="n">
        <v>397.676</v>
      </c>
      <c r="H58" s="43" t="n">
        <v>93.3334</v>
      </c>
      <c r="I58" s="42" t="n">
        <v>63</v>
      </c>
      <c r="J58" s="42" t="n">
        <v>59</v>
      </c>
    </row>
    <row r="59">
      <c r="A59" s="41" t="n">
        <v>45835</v>
      </c>
      <c r="B59" s="42" t="inlineStr">
        <is>
          <t>Friday</t>
        </is>
      </c>
      <c r="C59" s="45" t="n">
        <v>673.005</v>
      </c>
      <c r="D59" s="45" t="n">
        <v>399.865</v>
      </c>
      <c r="E59" s="43" t="n">
        <v>152.0531052631579</v>
      </c>
      <c r="F59" s="43" t="n">
        <v>65.99852777777778</v>
      </c>
      <c r="G59" s="43" t="n">
        <v>381.2502</v>
      </c>
      <c r="H59" s="43" t="n">
        <v>98.25360000000001</v>
      </c>
      <c r="I59" s="42" t="n">
        <v>76</v>
      </c>
      <c r="J59" s="42" t="n">
        <v>72</v>
      </c>
    </row>
    <row r="60">
      <c r="A60" s="41" t="n">
        <v>45836</v>
      </c>
      <c r="B60" s="42" t="inlineStr">
        <is>
          <t>Saturday</t>
        </is>
      </c>
      <c r="C60" s="45" t="n">
        <v>605.947</v>
      </c>
      <c r="D60" s="45" t="n">
        <v>546.6899999999999</v>
      </c>
      <c r="E60" s="43" t="n">
        <v>155.3268965517242</v>
      </c>
      <c r="F60" s="43" t="n">
        <v>80.33096842105263</v>
      </c>
      <c r="G60" s="43" t="n">
        <v>462.559</v>
      </c>
      <c r="H60" s="43" t="n">
        <v>390.9858</v>
      </c>
      <c r="I60" s="42" t="n">
        <v>58</v>
      </c>
      <c r="J60" s="42" t="n">
        <v>57</v>
      </c>
    </row>
    <row r="61">
      <c r="A61" s="41" t="n">
        <v>45837</v>
      </c>
      <c r="B61" s="42" t="inlineStr">
        <is>
          <t>Sunday</t>
        </is>
      </c>
      <c r="C61" s="45" t="n">
        <v>411.185</v>
      </c>
      <c r="D61" s="45" t="n">
        <v>835.5549999999999</v>
      </c>
      <c r="E61" s="43" t="n">
        <v>148.4499555555556</v>
      </c>
      <c r="F61" s="43" t="n">
        <v>109.4463482758621</v>
      </c>
      <c r="G61" s="43" t="n">
        <v>483.1966000000001</v>
      </c>
      <c r="H61" s="43" t="n">
        <v>478.8198</v>
      </c>
      <c r="I61" s="42" t="n">
        <v>54</v>
      </c>
      <c r="J61" s="42" t="n">
        <v>58</v>
      </c>
    </row>
    <row r="62">
      <c r="A62" s="41" t="n">
        <v>45838</v>
      </c>
      <c r="B62" s="42" t="inlineStr">
        <is>
          <t>Monday</t>
        </is>
      </c>
      <c r="C62" s="45" t="n">
        <v>593.279</v>
      </c>
      <c r="D62" s="45" t="n">
        <v>618.371</v>
      </c>
      <c r="E62" s="43" t="n">
        <v>166.4713533333333</v>
      </c>
      <c r="F62" s="43" t="n">
        <v>83.84484057971015</v>
      </c>
      <c r="G62" s="43" t="n">
        <v>475.1558</v>
      </c>
      <c r="H62" s="43" t="n">
        <v>482.482</v>
      </c>
      <c r="I62" s="42" t="n">
        <v>60</v>
      </c>
      <c r="J62" s="42" t="n">
        <v>69</v>
      </c>
    </row>
    <row r="63">
      <c r="A63" s="41" t="n">
        <v>45839</v>
      </c>
      <c r="B63" s="42" t="inlineStr">
        <is>
          <t>Tuesday</t>
        </is>
      </c>
      <c r="C63" s="45" t="n">
        <v>392.649</v>
      </c>
      <c r="D63" s="45" t="n">
        <v>1090.244</v>
      </c>
      <c r="E63" s="43" t="n">
        <v>161.1046508474576</v>
      </c>
      <c r="F63" s="43" t="n">
        <v>80.27923188405796</v>
      </c>
      <c r="G63" s="43" t="n">
        <v>423.859</v>
      </c>
      <c r="H63" s="43" t="n">
        <v>446.015</v>
      </c>
      <c r="I63" s="42" t="n">
        <v>59</v>
      </c>
      <c r="J63" s="42" t="n">
        <v>69</v>
      </c>
    </row>
    <row r="64">
      <c r="A64" s="41" t="n">
        <v>45840</v>
      </c>
      <c r="B64" s="42" t="inlineStr">
        <is>
          <t>Wednesday</t>
        </is>
      </c>
      <c r="C64" s="45" t="n">
        <v>131.587</v>
      </c>
      <c r="D64" s="45" t="n">
        <v>1475.9</v>
      </c>
      <c r="E64" s="43" t="n">
        <v>139.5847575757576</v>
      </c>
      <c r="F64" s="43" t="n">
        <v>83.26413600000001</v>
      </c>
      <c r="G64" s="43" t="n">
        <v>244.9098</v>
      </c>
      <c r="H64" s="43" t="n">
        <v>462.2672</v>
      </c>
      <c r="I64" s="42" t="n">
        <v>33</v>
      </c>
      <c r="J64" s="42" t="n">
        <v>75</v>
      </c>
    </row>
    <row r="65">
      <c r="A65" s="41" t="n">
        <v>45841</v>
      </c>
      <c r="B65" s="42" t="inlineStr">
        <is>
          <t>Thursday</t>
        </is>
      </c>
      <c r="C65" s="45" t="n">
        <v>370.67</v>
      </c>
      <c r="D65" s="45" t="n">
        <v>307.949</v>
      </c>
      <c r="E65" s="43" t="n">
        <v>149.1348564102564</v>
      </c>
      <c r="F65" s="43" t="n">
        <v>80.24563209876544</v>
      </c>
      <c r="G65" s="43" t="n">
        <v>484.4304</v>
      </c>
      <c r="H65" s="43" t="n">
        <v>485.3046000000001</v>
      </c>
      <c r="I65" s="42" t="n">
        <v>78</v>
      </c>
      <c r="J65" s="42" t="n">
        <v>81</v>
      </c>
    </row>
    <row r="66">
      <c r="A66" s="41" t="n">
        <v>45842</v>
      </c>
      <c r="B66" s="42" t="inlineStr">
        <is>
          <t>Friday</t>
        </is>
      </c>
      <c r="C66" s="45" t="n">
        <v>554.444</v>
      </c>
      <c r="D66" s="45" t="n">
        <v>102.198</v>
      </c>
      <c r="E66" s="43" t="n">
        <v>138.4034714285714</v>
      </c>
      <c r="F66" s="43" t="n">
        <v>67.87926086956521</v>
      </c>
      <c r="G66" s="43" t="n">
        <v>419.9056</v>
      </c>
      <c r="H66" s="43" t="n">
        <v>80</v>
      </c>
      <c r="I66" s="42" t="n">
        <v>84</v>
      </c>
      <c r="J66" s="42" t="n">
        <v>69</v>
      </c>
    </row>
    <row r="67">
      <c r="A67" s="41" t="n">
        <v>45843</v>
      </c>
      <c r="B67" s="42" t="inlineStr">
        <is>
          <t>Saturday</t>
        </is>
      </c>
      <c r="C67" s="45" t="n">
        <v>166.511</v>
      </c>
      <c r="D67" s="45" t="n">
        <v>846.138</v>
      </c>
      <c r="E67" s="43" t="n">
        <v>127.0335269230769</v>
      </c>
      <c r="F67" s="43" t="n">
        <v>68.64565348837209</v>
      </c>
      <c r="G67" s="43" t="n">
        <v>349.3392</v>
      </c>
      <c r="H67" s="43" t="n">
        <v>442.1336000000001</v>
      </c>
      <c r="I67" s="42" t="n">
        <v>52</v>
      </c>
      <c r="J67" s="42" t="n">
        <v>86</v>
      </c>
    </row>
    <row r="68">
      <c r="A68" s="41" t="n">
        <v>45844</v>
      </c>
      <c r="B68" s="42" t="inlineStr">
        <is>
          <t>Sunday</t>
        </is>
      </c>
      <c r="C68" s="45" t="n">
        <v>454.685</v>
      </c>
      <c r="D68" s="45" t="n">
        <v>753.247</v>
      </c>
      <c r="E68" s="43" t="n">
        <v>137.2128407407407</v>
      </c>
      <c r="F68" s="43" t="n">
        <v>59.19465588235294</v>
      </c>
      <c r="G68" s="43" t="n">
        <v>381.0076</v>
      </c>
      <c r="H68" s="43" t="n">
        <v>400.618</v>
      </c>
      <c r="I68" s="42" t="n">
        <v>54</v>
      </c>
      <c r="J68" s="42" t="n">
        <v>68</v>
      </c>
    </row>
    <row r="69">
      <c r="A69" s="41" t="n">
        <v>45845</v>
      </c>
      <c r="B69" s="42" t="inlineStr">
        <is>
          <t>Monday</t>
        </is>
      </c>
      <c r="C69" s="45" t="n">
        <v>387.749</v>
      </c>
      <c r="D69" s="45" t="n">
        <v>327.601</v>
      </c>
      <c r="E69" s="43" t="n">
        <v>164.3855178082192</v>
      </c>
      <c r="F69" s="43" t="n">
        <v>61.34945500000001</v>
      </c>
      <c r="G69" s="43" t="n">
        <v>387.2022</v>
      </c>
      <c r="H69" s="43" t="n">
        <v>83.69540000000001</v>
      </c>
      <c r="I69" s="42" t="n">
        <v>73</v>
      </c>
      <c r="J69" s="42" t="n">
        <v>80</v>
      </c>
    </row>
    <row r="70">
      <c r="A70" s="41" t="n">
        <v>45846</v>
      </c>
      <c r="B70" s="42" t="inlineStr">
        <is>
          <t>Tuesday</t>
        </is>
      </c>
      <c r="C70" s="45" t="n">
        <v>829.918</v>
      </c>
      <c r="D70" s="45" t="n">
        <v>271.895</v>
      </c>
      <c r="E70" s="43" t="n">
        <v>168.9905880597015</v>
      </c>
      <c r="F70" s="43" t="n">
        <v>72.02762295081968</v>
      </c>
      <c r="G70" s="43" t="n">
        <v>439.9076</v>
      </c>
      <c r="H70" s="43" t="n">
        <v>478.7806</v>
      </c>
      <c r="I70" s="42" t="n">
        <v>67</v>
      </c>
      <c r="J70" s="42" t="n">
        <v>61</v>
      </c>
    </row>
    <row r="71">
      <c r="A71" s="41" t="n">
        <v>45847</v>
      </c>
      <c r="B71" s="42" t="inlineStr">
        <is>
          <t>Wednesday</t>
        </is>
      </c>
      <c r="C71" s="45" t="n">
        <v>720.072</v>
      </c>
      <c r="D71" s="45" t="n">
        <v>682.578</v>
      </c>
      <c r="E71" s="43" t="n">
        <v>155.552137704918</v>
      </c>
      <c r="F71" s="43" t="n">
        <v>75.51894848484849</v>
      </c>
      <c r="G71" s="43" t="n">
        <v>447.6856</v>
      </c>
      <c r="H71" s="43" t="n">
        <v>395.5126</v>
      </c>
      <c r="I71" s="42" t="n">
        <v>61</v>
      </c>
      <c r="J71" s="42" t="n">
        <v>66</v>
      </c>
    </row>
    <row r="72">
      <c r="A72" s="41" t="n">
        <v>45848</v>
      </c>
      <c r="B72" s="42" t="inlineStr">
        <is>
          <t>Thursday</t>
        </is>
      </c>
      <c r="C72" s="45" t="n">
        <v>70.089</v>
      </c>
      <c r="D72" s="45" t="n">
        <v>1255.453</v>
      </c>
      <c r="E72" s="43" t="n">
        <v>134.100435</v>
      </c>
      <c r="F72" s="43" t="n">
        <v>74.11184250000001</v>
      </c>
      <c r="G72" s="43" t="n">
        <v>146.913</v>
      </c>
      <c r="H72" s="43" t="n">
        <v>493.7418</v>
      </c>
      <c r="I72" s="42" t="n">
        <v>40</v>
      </c>
      <c r="J72" s="42" t="n">
        <v>80</v>
      </c>
    </row>
    <row r="73">
      <c r="A73" s="41" t="n">
        <v>45849</v>
      </c>
      <c r="B73" s="42" t="inlineStr">
        <is>
          <t>Friday</t>
        </is>
      </c>
      <c r="C73" s="45" t="n">
        <v>97.919</v>
      </c>
      <c r="D73" s="45" t="n">
        <v>910.878</v>
      </c>
      <c r="E73" s="43" t="n">
        <v>136.1246081632653</v>
      </c>
      <c r="F73" s="43" t="n">
        <v>54.25624318181819</v>
      </c>
      <c r="G73" s="43" t="n">
        <v>190.2252</v>
      </c>
      <c r="H73" s="43" t="n">
        <v>428.0502000000001</v>
      </c>
      <c r="I73" s="42" t="n">
        <v>49</v>
      </c>
      <c r="J73" s="42" t="n">
        <v>88</v>
      </c>
    </row>
    <row r="74">
      <c r="A74" s="41" t="n">
        <v>45850</v>
      </c>
      <c r="B74" s="42" t="inlineStr">
        <is>
          <t>Saturday</t>
        </is>
      </c>
      <c r="C74" s="45" t="n">
        <v>219.939</v>
      </c>
      <c r="D74" s="45" t="n">
        <v>570.855</v>
      </c>
      <c r="E74" s="43" t="n">
        <v>134.692078125</v>
      </c>
      <c r="F74" s="43" t="n">
        <v>67.74385185185186</v>
      </c>
      <c r="G74" s="43" t="n">
        <v>190.8458000000001</v>
      </c>
      <c r="H74" s="43" t="n">
        <v>412.8202000000001</v>
      </c>
      <c r="I74" s="42" t="n">
        <v>64</v>
      </c>
      <c r="J74" s="42" t="n">
        <v>81</v>
      </c>
    </row>
    <row r="75">
      <c r="A75" s="41" t="n">
        <v>45851</v>
      </c>
      <c r="B75" s="42" t="inlineStr">
        <is>
          <t>Sunday</t>
        </is>
      </c>
      <c r="C75" s="45" t="n">
        <v>138.0599941206626</v>
      </c>
      <c r="D75" s="45" t="n">
        <v>707.9969062719014</v>
      </c>
      <c r="E75" s="43" t="n">
        <v>132.9758375455781</v>
      </c>
      <c r="F75" s="43" t="n">
        <v>61.14218279236319</v>
      </c>
      <c r="G75" s="43" t="n">
        <v>152.371</v>
      </c>
      <c r="H75" s="43" t="n">
        <v>261.282</v>
      </c>
      <c r="I75" s="42" t="n">
        <v>56</v>
      </c>
      <c r="J75" s="42" t="n">
        <v>91</v>
      </c>
    </row>
    <row r="76">
      <c r="A76" s="41" t="n">
        <v>45852</v>
      </c>
      <c r="B76" s="42" t="inlineStr">
        <is>
          <t>Monday</t>
        </is>
      </c>
      <c r="C76" s="45" t="n">
        <v>351.6715931330048</v>
      </c>
      <c r="D76" s="45" t="n">
        <v>570.2433671188834</v>
      </c>
      <c r="E76" s="43" t="n">
        <v>149.2256288484913</v>
      </c>
      <c r="F76" s="43" t="n">
        <v>68.16100952745144</v>
      </c>
      <c r="G76" s="43" t="n">
        <v>463.4826000000001</v>
      </c>
      <c r="H76" s="43" t="n">
        <v>477.8848</v>
      </c>
      <c r="I76" s="42" t="n">
        <v>59</v>
      </c>
      <c r="J76" s="42" t="n">
        <v>87</v>
      </c>
    </row>
    <row r="77">
      <c r="A77" s="41" t="n">
        <v>45853</v>
      </c>
      <c r="B77" s="42" t="inlineStr">
        <is>
          <t>Tuesday</t>
        </is>
      </c>
      <c r="C77" s="45" t="n">
        <v>162.165</v>
      </c>
      <c r="D77" s="45" t="n">
        <v>493.345</v>
      </c>
      <c r="E77" s="43" t="n">
        <v>144.4901015873016</v>
      </c>
      <c r="F77" s="43" t="n">
        <v>55.07977608695651</v>
      </c>
      <c r="G77" s="43" t="n">
        <v>442.9866</v>
      </c>
      <c r="H77" s="43" t="n">
        <v>175.8336</v>
      </c>
      <c r="I77" s="42" t="n">
        <v>63</v>
      </c>
      <c r="J77" s="42" t="n">
        <v>92</v>
      </c>
    </row>
    <row r="78">
      <c r="A78" s="41" t="n">
        <v>45854</v>
      </c>
      <c r="B78" s="42" t="inlineStr">
        <is>
          <t>Wednesday</t>
        </is>
      </c>
      <c r="C78" s="45" t="n">
        <v>436.487</v>
      </c>
      <c r="D78" s="45" t="n">
        <v>565.465</v>
      </c>
      <c r="E78" s="43" t="n">
        <v>159.6707015384615</v>
      </c>
      <c r="F78" s="43" t="n">
        <v>69.82653333333334</v>
      </c>
      <c r="G78" s="43" t="n">
        <v>451.7722</v>
      </c>
      <c r="H78" s="43" t="n">
        <v>338.6774</v>
      </c>
      <c r="I78" s="42" t="n">
        <v>65</v>
      </c>
      <c r="J78" s="42" t="n">
        <v>69</v>
      </c>
    </row>
    <row r="79">
      <c r="A79" s="41" t="n">
        <v>45855</v>
      </c>
      <c r="B79" s="42" t="inlineStr">
        <is>
          <t>Thursday</t>
        </is>
      </c>
      <c r="C79" s="45" t="n">
        <v>616.508</v>
      </c>
      <c r="D79" s="45" t="n">
        <v>851.052</v>
      </c>
      <c r="E79" s="43" t="n">
        <v>161.8807018867925</v>
      </c>
      <c r="F79" s="43" t="n">
        <v>68.44940869565218</v>
      </c>
      <c r="G79" s="43" t="n">
        <v>496.9536000000001</v>
      </c>
      <c r="H79" s="43" t="n">
        <v>431.0256000000001</v>
      </c>
      <c r="I79" s="42" t="n">
        <v>53</v>
      </c>
      <c r="J79" s="42" t="n">
        <v>69</v>
      </c>
    </row>
    <row r="80">
      <c r="A80" s="41" t="n">
        <v>45856</v>
      </c>
      <c r="B80" s="42" t="inlineStr">
        <is>
          <t>Friday</t>
        </is>
      </c>
      <c r="C80" s="45" t="n">
        <v>234.793</v>
      </c>
      <c r="D80" s="45" t="n">
        <v>1565.074</v>
      </c>
      <c r="E80" s="43" t="n">
        <v>136.6346047619048</v>
      </c>
      <c r="F80" s="43" t="n">
        <v>74.77133030303031</v>
      </c>
      <c r="G80" s="43" t="n">
        <v>498.9294</v>
      </c>
      <c r="H80" s="43" t="n">
        <v>359.3838000000001</v>
      </c>
      <c r="I80" s="42" t="n">
        <v>42</v>
      </c>
      <c r="J80" s="42" t="n">
        <v>66</v>
      </c>
    </row>
    <row r="81">
      <c r="A81" s="41" t="n">
        <v>45857</v>
      </c>
      <c r="B81" s="42" t="inlineStr">
        <is>
          <t>Saturday</t>
        </is>
      </c>
      <c r="C81" s="45" t="n">
        <v>459.007</v>
      </c>
      <c r="D81" s="45" t="n">
        <v>184.562</v>
      </c>
      <c r="E81" s="43" t="n">
        <v>158.7385688311688</v>
      </c>
      <c r="F81" s="43" t="n">
        <v>91.10620869565219</v>
      </c>
      <c r="G81" s="43" t="n">
        <v>393.5852</v>
      </c>
      <c r="H81" s="43" t="n">
        <v>413.5832</v>
      </c>
      <c r="I81" s="42" t="n">
        <v>77</v>
      </c>
      <c r="J81" s="42" t="n">
        <v>69</v>
      </c>
    </row>
    <row r="82">
      <c r="A82" s="41" t="n">
        <v>45858</v>
      </c>
      <c r="B82" s="42" t="inlineStr">
        <is>
          <t>Sunday</t>
        </is>
      </c>
      <c r="C82" s="45" t="n">
        <v>198.089</v>
      </c>
      <c r="D82" s="45" t="n">
        <v>645.698</v>
      </c>
      <c r="E82" s="43" t="n">
        <v>141.0625205882353</v>
      </c>
      <c r="F82" s="43" t="n">
        <v>80.67886774193549</v>
      </c>
      <c r="G82" s="43" t="n">
        <v>491.5582000000001</v>
      </c>
      <c r="H82" s="43" t="n">
        <v>375.115</v>
      </c>
      <c r="I82" s="42" t="n">
        <v>68</v>
      </c>
      <c r="J82" s="42" t="n">
        <v>62</v>
      </c>
    </row>
    <row r="83">
      <c r="A83" s="41" t="n">
        <v>45859</v>
      </c>
      <c r="B83" s="42" t="inlineStr">
        <is>
          <t>Monday</t>
        </is>
      </c>
      <c r="C83" s="45" t="n">
        <v>215.211</v>
      </c>
      <c r="D83" s="45" t="n">
        <v>617.129</v>
      </c>
      <c r="E83" s="43" t="n">
        <v>138.3417925925926</v>
      </c>
      <c r="F83" s="43" t="n">
        <v>58.34374606741573</v>
      </c>
      <c r="G83" s="43" t="n">
        <v>462.3106</v>
      </c>
      <c r="H83" s="43" t="n">
        <v>356.4346</v>
      </c>
      <c r="I83" s="42" t="n">
        <v>54</v>
      </c>
      <c r="J83" s="42" t="n">
        <v>89</v>
      </c>
    </row>
    <row r="84">
      <c r="A84" s="41" t="n">
        <v>45860</v>
      </c>
      <c r="B84" s="42" t="inlineStr">
        <is>
          <t>Tuesday</t>
        </is>
      </c>
      <c r="C84" s="45" t="n">
        <v>671.871</v>
      </c>
      <c r="D84" s="45" t="n">
        <v>762.3489999999999</v>
      </c>
      <c r="E84" s="43" t="n">
        <v>145.3176555555555</v>
      </c>
      <c r="F84" s="43" t="n">
        <v>73.29037681159421</v>
      </c>
      <c r="G84" s="43" t="n">
        <v>457.8758</v>
      </c>
      <c r="H84" s="43" t="n">
        <v>472.3974000000001</v>
      </c>
      <c r="I84" s="42" t="n">
        <v>54</v>
      </c>
      <c r="J84" s="42" t="n">
        <v>69</v>
      </c>
    </row>
    <row r="85">
      <c r="A85" s="41" t="n">
        <v>45861</v>
      </c>
      <c r="B85" s="42" t="inlineStr">
        <is>
          <t>Wednesday</t>
        </is>
      </c>
      <c r="C85" s="45" t="n">
        <v>526.1080000000001</v>
      </c>
      <c r="D85" s="45" t="n">
        <v>804.276</v>
      </c>
      <c r="E85" s="43" t="n">
        <v>173.9294826086957</v>
      </c>
      <c r="F85" s="43" t="n">
        <v>85.7850358208955</v>
      </c>
      <c r="G85" s="43" t="n">
        <v>401.1732</v>
      </c>
      <c r="H85" s="43" t="n">
        <v>480.4428</v>
      </c>
      <c r="I85" s="42" t="n">
        <v>46</v>
      </c>
      <c r="J85" s="42" t="n">
        <v>67</v>
      </c>
    </row>
    <row r="86">
      <c r="A86" s="41" t="n">
        <v>45862</v>
      </c>
      <c r="B86" s="42" t="inlineStr">
        <is>
          <t>Thursday</t>
        </is>
      </c>
      <c r="C86" s="45" t="n">
        <v>711.027</v>
      </c>
      <c r="D86" s="45" t="n">
        <v>164.173</v>
      </c>
      <c r="E86" s="43" t="n">
        <v>168.9237287671233</v>
      </c>
      <c r="F86" s="43" t="n">
        <v>69.00421666666666</v>
      </c>
      <c r="G86" s="43" t="n">
        <v>496.559</v>
      </c>
      <c r="H86" s="43" t="n">
        <v>84</v>
      </c>
      <c r="I86" s="42" t="n">
        <v>73</v>
      </c>
      <c r="J86" s="42" t="n">
        <v>72</v>
      </c>
    </row>
    <row r="87">
      <c r="A87" s="41" t="n">
        <v>45863</v>
      </c>
      <c r="B87" s="42" t="inlineStr">
        <is>
          <t>Friday</t>
        </is>
      </c>
      <c r="C87" s="45" t="n">
        <v>965.349</v>
      </c>
      <c r="D87" s="45" t="n">
        <v>184.471</v>
      </c>
      <c r="E87" s="43" t="n">
        <v>170.1578379746835</v>
      </c>
      <c r="F87" s="43" t="n">
        <v>64.3763230769231</v>
      </c>
      <c r="G87" s="43" t="n">
        <v>448.0140000000001</v>
      </c>
      <c r="H87" s="43" t="n">
        <v>84.28360000000001</v>
      </c>
      <c r="I87" s="42" t="n">
        <v>79</v>
      </c>
      <c r="J87" s="42" t="n">
        <v>65</v>
      </c>
    </row>
    <row r="88">
      <c r="A88" s="41" t="n">
        <v>45864</v>
      </c>
      <c r="B88" s="42" t="inlineStr">
        <is>
          <t>Saturday</t>
        </is>
      </c>
      <c r="C88" s="45" t="n">
        <v>471.178</v>
      </c>
      <c r="D88" s="45" t="n">
        <v>327.567</v>
      </c>
      <c r="E88" s="43" t="n">
        <v>155.2710158730159</v>
      </c>
      <c r="F88" s="43" t="n">
        <v>65.22642820512822</v>
      </c>
      <c r="G88" s="43" t="n">
        <v>423.7092</v>
      </c>
      <c r="H88" s="43" t="n">
        <v>84.40000000000001</v>
      </c>
      <c r="I88" s="42" t="n">
        <v>63</v>
      </c>
      <c r="J88" s="42" t="n">
        <v>78</v>
      </c>
    </row>
    <row r="89">
      <c r="A89" s="41" t="n">
        <v>45865</v>
      </c>
      <c r="B89" s="42" t="inlineStr">
        <is>
          <t>Sunday</t>
        </is>
      </c>
      <c r="C89" s="45" t="n">
        <v>549.1369999999999</v>
      </c>
      <c r="D89" s="45" t="n">
        <v>152.262</v>
      </c>
      <c r="E89" s="43" t="n">
        <v>147.3995392405064</v>
      </c>
      <c r="F89" s="43" t="n">
        <v>69.10308101265825</v>
      </c>
      <c r="G89" s="43" t="n">
        <v>420.9076</v>
      </c>
      <c r="H89" s="43" t="n">
        <v>123.1644</v>
      </c>
      <c r="I89" s="42" t="n">
        <v>79</v>
      </c>
      <c r="J89" s="42" t="n">
        <v>79</v>
      </c>
    </row>
    <row r="90">
      <c r="A90" s="41" t="n">
        <v>45866</v>
      </c>
      <c r="B90" s="42" t="inlineStr">
        <is>
          <t>Monday</t>
        </is>
      </c>
      <c r="C90" s="45" t="n">
        <v>690.742</v>
      </c>
      <c r="D90" s="45" t="n">
        <v>519.116</v>
      </c>
      <c r="E90" s="43" t="n">
        <v>161.9961</v>
      </c>
      <c r="F90" s="43" t="n">
        <v>62.61868437500001</v>
      </c>
      <c r="G90" s="43" t="n">
        <v>371.0852</v>
      </c>
      <c r="H90" s="43" t="n">
        <v>84.3764</v>
      </c>
      <c r="I90" s="42" t="n">
        <v>62</v>
      </c>
      <c r="J90" s="42" t="n">
        <v>64</v>
      </c>
    </row>
    <row r="91">
      <c r="A91" s="41" t="n">
        <v>45867</v>
      </c>
      <c r="B91" s="42" t="inlineStr">
        <is>
          <t>Tuesday</t>
        </is>
      </c>
      <c r="C91" s="45" t="n">
        <v>754.379</v>
      </c>
      <c r="D91" s="45" t="n">
        <v>788.424</v>
      </c>
      <c r="E91" s="43" t="n">
        <v>154.2227090909091</v>
      </c>
      <c r="F91" s="43" t="n">
        <v>76.22510847457629</v>
      </c>
      <c r="G91" s="43" t="n">
        <v>327.809</v>
      </c>
      <c r="H91" s="43" t="n">
        <v>471.3576000000001</v>
      </c>
      <c r="I91" s="42" t="n">
        <v>66</v>
      </c>
      <c r="J91" s="42" t="n">
        <v>59</v>
      </c>
    </row>
    <row r="92">
      <c r="A92" s="41" t="n">
        <v>45868</v>
      </c>
      <c r="B92" s="42" t="inlineStr">
        <is>
          <t>Wednesday</t>
        </is>
      </c>
      <c r="C92" s="45" t="n">
        <v>535.588</v>
      </c>
      <c r="D92" s="45" t="n">
        <v>659.4159999999999</v>
      </c>
      <c r="E92" s="43" t="n">
        <v>144.0741803278688</v>
      </c>
      <c r="F92" s="43" t="n">
        <v>77.01788985507247</v>
      </c>
      <c r="G92" s="43" t="n">
        <v>482.7996000000001</v>
      </c>
      <c r="H92" s="43" t="n">
        <v>454.8086000000001</v>
      </c>
      <c r="I92" s="42" t="n">
        <v>61</v>
      </c>
      <c r="J92" s="42" t="n">
        <v>69</v>
      </c>
    </row>
    <row r="93">
      <c r="A93" s="41" t="n">
        <v>45869</v>
      </c>
      <c r="B93" s="42" t="inlineStr">
        <is>
          <t>Thursday</t>
        </is>
      </c>
      <c r="C93" s="45" t="n">
        <v>453.59</v>
      </c>
      <c r="D93" s="45" t="n">
        <v>340.476</v>
      </c>
      <c r="E93" s="43" t="n">
        <v>153.3174705882353</v>
      </c>
      <c r="F93" s="43" t="n">
        <v>64.13292173913042</v>
      </c>
      <c r="G93" s="43" t="n">
        <v>488.4906</v>
      </c>
      <c r="H93" s="43" t="n">
        <v>84</v>
      </c>
      <c r="I93" s="42" t="n">
        <v>68</v>
      </c>
      <c r="J93" s="42" t="n">
        <v>69</v>
      </c>
    </row>
    <row r="94">
      <c r="A94" s="41" t="n">
        <v>45870</v>
      </c>
      <c r="B94" s="42" t="inlineStr">
        <is>
          <t>Friday</t>
        </is>
      </c>
      <c r="C94" s="45" t="n">
        <v>238.352</v>
      </c>
      <c r="D94" s="45" t="n">
        <v>812.237</v>
      </c>
      <c r="E94" s="43" t="n">
        <v>141.7077142857143</v>
      </c>
      <c r="F94" s="43" t="n">
        <v>75.63108421052631</v>
      </c>
      <c r="G94" s="43" t="n">
        <v>334.3666000000001</v>
      </c>
      <c r="H94" s="43" t="n">
        <v>430.7734</v>
      </c>
      <c r="I94" s="42" t="n">
        <v>63</v>
      </c>
      <c r="J94" s="42" t="n">
        <v>76</v>
      </c>
    </row>
    <row r="95">
      <c r="A95" s="41" t="n">
        <v>45871</v>
      </c>
      <c r="B95" s="42" t="inlineStr">
        <is>
          <t>Saturday</t>
        </is>
      </c>
      <c r="C95" s="45" t="n">
        <v>526.7</v>
      </c>
      <c r="D95" s="45" t="n">
        <v>200.263</v>
      </c>
      <c r="E95" s="43" t="n">
        <v>143.2992469135802</v>
      </c>
      <c r="F95" s="43" t="n">
        <v>94.25033846153846</v>
      </c>
      <c r="G95" s="43" t="n">
        <v>458.0050000000001</v>
      </c>
      <c r="H95" s="43" t="n">
        <v>406.3320000000001</v>
      </c>
      <c r="I95" s="42" t="n">
        <v>81</v>
      </c>
      <c r="J95" s="42" t="n">
        <v>65</v>
      </c>
    </row>
    <row r="96">
      <c r="A96" s="41" t="n">
        <v>45872</v>
      </c>
      <c r="B96" s="42" t="inlineStr">
        <is>
          <t>Sunday</t>
        </is>
      </c>
      <c r="C96" s="45" t="n">
        <v>399.36</v>
      </c>
      <c r="D96" s="45" t="n">
        <v>309.918</v>
      </c>
      <c r="E96" s="43" t="n">
        <v>146.9823636363636</v>
      </c>
      <c r="F96" s="43" t="n">
        <v>98.01160833333333</v>
      </c>
      <c r="G96" s="43" t="n">
        <v>491.6014</v>
      </c>
      <c r="H96" s="43" t="n">
        <v>474.8802</v>
      </c>
      <c r="I96" s="42" t="n">
        <v>66</v>
      </c>
      <c r="J96" s="42" t="n">
        <v>72</v>
      </c>
    </row>
    <row r="97">
      <c r="A97" s="41" t="n">
        <v>45873</v>
      </c>
      <c r="B97" s="42" t="inlineStr">
        <is>
          <t>Monday</t>
        </is>
      </c>
      <c r="C97" s="45" t="n">
        <v>338.008</v>
      </c>
      <c r="D97" s="45" t="n">
        <v>520.617</v>
      </c>
      <c r="E97" s="43" t="n">
        <v>126.5832225806452</v>
      </c>
      <c r="F97" s="43" t="n">
        <v>61.58073012048194</v>
      </c>
      <c r="G97" s="43" t="n">
        <v>418.3912</v>
      </c>
      <c r="H97" s="43" t="n">
        <v>277.531</v>
      </c>
      <c r="I97" s="42" t="n">
        <v>62</v>
      </c>
      <c r="J97" s="42" t="n">
        <v>83</v>
      </c>
    </row>
    <row r="98">
      <c r="A98" s="41" t="n">
        <v>45874</v>
      </c>
      <c r="B98" s="42" t="inlineStr">
        <is>
          <t>Tuesday</t>
        </is>
      </c>
      <c r="C98" s="45" t="n">
        <v>373.635</v>
      </c>
      <c r="D98" s="45" t="n">
        <v>954.792</v>
      </c>
      <c r="E98" s="43" t="n">
        <v>135.7471306122449</v>
      </c>
      <c r="F98" s="43" t="n">
        <v>65.76163544303799</v>
      </c>
      <c r="G98" s="43" t="n">
        <v>404.4082</v>
      </c>
      <c r="H98" s="43" t="n">
        <v>405.242</v>
      </c>
      <c r="I98" s="42" t="n">
        <v>49</v>
      </c>
      <c r="J98" s="42" t="n">
        <v>79</v>
      </c>
    </row>
    <row r="99">
      <c r="A99" s="41" t="n">
        <v>45875</v>
      </c>
      <c r="B99" s="42" t="inlineStr">
        <is>
          <t>Wednesday</t>
        </is>
      </c>
      <c r="C99" s="45" t="n">
        <v>667.672</v>
      </c>
      <c r="D99" s="45" t="n">
        <v>829.216</v>
      </c>
      <c r="E99" s="43" t="n">
        <v>154.4420772727273</v>
      </c>
      <c r="F99" s="43" t="n">
        <v>100.9055404255319</v>
      </c>
      <c r="G99" s="43" t="n">
        <v>368.7882</v>
      </c>
      <c r="H99" s="43" t="n">
        <v>478.4942</v>
      </c>
      <c r="I99" s="42" t="n">
        <v>44</v>
      </c>
      <c r="J99" s="42" t="n">
        <v>47</v>
      </c>
    </row>
    <row r="100">
      <c r="A100" s="41" t="n">
        <v>45876</v>
      </c>
      <c r="B100" s="42" t="inlineStr">
        <is>
          <t>Thursday</t>
        </is>
      </c>
      <c r="C100" s="45" t="n">
        <v>535.356</v>
      </c>
      <c r="D100" s="45" t="n">
        <v>950.415</v>
      </c>
      <c r="E100" s="43" t="n">
        <v>124.8274470588235</v>
      </c>
      <c r="F100" s="43" t="n">
        <v>81.43291250000001</v>
      </c>
      <c r="G100" s="43" t="n">
        <v>489.1646</v>
      </c>
      <c r="H100" s="43" t="n">
        <v>499.1924</v>
      </c>
      <c r="I100" s="42" t="n">
        <v>51</v>
      </c>
      <c r="J100" s="42" t="n">
        <v>64</v>
      </c>
    </row>
    <row r="101">
      <c r="A101" s="41" t="n">
        <v>45877</v>
      </c>
      <c r="B101" s="42" t="inlineStr">
        <is>
          <t>Friday</t>
        </is>
      </c>
      <c r="C101" s="45" t="n">
        <v>295.253</v>
      </c>
      <c r="D101" s="45" t="n">
        <v>604.64</v>
      </c>
      <c r="E101" s="43" t="n">
        <v>125.5030842105263</v>
      </c>
      <c r="F101" s="43" t="n">
        <v>80.68025714285713</v>
      </c>
      <c r="G101" s="43" t="n">
        <v>417.823</v>
      </c>
      <c r="H101" s="43" t="n">
        <v>454.7106</v>
      </c>
      <c r="I101" s="42" t="n">
        <v>57</v>
      </c>
      <c r="J101" s="42" t="n">
        <v>70</v>
      </c>
    </row>
    <row r="102">
      <c r="A102" s="41" t="n">
        <v>45878</v>
      </c>
      <c r="B102" s="42" t="inlineStr">
        <is>
          <t>Saturday</t>
        </is>
      </c>
      <c r="C102" s="45" t="n">
        <v>246.367</v>
      </c>
      <c r="D102" s="45" t="n">
        <v>260.45</v>
      </c>
      <c r="E102" s="43" t="n">
        <v>122.7481706666667</v>
      </c>
      <c r="F102" s="43" t="n">
        <v>68.47214133333333</v>
      </c>
      <c r="G102" s="43" t="n">
        <v>199.0882</v>
      </c>
      <c r="H102" s="43" t="n">
        <v>485.6576</v>
      </c>
      <c r="I102" s="42" t="n">
        <v>75</v>
      </c>
      <c r="J102" s="42" t="n">
        <v>75</v>
      </c>
    </row>
    <row r="103">
      <c r="A103" s="41" t="n">
        <v>45879</v>
      </c>
      <c r="B103" s="42" t="inlineStr">
        <is>
          <t>Sunday</t>
        </is>
      </c>
      <c r="C103" s="45" t="n">
        <v>560.163</v>
      </c>
      <c r="D103" s="45" t="n">
        <v>299.877</v>
      </c>
      <c r="E103" s="43" t="n">
        <v>130.8611894736842</v>
      </c>
      <c r="F103" s="43" t="n">
        <v>66.93155466666666</v>
      </c>
      <c r="G103" s="43" t="n">
        <v>423.4770000000001</v>
      </c>
      <c r="H103" s="43" t="n">
        <v>418.5216</v>
      </c>
      <c r="I103" s="42" t="n">
        <v>57</v>
      </c>
      <c r="J103" s="42" t="n">
        <v>75</v>
      </c>
    </row>
    <row r="104">
      <c r="A104" s="41" t="n">
        <v>45880</v>
      </c>
      <c r="B104" s="42" t="inlineStr">
        <is>
          <t>Monday</t>
        </is>
      </c>
      <c r="C104" s="45" t="n">
        <v>339.055</v>
      </c>
      <c r="D104" s="45" t="n">
        <v>1060.963</v>
      </c>
      <c r="E104" s="43" t="n">
        <v>134.0684150943396</v>
      </c>
      <c r="F104" s="43" t="n">
        <v>74.134890625</v>
      </c>
      <c r="G104" s="43" t="n">
        <v>464.0834</v>
      </c>
      <c r="H104" s="43" t="n">
        <v>471.6104</v>
      </c>
      <c r="I104" s="42" t="n">
        <v>53</v>
      </c>
      <c r="J104" s="42" t="n">
        <v>64</v>
      </c>
    </row>
    <row r="105">
      <c r="A105" s="41" t="n">
        <v>45881</v>
      </c>
      <c r="B105" s="42" t="inlineStr">
        <is>
          <t>Tuesday</t>
        </is>
      </c>
      <c r="C105" s="45" t="n">
        <v>286.824</v>
      </c>
      <c r="D105" s="45" t="n">
        <v>1021.193</v>
      </c>
      <c r="E105" s="43" t="n">
        <v>141.3494307692308</v>
      </c>
      <c r="F105" s="43" t="n">
        <v>62.52781518987342</v>
      </c>
      <c r="G105" s="43" t="n">
        <v>471.6246</v>
      </c>
      <c r="H105" s="43" t="n">
        <v>426.5792000000001</v>
      </c>
      <c r="I105" s="42" t="n">
        <v>39</v>
      </c>
      <c r="J105" s="42" t="n">
        <v>79</v>
      </c>
    </row>
    <row r="106">
      <c r="A106" s="41" t="n">
        <v>45882</v>
      </c>
      <c r="B106" s="42" t="inlineStr">
        <is>
          <t>Wednesday</t>
        </is>
      </c>
      <c r="C106" s="45" t="n">
        <v>644.617</v>
      </c>
      <c r="D106" s="45" t="n">
        <v>595.472</v>
      </c>
      <c r="E106" s="43" t="n">
        <v>137.1053791666667</v>
      </c>
      <c r="F106" s="43" t="n">
        <v>66.45823768115943</v>
      </c>
      <c r="G106" s="43" t="n">
        <v>457.9138</v>
      </c>
      <c r="H106" s="43" t="n">
        <v>437.0184</v>
      </c>
      <c r="I106" s="42" t="n">
        <v>48</v>
      </c>
      <c r="J106" s="42" t="n">
        <v>69</v>
      </c>
    </row>
    <row r="107">
      <c r="A107" s="41" t="n">
        <v>45883</v>
      </c>
      <c r="B107" s="42" t="inlineStr">
        <is>
          <t>Thursday</t>
        </is>
      </c>
      <c r="C107" s="45" t="n">
        <v>647.852</v>
      </c>
      <c r="D107" s="45" t="n">
        <v>290.327</v>
      </c>
      <c r="E107" s="43" t="n">
        <v>152.4603771428571</v>
      </c>
      <c r="F107" s="43" t="n">
        <v>64.24961639344264</v>
      </c>
      <c r="G107" s="43" t="n">
        <v>361.2302</v>
      </c>
      <c r="H107" s="43" t="n">
        <v>294.3278</v>
      </c>
      <c r="I107" s="42" t="n">
        <v>70</v>
      </c>
      <c r="J107" s="42" t="n">
        <v>61</v>
      </c>
    </row>
    <row r="108">
      <c r="A108" s="41" t="n">
        <v>45884</v>
      </c>
      <c r="B108" s="42" t="inlineStr">
        <is>
          <t>Friday</t>
        </is>
      </c>
      <c r="C108" s="45" t="n">
        <v>61.814</v>
      </c>
      <c r="D108" s="45" t="n">
        <v>789.402</v>
      </c>
      <c r="E108" s="43" t="n">
        <v>117.3861422222222</v>
      </c>
      <c r="F108" s="43" t="n">
        <v>66.72211777777778</v>
      </c>
      <c r="G108" s="43" t="n">
        <v>139.5328</v>
      </c>
      <c r="H108" s="43" t="n">
        <v>416.8248</v>
      </c>
      <c r="I108" s="42" t="n">
        <v>45</v>
      </c>
      <c r="J108" s="42" t="n">
        <v>90</v>
      </c>
    </row>
    <row r="109">
      <c r="A109" s="41" t="n">
        <v>45885</v>
      </c>
      <c r="B109" s="42" t="inlineStr">
        <is>
          <t>Saturday</t>
        </is>
      </c>
      <c r="C109" s="45" t="n">
        <v>408.868</v>
      </c>
      <c r="D109" s="45" t="n">
        <v>547.747</v>
      </c>
      <c r="E109" s="43" t="n">
        <v>142.1669533333333</v>
      </c>
      <c r="F109" s="43" t="n">
        <v>50.91521818181818</v>
      </c>
      <c r="G109" s="43" t="n">
        <v>456.8022</v>
      </c>
      <c r="H109" s="43" t="n">
        <v>82.44040000000001</v>
      </c>
      <c r="I109" s="42" t="n">
        <v>60</v>
      </c>
      <c r="J109" s="42" t="n">
        <v>77</v>
      </c>
    </row>
    <row r="110">
      <c r="A110" s="41" t="n">
        <v>45886</v>
      </c>
      <c r="B110" s="42" t="inlineStr">
        <is>
          <t>Sunday</t>
        </is>
      </c>
      <c r="C110" s="45" t="n">
        <v>127.969</v>
      </c>
      <c r="D110" s="45" t="n">
        <v>457.424</v>
      </c>
      <c r="E110" s="43" t="n">
        <v>113.3739724137931</v>
      </c>
      <c r="F110" s="43" t="n">
        <v>56.59237802197803</v>
      </c>
      <c r="G110" s="43" t="n">
        <v>139.7244</v>
      </c>
      <c r="H110" s="43" t="n">
        <v>84</v>
      </c>
      <c r="I110" s="42" t="n">
        <v>58</v>
      </c>
      <c r="J110" s="42" t="n">
        <v>91</v>
      </c>
    </row>
    <row r="111">
      <c r="A111" s="41" t="n">
        <v>45887</v>
      </c>
      <c r="B111" s="42" t="inlineStr">
        <is>
          <t>Monday</t>
        </is>
      </c>
      <c r="C111" s="45" t="n">
        <v>150.375</v>
      </c>
      <c r="D111" s="45" t="n">
        <v>1053.42</v>
      </c>
      <c r="E111" s="43" t="n">
        <v>115.7612470588235</v>
      </c>
      <c r="F111" s="43" t="n">
        <v>62.53626315789475</v>
      </c>
      <c r="G111" s="43" t="n">
        <v>343.2826</v>
      </c>
      <c r="H111" s="43" t="n">
        <v>439.9018</v>
      </c>
      <c r="I111" s="42" t="n">
        <v>51</v>
      </c>
      <c r="J111" s="42" t="n">
        <v>76</v>
      </c>
    </row>
    <row r="112">
      <c r="A112" s="41" t="n">
        <v>45888</v>
      </c>
      <c r="B112" s="42" t="inlineStr">
        <is>
          <t>Tuesday</t>
        </is>
      </c>
      <c r="C112" s="45" t="n">
        <v>367.561</v>
      </c>
      <c r="D112" s="45" t="n">
        <v>520.732</v>
      </c>
      <c r="E112" s="43" t="n">
        <v>136.7380925373134</v>
      </c>
      <c r="F112" s="43" t="n">
        <v>66.44597499999999</v>
      </c>
      <c r="G112" s="43" t="n">
        <v>456.2446</v>
      </c>
      <c r="H112" s="43" t="n">
        <v>388.7944</v>
      </c>
      <c r="I112" s="42" t="n">
        <v>67</v>
      </c>
      <c r="J112" s="42" t="n">
        <v>72</v>
      </c>
    </row>
    <row r="113">
      <c r="A113" s="41" t="n">
        <v>45889</v>
      </c>
      <c r="B113" s="42" t="inlineStr">
        <is>
          <t>Wednesday</t>
        </is>
      </c>
      <c r="C113" s="45" t="n">
        <v>128.669</v>
      </c>
      <c r="D113" s="45" t="n">
        <v>818.976</v>
      </c>
      <c r="E113" s="43" t="n">
        <v>124.9844295081967</v>
      </c>
      <c r="F113" s="43" t="n">
        <v>80.08842368421054</v>
      </c>
      <c r="G113" s="43" t="n">
        <v>222.2408</v>
      </c>
      <c r="H113" s="43" t="n">
        <v>374.7236</v>
      </c>
      <c r="I113" s="42" t="n">
        <v>61</v>
      </c>
      <c r="J113" s="42" t="n">
        <v>76</v>
      </c>
    </row>
    <row r="114">
      <c r="A114" s="41" t="n">
        <v>45890</v>
      </c>
      <c r="B114" s="42" t="inlineStr">
        <is>
          <t>Thursday</t>
        </is>
      </c>
      <c r="C114" s="45" t="n">
        <v>550.854</v>
      </c>
      <c r="D114" s="45" t="n">
        <v>244.807</v>
      </c>
      <c r="E114" s="43" t="n">
        <v>143.5235428571429</v>
      </c>
      <c r="F114" s="43" t="n">
        <v>65.39879016393444</v>
      </c>
      <c r="G114" s="43" t="n">
        <v>242.7466</v>
      </c>
      <c r="H114" s="43" t="n">
        <v>366.817</v>
      </c>
      <c r="I114" s="42" t="n">
        <v>77</v>
      </c>
      <c r="J114" s="42" t="n">
        <v>61</v>
      </c>
    </row>
    <row r="115">
      <c r="A115" s="41" t="n">
        <v>45891</v>
      </c>
      <c r="B115" s="42" t="inlineStr">
        <is>
          <t>Friday</t>
        </is>
      </c>
      <c r="C115" s="45" t="n">
        <v>312.359</v>
      </c>
      <c r="D115" s="45" t="n">
        <v>1054.463</v>
      </c>
      <c r="E115" s="43" t="n">
        <v>128.695208</v>
      </c>
      <c r="F115" s="43" t="n">
        <v>61.61928918918919</v>
      </c>
      <c r="G115" s="43" t="n">
        <v>459.4622000000001</v>
      </c>
      <c r="H115" s="43" t="n">
        <v>445.4926</v>
      </c>
      <c r="I115" s="42" t="n">
        <v>50</v>
      </c>
      <c r="J115" s="42" t="n">
        <v>74</v>
      </c>
    </row>
    <row r="116">
      <c r="A116" s="41" t="n">
        <v>45892</v>
      </c>
      <c r="B116" s="42" t="inlineStr">
        <is>
          <t>Saturday</t>
        </is>
      </c>
      <c r="C116" s="45" t="n">
        <v>56.396</v>
      </c>
      <c r="D116" s="45" t="n">
        <v>985.732</v>
      </c>
      <c r="E116" s="43" t="n">
        <v>118.1352436363637</v>
      </c>
      <c r="F116" s="43" t="n">
        <v>75.5668</v>
      </c>
      <c r="G116" s="43" t="n">
        <v>167.2038</v>
      </c>
      <c r="H116" s="43" t="n">
        <v>488.7872</v>
      </c>
      <c r="I116" s="42" t="n">
        <v>55</v>
      </c>
      <c r="J116" s="42" t="n">
        <v>72</v>
      </c>
    </row>
    <row r="117">
      <c r="A117" s="41" t="n">
        <v>45893</v>
      </c>
      <c r="B117" s="42" t="inlineStr">
        <is>
          <t>Sunday</t>
        </is>
      </c>
      <c r="C117" s="45" t="n">
        <v>149.77</v>
      </c>
      <c r="D117" s="45" t="n">
        <v>1526.347</v>
      </c>
      <c r="E117" s="43" t="n">
        <v>121.0950790697674</v>
      </c>
      <c r="F117" s="43" t="n">
        <v>97.30998630136986</v>
      </c>
      <c r="G117" s="43" t="n">
        <v>203.0176</v>
      </c>
      <c r="H117" s="43" t="n">
        <v>481.3598</v>
      </c>
      <c r="I117" s="42" t="n">
        <v>43</v>
      </c>
      <c r="J117" s="42" t="n">
        <v>73</v>
      </c>
    </row>
    <row r="118">
      <c r="A118" s="41" t="n">
        <v>45894</v>
      </c>
      <c r="B118" s="42" t="inlineStr">
        <is>
          <t>Monday</t>
        </is>
      </c>
      <c r="C118" s="45" t="n">
        <v>88.523</v>
      </c>
      <c r="D118" s="45" t="n">
        <v>1130.276</v>
      </c>
      <c r="E118" s="43" t="n">
        <v>120.3928260869565</v>
      </c>
      <c r="F118" s="43" t="n">
        <v>74.20270000000001</v>
      </c>
      <c r="G118" s="43" t="n">
        <v>178.5904</v>
      </c>
      <c r="H118" s="43" t="n">
        <v>482.2588</v>
      </c>
      <c r="I118" s="42" t="n">
        <v>46</v>
      </c>
      <c r="J118" s="42" t="n">
        <v>72</v>
      </c>
    </row>
    <row r="119">
      <c r="A119" s="41" t="n">
        <v>45895</v>
      </c>
      <c r="B119" s="42" t="inlineStr">
        <is>
          <t>Tuesday</t>
        </is>
      </c>
      <c r="C119" s="45" t="n">
        <v>133.003</v>
      </c>
      <c r="D119" s="45" t="n">
        <v>1272.929</v>
      </c>
      <c r="E119" s="43" t="n">
        <v>138.410895</v>
      </c>
      <c r="F119" s="43" t="n">
        <v>55.69524473684212</v>
      </c>
      <c r="G119" s="43" t="n">
        <v>267.6162</v>
      </c>
      <c r="H119" s="43" t="n">
        <v>291.0712</v>
      </c>
      <c r="I119" s="42" t="n">
        <v>40</v>
      </c>
      <c r="J119" s="42" t="n">
        <v>76</v>
      </c>
    </row>
    <row r="120">
      <c r="A120" s="41" t="n">
        <v>45896</v>
      </c>
      <c r="B120" s="42" t="inlineStr">
        <is>
          <t>Wednesday</t>
        </is>
      </c>
      <c r="C120" s="45" t="n">
        <v>201.55</v>
      </c>
      <c r="D120" s="45" t="n">
        <v>906.948</v>
      </c>
      <c r="E120" s="43" t="n">
        <v>140.1465163636364</v>
      </c>
      <c r="F120" s="43" t="n">
        <v>50.24525384615385</v>
      </c>
      <c r="G120" s="43" t="n">
        <v>313.4008</v>
      </c>
      <c r="H120" s="43" t="n">
        <v>299.469</v>
      </c>
      <c r="I120" s="42" t="n">
        <v>55</v>
      </c>
      <c r="J120" s="42" t="n">
        <v>78</v>
      </c>
    </row>
    <row r="121">
      <c r="A121" s="41" t="n">
        <v>45897</v>
      </c>
      <c r="B121" s="42" t="inlineStr">
        <is>
          <t>Thursday</t>
        </is>
      </c>
      <c r="C121" s="45" t="n">
        <v>262.939</v>
      </c>
      <c r="D121" s="45" t="n">
        <v>848.1899999999999</v>
      </c>
      <c r="E121" s="43" t="n">
        <v>142.1826150943396</v>
      </c>
      <c r="F121" s="43" t="n">
        <v>74.07521666666668</v>
      </c>
      <c r="G121" s="43" t="n">
        <v>486.2104000000001</v>
      </c>
      <c r="H121" s="43" t="n">
        <v>463.3534</v>
      </c>
      <c r="I121" s="42" t="n">
        <v>53</v>
      </c>
      <c r="J121" s="42" t="n">
        <v>84</v>
      </c>
    </row>
    <row r="122">
      <c r="A122" s="41" t="n">
        <v>45898</v>
      </c>
      <c r="B122" s="42" t="inlineStr">
        <is>
          <t>Friday</t>
        </is>
      </c>
      <c r="C122" s="45" t="n">
        <v>69.902</v>
      </c>
      <c r="D122" s="45" t="n">
        <v>1139.733</v>
      </c>
      <c r="E122" s="43" t="n">
        <v>122.4235692307692</v>
      </c>
      <c r="F122" s="43" t="n">
        <v>54.75488470588235</v>
      </c>
      <c r="G122" s="43" t="n">
        <v>140</v>
      </c>
      <c r="H122" s="43" t="n">
        <v>418.5498</v>
      </c>
      <c r="I122" s="42" t="n">
        <v>39</v>
      </c>
      <c r="J122" s="42" t="n">
        <v>85</v>
      </c>
    </row>
    <row r="123">
      <c r="A123" s="41" t="n">
        <v>45899</v>
      </c>
      <c r="B123" s="42" t="inlineStr">
        <is>
          <t>Saturday</t>
        </is>
      </c>
      <c r="C123" s="45" t="n">
        <v>509.552</v>
      </c>
      <c r="D123" s="45" t="n">
        <v>304.572</v>
      </c>
      <c r="E123" s="43" t="n">
        <v>144.9584714285714</v>
      </c>
      <c r="F123" s="43" t="n">
        <v>50.79151228070175</v>
      </c>
      <c r="G123" s="43" t="n">
        <v>472.5182</v>
      </c>
      <c r="H123" s="43" t="n">
        <v>80</v>
      </c>
      <c r="I123" s="42" t="n">
        <v>70</v>
      </c>
      <c r="J123" s="42" t="n">
        <v>57</v>
      </c>
    </row>
    <row r="124">
      <c r="A124" s="41" t="n">
        <v>45900</v>
      </c>
      <c r="B124" s="42" t="inlineStr">
        <is>
          <t>Sunday</t>
        </is>
      </c>
      <c r="C124" s="45" t="n">
        <v>279.485</v>
      </c>
      <c r="D124" s="45" t="n">
        <v>719.605</v>
      </c>
      <c r="E124" s="43" t="n">
        <v>125.80391875</v>
      </c>
      <c r="F124" s="43" t="n">
        <v>56.90182597402596</v>
      </c>
      <c r="G124" s="43" t="n">
        <v>210.615</v>
      </c>
      <c r="H124" s="43" t="n">
        <v>385.0446</v>
      </c>
      <c r="I124" s="42" t="n">
        <v>64</v>
      </c>
      <c r="J124" s="42" t="n">
        <v>77</v>
      </c>
    </row>
    <row r="125">
      <c r="A125" s="41" t="n">
        <v>45901</v>
      </c>
      <c r="B125" s="42" t="inlineStr">
        <is>
          <t>Monday</t>
        </is>
      </c>
      <c r="C125" s="45" t="n">
        <v>306.509</v>
      </c>
      <c r="D125" s="45" t="n">
        <v>749.482</v>
      </c>
      <c r="E125" s="43" t="n">
        <v>134.6718484848485</v>
      </c>
      <c r="F125" s="43" t="n">
        <v>49.12593924050633</v>
      </c>
      <c r="G125" s="43" t="n">
        <v>400.0840000000001</v>
      </c>
      <c r="H125" s="43" t="n">
        <v>265.016</v>
      </c>
      <c r="I125" s="42" t="n">
        <v>66</v>
      </c>
      <c r="J125" s="42" t="n">
        <v>79</v>
      </c>
    </row>
    <row r="126">
      <c r="A126" s="41" t="n">
        <v>45902</v>
      </c>
      <c r="B126" s="42" t="inlineStr">
        <is>
          <t>Tuesday</t>
        </is>
      </c>
      <c r="C126" s="45" t="n">
        <v>592.5170000000001</v>
      </c>
      <c r="D126" s="45" t="n">
        <v>344.385</v>
      </c>
      <c r="E126" s="43" t="n">
        <v>141.5054925373134</v>
      </c>
      <c r="F126" s="43" t="n">
        <v>55.82062777777778</v>
      </c>
      <c r="G126" s="43" t="n">
        <v>429.3376000000001</v>
      </c>
      <c r="H126" s="43" t="n">
        <v>426.6134</v>
      </c>
      <c r="I126" s="42" t="n">
        <v>67</v>
      </c>
      <c r="J126" s="42" t="n">
        <v>72</v>
      </c>
    </row>
    <row r="127">
      <c r="A127" s="41" t="n">
        <v>45903</v>
      </c>
      <c r="B127" s="42" t="inlineStr">
        <is>
          <t>Wednesday</t>
        </is>
      </c>
      <c r="C127" s="45" t="n">
        <v>1014.735</v>
      </c>
      <c r="D127" s="45" t="n">
        <v>532.681</v>
      </c>
      <c r="E127" s="43" t="n">
        <v>160.9365543859649</v>
      </c>
      <c r="F127" s="43" t="n">
        <v>46.91864590163935</v>
      </c>
      <c r="G127" s="43" t="n">
        <v>497.3276</v>
      </c>
      <c r="H127" s="43" t="n">
        <v>80</v>
      </c>
      <c r="I127" s="42" t="n">
        <v>57</v>
      </c>
      <c r="J127" s="42" t="n">
        <v>61</v>
      </c>
    </row>
    <row r="128">
      <c r="A128" s="41" t="n">
        <v>45904</v>
      </c>
      <c r="B128" s="42" t="inlineStr">
        <is>
          <t>Thursday</t>
        </is>
      </c>
      <c r="C128" s="45" t="n">
        <v>306.694</v>
      </c>
      <c r="D128" s="45" t="n">
        <v>1211.448</v>
      </c>
      <c r="E128" s="43" t="n">
        <v>147.1836979591837</v>
      </c>
      <c r="F128" s="43" t="n">
        <v>70.99992564102563</v>
      </c>
      <c r="G128" s="43" t="n">
        <v>423.012</v>
      </c>
      <c r="H128" s="43" t="n">
        <v>494.0512</v>
      </c>
      <c r="I128" s="42" t="n">
        <v>49</v>
      </c>
      <c r="J128" s="42" t="n">
        <v>78</v>
      </c>
    </row>
    <row r="129">
      <c r="A129" s="41" t="n">
        <v>45905</v>
      </c>
      <c r="B129" s="42" t="inlineStr">
        <is>
          <t>Friday</t>
        </is>
      </c>
      <c r="C129" s="45" t="n">
        <v>212.28</v>
      </c>
      <c r="D129" s="45" t="n">
        <v>727.008</v>
      </c>
      <c r="E129" s="43" t="n">
        <v>139.8275114285715</v>
      </c>
      <c r="F129" s="43" t="n">
        <v>57.5740794871795</v>
      </c>
      <c r="G129" s="43" t="n">
        <v>197.2334</v>
      </c>
      <c r="H129" s="43" t="n">
        <v>291.2582</v>
      </c>
      <c r="I129" s="42" t="n">
        <v>70</v>
      </c>
      <c r="J129" s="42" t="n">
        <v>78</v>
      </c>
    </row>
    <row r="130">
      <c r="A130" s="41" t="n">
        <v>45906</v>
      </c>
      <c r="B130" s="42" t="inlineStr">
        <is>
          <t>Saturday</t>
        </is>
      </c>
      <c r="C130" s="45" t="n">
        <v>416.98</v>
      </c>
      <c r="D130" s="45" t="n">
        <v>977.046</v>
      </c>
      <c r="E130" s="43" t="n">
        <v>152.502641509434</v>
      </c>
      <c r="F130" s="43" t="n">
        <v>56.06341891891892</v>
      </c>
      <c r="G130" s="43" t="n">
        <v>371.0424</v>
      </c>
      <c r="H130" s="43" t="n">
        <v>326.5738</v>
      </c>
      <c r="I130" s="42" t="n">
        <v>53</v>
      </c>
      <c r="J130" s="42" t="n">
        <v>74</v>
      </c>
    </row>
    <row r="131">
      <c r="A131" s="41" t="n">
        <v>45907</v>
      </c>
      <c r="B131" s="42" t="inlineStr">
        <is>
          <t>Sunday</t>
        </is>
      </c>
      <c r="C131" s="45" t="n">
        <v>248.033</v>
      </c>
      <c r="D131" s="45" t="n">
        <v>880.447</v>
      </c>
      <c r="E131" s="43" t="n">
        <v>138.0254</v>
      </c>
      <c r="F131" s="43" t="n">
        <v>39.13109523809524</v>
      </c>
      <c r="G131" s="43" t="n">
        <v>364.664</v>
      </c>
      <c r="H131" s="43" t="n">
        <v>359.9590000000001</v>
      </c>
      <c r="I131" s="42" t="n">
        <v>53</v>
      </c>
      <c r="J131" s="42" t="n">
        <v>84</v>
      </c>
    </row>
    <row r="132">
      <c r="A132" s="41" t="n">
        <v>45908</v>
      </c>
      <c r="B132" s="42" t="inlineStr">
        <is>
          <t>Monday</t>
        </is>
      </c>
      <c r="C132" s="45" t="n">
        <v>193.935</v>
      </c>
      <c r="D132" s="45" t="n">
        <v>786.729</v>
      </c>
      <c r="E132" s="43" t="n">
        <v>146.8570262295082</v>
      </c>
      <c r="F132" s="43" t="n">
        <v>77.756585</v>
      </c>
      <c r="G132" s="43" t="n">
        <v>383.2728</v>
      </c>
      <c r="H132" s="43" t="n">
        <v>476.5594</v>
      </c>
      <c r="I132" s="42" t="n">
        <v>61</v>
      </c>
      <c r="J132" s="42" t="n">
        <v>80</v>
      </c>
    </row>
    <row r="133">
      <c r="A133" s="41" t="n">
        <v>45909</v>
      </c>
      <c r="B133" s="42" t="inlineStr">
        <is>
          <t>Tuesday</t>
        </is>
      </c>
      <c r="C133" s="45" t="n">
        <v>463.012</v>
      </c>
      <c r="D133" s="45" t="n">
        <v>374.405</v>
      </c>
      <c r="E133" s="43" t="n">
        <v>161.0667352941176</v>
      </c>
      <c r="F133" s="43" t="n">
        <v>61.758045</v>
      </c>
      <c r="G133" s="43" t="n">
        <v>394.7716</v>
      </c>
      <c r="H133" s="43" t="n">
        <v>284.7578</v>
      </c>
      <c r="I133" s="42" t="n">
        <v>68</v>
      </c>
      <c r="J133" s="42" t="n">
        <v>80</v>
      </c>
    </row>
    <row r="134">
      <c r="A134" s="41" t="n">
        <v>45910</v>
      </c>
      <c r="B134" s="42" t="inlineStr">
        <is>
          <t>Wednesday</t>
        </is>
      </c>
      <c r="C134" s="45" t="n">
        <v>578.3389999999999</v>
      </c>
      <c r="D134" s="45" t="n">
        <v>331.311</v>
      </c>
      <c r="E134" s="43" t="n">
        <v>167.1808411764706</v>
      </c>
      <c r="F134" s="43" t="n">
        <v>65.25028571428572</v>
      </c>
      <c r="G134" s="43" t="n">
        <v>456.1972</v>
      </c>
      <c r="H134" s="43" t="n">
        <v>273.9054</v>
      </c>
      <c r="I134" s="42" t="n">
        <v>68</v>
      </c>
      <c r="J134" s="42" t="n">
        <v>77</v>
      </c>
    </row>
    <row r="135">
      <c r="A135" s="41" t="n">
        <v>45911</v>
      </c>
      <c r="B135" s="42" t="inlineStr">
        <is>
          <t>Thursday</t>
        </is>
      </c>
      <c r="C135" s="45" t="n">
        <v>419.207</v>
      </c>
      <c r="D135" s="45" t="n">
        <v>688.41</v>
      </c>
      <c r="E135" s="43" t="n">
        <v>159.1453684210526</v>
      </c>
      <c r="F135" s="43" t="n">
        <v>64.30928219178082</v>
      </c>
      <c r="G135" s="43" t="n">
        <v>371.9626000000001</v>
      </c>
      <c r="H135" s="43" t="n">
        <v>459.7076</v>
      </c>
      <c r="I135" s="42" t="n">
        <v>57</v>
      </c>
      <c r="J135" s="42" t="n">
        <v>73</v>
      </c>
    </row>
    <row r="136">
      <c r="A136" s="41" t="n">
        <v>45912</v>
      </c>
      <c r="B136" s="42" t="inlineStr">
        <is>
          <t>Friday</t>
        </is>
      </c>
      <c r="C136" s="45" t="n">
        <v>670.451</v>
      </c>
      <c r="D136" s="45" t="n">
        <v>419.715</v>
      </c>
      <c r="E136" s="43" t="n">
        <v>151.447525</v>
      </c>
      <c r="F136" s="43" t="n">
        <v>83.37451578947368</v>
      </c>
      <c r="G136" s="43" t="n">
        <v>252.104</v>
      </c>
      <c r="H136" s="43" t="n">
        <v>386.3074</v>
      </c>
      <c r="I136" s="42" t="n">
        <v>72</v>
      </c>
      <c r="J136" s="42" t="n">
        <v>57</v>
      </c>
    </row>
    <row r="137">
      <c r="A137" s="41" t="n">
        <v>45913</v>
      </c>
      <c r="B137" s="42" t="inlineStr">
        <is>
          <t>Saturday</t>
        </is>
      </c>
      <c r="C137" s="45" t="n">
        <v>421.11</v>
      </c>
      <c r="D137" s="45" t="n">
        <v>873.275</v>
      </c>
      <c r="E137" s="43" t="n">
        <v>139.0567098591549</v>
      </c>
      <c r="F137" s="43" t="n">
        <v>77.19962857142858</v>
      </c>
      <c r="G137" s="43" t="n">
        <v>200.5558</v>
      </c>
      <c r="H137" s="43" t="n">
        <v>379.7084</v>
      </c>
      <c r="I137" s="42" t="n">
        <v>71</v>
      </c>
      <c r="J137" s="42" t="n">
        <v>63</v>
      </c>
    </row>
    <row r="138">
      <c r="A138" s="41" t="n">
        <v>45914</v>
      </c>
      <c r="B138" s="42" t="inlineStr">
        <is>
          <t>Sunday</t>
        </is>
      </c>
      <c r="C138" s="45" t="n">
        <v>423.79</v>
      </c>
      <c r="D138" s="45" t="n">
        <v>624.884</v>
      </c>
      <c r="E138" s="43" t="n">
        <v>137.0506123076923</v>
      </c>
      <c r="F138" s="43" t="n">
        <v>58.72213802816902</v>
      </c>
      <c r="G138" s="43" t="n">
        <v>255.0572</v>
      </c>
      <c r="H138" s="43" t="n">
        <v>421.3762</v>
      </c>
      <c r="I138" s="42" t="n">
        <v>65</v>
      </c>
      <c r="J138" s="42" t="n">
        <v>71</v>
      </c>
    </row>
    <row r="139">
      <c r="A139" s="41" t="n">
        <v>45915</v>
      </c>
      <c r="B139" s="42" t="inlineStr">
        <is>
          <t>Monday</t>
        </is>
      </c>
      <c r="C139" s="45" t="n">
        <v>430.136</v>
      </c>
      <c r="D139" s="45" t="n">
        <v>1065.414</v>
      </c>
      <c r="E139" s="43" t="n">
        <v>148.8895913043478</v>
      </c>
      <c r="F139" s="43" t="n">
        <v>76.80562777777779</v>
      </c>
      <c r="G139" s="43" t="n">
        <v>481.3994</v>
      </c>
      <c r="H139" s="43" t="n">
        <v>436.3672</v>
      </c>
      <c r="I139" s="42" t="n">
        <v>46</v>
      </c>
      <c r="J139" s="42" t="n">
        <v>72</v>
      </c>
    </row>
    <row r="140">
      <c r="A140" s="41" t="n">
        <v>45916</v>
      </c>
      <c r="B140" s="42" t="inlineStr">
        <is>
          <t>Tuesday</t>
        </is>
      </c>
      <c r="C140" s="45" t="n">
        <v>742.999</v>
      </c>
      <c r="D140" s="45" t="n">
        <v>410.746</v>
      </c>
      <c r="E140" s="43" t="n">
        <v>165.4676166666667</v>
      </c>
      <c r="F140" s="43" t="n">
        <v>80.9217230769231</v>
      </c>
      <c r="G140" s="43" t="n">
        <v>439.8890000000001</v>
      </c>
      <c r="H140" s="43" t="n">
        <v>459.3578000000001</v>
      </c>
      <c r="I140" s="42" t="n">
        <v>72</v>
      </c>
      <c r="J140" s="42" t="n">
        <v>65</v>
      </c>
    </row>
    <row r="141">
      <c r="A141" s="41" t="n">
        <v>45917</v>
      </c>
      <c r="B141" s="42" t="inlineStr">
        <is>
          <t>Wednesday</t>
        </is>
      </c>
      <c r="C141" s="45" t="n">
        <v>656.938</v>
      </c>
      <c r="D141" s="45" t="n">
        <v>878.99</v>
      </c>
      <c r="E141" s="43" t="n">
        <v>146.6014965517242</v>
      </c>
      <c r="F141" s="43" t="n">
        <v>82.99308656716418</v>
      </c>
      <c r="G141" s="43" t="n">
        <v>374.9132</v>
      </c>
      <c r="H141" s="43" t="n">
        <v>465.0338</v>
      </c>
      <c r="I141" s="42" t="n">
        <v>58</v>
      </c>
      <c r="J141" s="42" t="n">
        <v>67</v>
      </c>
    </row>
    <row r="142">
      <c r="A142" s="41" t="n">
        <v>45918</v>
      </c>
      <c r="B142" s="42" t="inlineStr">
        <is>
          <t>Thursday</t>
        </is>
      </c>
      <c r="C142" s="45" t="n">
        <v>31.775</v>
      </c>
      <c r="D142" s="45" t="n">
        <v>1979.177</v>
      </c>
      <c r="E142" s="43" t="n">
        <v>104.3899444444444</v>
      </c>
      <c r="F142" s="43" t="n">
        <v>88.5414253164557</v>
      </c>
      <c r="G142" s="43" t="n">
        <v>160.2548</v>
      </c>
      <c r="H142" s="43" t="n">
        <v>483.6434</v>
      </c>
      <c r="I142" s="42" t="n">
        <v>36</v>
      </c>
      <c r="J142" s="42" t="n">
        <v>79</v>
      </c>
    </row>
    <row r="143">
      <c r="A143" s="41" t="n">
        <v>45919</v>
      </c>
      <c r="B143" s="42" t="inlineStr">
        <is>
          <t>Friday</t>
        </is>
      </c>
      <c r="C143" s="45" t="n">
        <v>522.4110000000001</v>
      </c>
      <c r="D143" s="45" t="n">
        <v>1005.716</v>
      </c>
      <c r="E143" s="43" t="n">
        <v>145.3492</v>
      </c>
      <c r="F143" s="43" t="n">
        <v>60.50840821917809</v>
      </c>
      <c r="G143" s="43" t="n">
        <v>378.9298</v>
      </c>
      <c r="H143" s="43" t="n">
        <v>425.6158</v>
      </c>
      <c r="I143" s="42" t="n">
        <v>55</v>
      </c>
      <c r="J143" s="42" t="n">
        <v>73</v>
      </c>
    </row>
    <row r="144">
      <c r="A144" s="41" t="n">
        <v>45920</v>
      </c>
      <c r="B144" s="42" t="inlineStr">
        <is>
          <t>Saturday</t>
        </is>
      </c>
      <c r="C144" s="45" t="n">
        <v>493.103</v>
      </c>
      <c r="D144" s="45" t="n">
        <v>531.169</v>
      </c>
      <c r="E144" s="43" t="n">
        <v>120.2584509090909</v>
      </c>
      <c r="F144" s="43" t="n">
        <v>62.70295189873418</v>
      </c>
      <c r="G144" s="43" t="n">
        <v>296.9264</v>
      </c>
      <c r="H144" s="43" t="n">
        <v>404.0094</v>
      </c>
      <c r="I144" s="42" t="n">
        <v>55</v>
      </c>
      <c r="J144" s="42" t="n">
        <v>79</v>
      </c>
    </row>
    <row r="145">
      <c r="A145" s="41" t="n">
        <v>45921</v>
      </c>
      <c r="B145" s="42" t="inlineStr">
        <is>
          <t>Sunday</t>
        </is>
      </c>
      <c r="C145" s="45" t="n">
        <v>199.469</v>
      </c>
      <c r="D145" s="45" t="n">
        <v>993.8339999999999</v>
      </c>
      <c r="E145" s="43" t="n">
        <v>123.4824</v>
      </c>
      <c r="F145" s="43" t="n">
        <v>74.59812352941175</v>
      </c>
      <c r="G145" s="43" t="n">
        <v>461.3448000000001</v>
      </c>
      <c r="H145" s="43" t="n">
        <v>400.7044</v>
      </c>
      <c r="I145" s="42" t="n">
        <v>53</v>
      </c>
      <c r="J145" s="42" t="n">
        <v>68</v>
      </c>
    </row>
    <row r="146">
      <c r="A146" s="41" t="n">
        <v>45922</v>
      </c>
      <c r="B146" s="42" t="inlineStr">
        <is>
          <t>Monday</t>
        </is>
      </c>
      <c r="C146" s="45" t="n">
        <v>309.992</v>
      </c>
      <c r="D146" s="45" t="n">
        <v>781.426</v>
      </c>
      <c r="E146" s="43" t="n">
        <v>149.148924</v>
      </c>
      <c r="F146" s="43" t="n">
        <v>51.99135764705881</v>
      </c>
      <c r="G146" s="43" t="n">
        <v>477.1214</v>
      </c>
      <c r="H146" s="43" t="n">
        <v>234.0336</v>
      </c>
      <c r="I146" s="42" t="n">
        <v>50</v>
      </c>
      <c r="J146" s="42" t="n">
        <v>85</v>
      </c>
    </row>
    <row r="147">
      <c r="A147" s="41" t="n">
        <v>45923</v>
      </c>
      <c r="B147" s="42" t="inlineStr">
        <is>
          <t>Tuesday</t>
        </is>
      </c>
      <c r="C147" s="45" t="n">
        <v>575.058</v>
      </c>
      <c r="D147" s="45" t="n">
        <v>424.578</v>
      </c>
      <c r="E147" s="43" t="n">
        <v>154.2660833333333</v>
      </c>
      <c r="F147" s="43" t="n">
        <v>51.89006301369863</v>
      </c>
      <c r="G147" s="43" t="n">
        <v>420.3228</v>
      </c>
      <c r="H147" s="43" t="n">
        <v>80</v>
      </c>
      <c r="I147" s="42" t="n">
        <v>72</v>
      </c>
      <c r="J147" s="42" t="n">
        <v>73</v>
      </c>
    </row>
    <row r="148">
      <c r="A148" s="41" t="n">
        <v>45924</v>
      </c>
      <c r="B148" s="42" t="inlineStr">
        <is>
          <t>Wednesday</t>
        </is>
      </c>
      <c r="C148" s="45" t="n">
        <v>562.123</v>
      </c>
      <c r="D148" s="45" t="n">
        <v>346.985</v>
      </c>
      <c r="E148" s="43" t="n">
        <v>162.0462613333333</v>
      </c>
      <c r="F148" s="43" t="n">
        <v>62.16441052631578</v>
      </c>
      <c r="G148" s="43" t="n">
        <v>334.2972</v>
      </c>
      <c r="H148" s="43" t="n">
        <v>80</v>
      </c>
      <c r="I148" s="42" t="n">
        <v>75</v>
      </c>
      <c r="J148" s="42" t="n">
        <v>76</v>
      </c>
    </row>
    <row r="149">
      <c r="A149" s="41" t="n">
        <v>45925</v>
      </c>
      <c r="B149" s="42" t="inlineStr">
        <is>
          <t>Thursday</t>
        </is>
      </c>
      <c r="C149" s="45" t="n">
        <v>985.798</v>
      </c>
      <c r="D149" s="45" t="n">
        <v>406.059</v>
      </c>
      <c r="E149" s="43" t="n">
        <v>178.1469294117647</v>
      </c>
      <c r="F149" s="43" t="n">
        <v>52.84893548387097</v>
      </c>
      <c r="G149" s="43" t="n">
        <v>467.5438</v>
      </c>
      <c r="H149" s="43" t="n">
        <v>188.0254</v>
      </c>
      <c r="I149" s="42" t="n">
        <v>68</v>
      </c>
      <c r="J149" s="42" t="n">
        <v>62</v>
      </c>
    </row>
    <row r="150">
      <c r="A150" s="41" t="n">
        <v>45926</v>
      </c>
      <c r="B150" s="42" t="inlineStr">
        <is>
          <t>Friday</t>
        </is>
      </c>
      <c r="C150" s="45" t="n">
        <v>874.799</v>
      </c>
      <c r="D150" s="45" t="n">
        <v>665.835</v>
      </c>
      <c r="E150" s="43" t="n">
        <v>166.7680566037736</v>
      </c>
      <c r="F150" s="43" t="n">
        <v>53.87986478873238</v>
      </c>
      <c r="G150" s="43" t="n">
        <v>332.5764</v>
      </c>
      <c r="H150" s="43" t="n">
        <v>85.49040000000001</v>
      </c>
      <c r="I150" s="42" t="n">
        <v>53</v>
      </c>
      <c r="J150" s="42" t="n">
        <v>71</v>
      </c>
    </row>
    <row r="151">
      <c r="A151" s="41" t="n">
        <v>45927</v>
      </c>
      <c r="B151" s="42" t="inlineStr">
        <is>
          <t>Saturday</t>
        </is>
      </c>
      <c r="C151" s="45" t="n">
        <v>331.188</v>
      </c>
      <c r="D151" s="45" t="n">
        <v>492.924</v>
      </c>
      <c r="E151" s="43" t="n">
        <v>151.6217060606061</v>
      </c>
      <c r="F151" s="43" t="n">
        <v>64.43346842105264</v>
      </c>
      <c r="G151" s="43" t="n">
        <v>290.6026</v>
      </c>
      <c r="H151" s="43" t="n">
        <v>310.3116</v>
      </c>
      <c r="I151" s="42" t="n">
        <v>66</v>
      </c>
      <c r="J151" s="42" t="n">
        <v>76</v>
      </c>
    </row>
    <row r="152">
      <c r="A152" s="41" t="n">
        <v>45928</v>
      </c>
      <c r="B152" s="42" t="inlineStr">
        <is>
          <t>Sunday</t>
        </is>
      </c>
      <c r="C152" s="45" t="n">
        <v>219.899</v>
      </c>
      <c r="D152" s="45" t="n">
        <v>953.338</v>
      </c>
      <c r="E152" s="43" t="n">
        <v>169.69363</v>
      </c>
      <c r="F152" s="43" t="n">
        <v>65.86406097560976</v>
      </c>
      <c r="G152" s="43" t="n">
        <v>485.0918</v>
      </c>
      <c r="H152" s="43" t="n">
        <v>394.66</v>
      </c>
      <c r="I152" s="42" t="n">
        <v>40</v>
      </c>
      <c r="J152" s="42" t="n">
        <v>82</v>
      </c>
    </row>
    <row r="153">
      <c r="A153" s="41" t="n">
        <v>45929</v>
      </c>
      <c r="B153" s="42" t="inlineStr">
        <is>
          <t>Monday</t>
        </is>
      </c>
      <c r="C153" s="45" t="n">
        <v>668.687</v>
      </c>
      <c r="D153" s="45" t="n">
        <v>462.062</v>
      </c>
      <c r="E153" s="43" t="n">
        <v>190.7349904761904</v>
      </c>
      <c r="F153" s="43" t="n">
        <v>52.56198108108108</v>
      </c>
      <c r="G153" s="43" t="n">
        <v>475.6622</v>
      </c>
      <c r="H153" s="43" t="n">
        <v>80</v>
      </c>
      <c r="I153" s="42" t="n">
        <v>63</v>
      </c>
      <c r="J153" s="42" t="n">
        <v>74</v>
      </c>
    </row>
    <row r="154">
      <c r="A154" s="41" t="n">
        <v>45930</v>
      </c>
      <c r="B154" s="42" t="inlineStr">
        <is>
          <t>Tuesday</t>
        </is>
      </c>
      <c r="C154" s="45" t="n">
        <v>969.997</v>
      </c>
      <c r="D154" s="45" t="n">
        <v>528.649</v>
      </c>
      <c r="E154" s="43" t="n">
        <v>192.09093</v>
      </c>
      <c r="F154" s="43" t="n">
        <v>57.46294285714286</v>
      </c>
      <c r="G154" s="43" t="n">
        <v>480.3318</v>
      </c>
      <c r="H154" s="43" t="n">
        <v>143.986</v>
      </c>
      <c r="I154" s="42" t="n">
        <v>60</v>
      </c>
      <c r="J154" s="42" t="n">
        <v>63</v>
      </c>
    </row>
    <row r="155">
      <c r="A155" s="41" t="n">
        <v>45931</v>
      </c>
      <c r="B155" s="42" t="inlineStr">
        <is>
          <t>Wednesday</t>
        </is>
      </c>
      <c r="C155" s="45" t="n">
        <v>107.414</v>
      </c>
      <c r="D155" s="45" t="n">
        <v>611.556</v>
      </c>
      <c r="E155" s="43" t="n">
        <v>135.3900645161291</v>
      </c>
      <c r="F155" s="43" t="n">
        <v>56.30408260869564</v>
      </c>
      <c r="G155" s="43" t="n">
        <v>231.118</v>
      </c>
      <c r="H155" s="43" t="n">
        <v>80</v>
      </c>
      <c r="I155" s="42" t="n">
        <v>62</v>
      </c>
      <c r="J155" s="42" t="n">
        <v>92</v>
      </c>
    </row>
    <row r="156">
      <c r="A156" s="41" t="n">
        <v>45932</v>
      </c>
      <c r="B156" s="42" t="inlineStr">
        <is>
          <t>Thursday</t>
        </is>
      </c>
      <c r="C156" s="45" t="n">
        <v>935.326</v>
      </c>
      <c r="D156" s="45" t="n">
        <v>406.833</v>
      </c>
      <c r="E156" s="43" t="n">
        <v>183.4106666666667</v>
      </c>
      <c r="F156" s="43" t="n">
        <v>66.48801666666667</v>
      </c>
      <c r="G156" s="43" t="n">
        <v>398.9452000000001</v>
      </c>
      <c r="H156" s="43" t="n">
        <v>393.9218</v>
      </c>
      <c r="I156" s="42" t="n">
        <v>63</v>
      </c>
      <c r="J156" s="42" t="n">
        <v>60</v>
      </c>
    </row>
    <row r="157">
      <c r="A157" s="41" t="n">
        <v>45933</v>
      </c>
      <c r="B157" s="42" t="inlineStr">
        <is>
          <t>Friday</t>
        </is>
      </c>
      <c r="C157" s="45" t="n">
        <v>628.0536397798448</v>
      </c>
      <c r="D157" s="45" t="n">
        <v>438.6195833069442</v>
      </c>
      <c r="E157" s="43" t="n">
        <v>181.6987967686883</v>
      </c>
      <c r="F157" s="43" t="n">
        <v>79.13564396252089</v>
      </c>
      <c r="G157" s="43" t="n">
        <v>452.6895237517377</v>
      </c>
      <c r="H157" s="43" t="n">
        <v>294.4910102674025</v>
      </c>
      <c r="I157" s="42" t="n">
        <v>80</v>
      </c>
      <c r="J157" s="42" t="n">
        <v>82</v>
      </c>
    </row>
    <row r="158">
      <c r="A158" s="41" t="n">
        <v>45934</v>
      </c>
      <c r="B158" s="42" t="inlineStr">
        <is>
          <t>Saturday</t>
        </is>
      </c>
      <c r="C158" s="45" t="n">
        <v>2963.324</v>
      </c>
      <c r="D158" s="45" t="n">
        <v>378.258</v>
      </c>
      <c r="E158" s="43" t="n">
        <v>161.8326864197531</v>
      </c>
      <c r="F158" s="43" t="n">
        <v>60.41744642857143</v>
      </c>
      <c r="G158" s="43" t="n">
        <v>437.3872</v>
      </c>
      <c r="H158" s="43" t="n">
        <v>80.00000000000001</v>
      </c>
      <c r="I158" s="42" t="n">
        <v>81</v>
      </c>
      <c r="J158" s="42" t="n">
        <v>56</v>
      </c>
    </row>
    <row r="159">
      <c r="A159" s="41" t="n">
        <v>45935</v>
      </c>
      <c r="B159" s="42" t="inlineStr">
        <is>
          <t>Sunday</t>
        </is>
      </c>
      <c r="C159" s="45" t="n">
        <v>488.431</v>
      </c>
      <c r="D159" s="45" t="n">
        <v>1427.621</v>
      </c>
      <c r="E159" s="43" t="n">
        <v>132.5142055555555</v>
      </c>
      <c r="F159" s="43" t="n">
        <v>49.54605681818182</v>
      </c>
      <c r="G159" s="43" t="n">
        <v>353.445</v>
      </c>
      <c r="H159" s="43" t="n">
        <v>319.7682</v>
      </c>
      <c r="I159" s="42" t="n">
        <v>72</v>
      </c>
      <c r="J159" s="42" t="n">
        <v>88</v>
      </c>
    </row>
    <row r="160">
      <c r="A160" s="41" t="n">
        <v>45936</v>
      </c>
      <c r="B160" s="42" t="inlineStr">
        <is>
          <t>Monday</t>
        </is>
      </c>
      <c r="C160" s="45" t="n">
        <v>5951.565</v>
      </c>
      <c r="D160" s="45" t="n">
        <v>115.406</v>
      </c>
      <c r="E160" s="43" t="n">
        <v>223.5745180327869</v>
      </c>
      <c r="F160" s="43" t="n">
        <v>64.39712941176471</v>
      </c>
      <c r="G160" s="43" t="n">
        <v>467.0486</v>
      </c>
      <c r="H160" s="43" t="n">
        <v>84</v>
      </c>
      <c r="I160" s="42" t="n">
        <v>61</v>
      </c>
      <c r="J160" s="42" t="n">
        <v>51</v>
      </c>
    </row>
    <row r="161">
      <c r="A161" s="41" t="n">
        <v>45937</v>
      </c>
      <c r="B161" s="42" t="inlineStr">
        <is>
          <t>Tuesday</t>
        </is>
      </c>
      <c r="C161" s="45" t="n">
        <v>2571.863</v>
      </c>
      <c r="D161" s="45" t="n">
        <v>644.2139999999999</v>
      </c>
      <c r="E161" s="43" t="n">
        <v>215.44672</v>
      </c>
      <c r="F161" s="43" t="n">
        <v>58.88904230769231</v>
      </c>
      <c r="G161" s="43" t="n">
        <v>451.8238</v>
      </c>
      <c r="H161" s="43" t="n">
        <v>184.2156</v>
      </c>
      <c r="I161" s="42" t="n">
        <v>70</v>
      </c>
      <c r="J161" s="42" t="n">
        <v>52</v>
      </c>
    </row>
    <row r="162">
      <c r="A162" s="41" t="n">
        <v>45938</v>
      </c>
      <c r="B162" s="42" t="inlineStr">
        <is>
          <t>Wednesday</t>
        </is>
      </c>
      <c r="C162" s="45" t="n">
        <v>6565.865</v>
      </c>
      <c r="D162" s="45" t="n">
        <v>214.658</v>
      </c>
      <c r="E162" s="43" t="n">
        <v>222.7259658536586</v>
      </c>
      <c r="F162" s="43" t="n">
        <v>68.55184897959184</v>
      </c>
      <c r="G162" s="43" t="n">
        <v>474.9814</v>
      </c>
      <c r="H162" s="43" t="n">
        <v>80.00000000000001</v>
      </c>
      <c r="I162" s="42" t="n">
        <v>82</v>
      </c>
      <c r="J162" s="42" t="n">
        <v>49</v>
      </c>
    </row>
    <row r="163">
      <c r="A163" s="41" t="n">
        <v>45939</v>
      </c>
      <c r="B163" s="42" t="inlineStr">
        <is>
          <t>Thursday</t>
        </is>
      </c>
      <c r="C163" s="45" t="n">
        <v>1106.663</v>
      </c>
      <c r="D163" s="45" t="n">
        <v>966.7809999999999</v>
      </c>
      <c r="E163" s="43" t="n">
        <v>173.8951454545455</v>
      </c>
      <c r="F163" s="43" t="n">
        <v>54.21667</v>
      </c>
      <c r="G163" s="43" t="n">
        <v>456.9918</v>
      </c>
      <c r="H163" s="43" t="n">
        <v>157.0508</v>
      </c>
      <c r="I163" s="42" t="n">
        <v>77</v>
      </c>
      <c r="J163" s="42" t="n">
        <v>80</v>
      </c>
    </row>
    <row r="164">
      <c r="A164" s="41" t="n">
        <v>45940</v>
      </c>
      <c r="B164" s="42" t="inlineStr">
        <is>
          <t>Friday</t>
        </is>
      </c>
      <c r="C164" s="45" t="n">
        <v>1205.264</v>
      </c>
      <c r="D164" s="45" t="n">
        <v>895.821</v>
      </c>
      <c r="E164" s="43" t="n">
        <v>183.0123131578947</v>
      </c>
      <c r="F164" s="43" t="n">
        <v>57.73115324675325</v>
      </c>
      <c r="G164" s="43" t="n">
        <v>376.329</v>
      </c>
      <c r="H164" s="43" t="n">
        <v>392.7116</v>
      </c>
      <c r="I164" s="42" t="n">
        <v>76</v>
      </c>
      <c r="J164" s="42" t="n">
        <v>77</v>
      </c>
    </row>
    <row r="165">
      <c r="A165" s="41" t="n">
        <v>45941</v>
      </c>
      <c r="B165" s="42" t="inlineStr">
        <is>
          <t>Saturday</t>
        </is>
      </c>
      <c r="C165" s="45" t="n">
        <v>1409.284</v>
      </c>
      <c r="D165" s="45" t="n">
        <v>307.521</v>
      </c>
      <c r="E165" s="43" t="n">
        <v>164.6527086419753</v>
      </c>
      <c r="F165" s="43" t="n">
        <v>62.58478787878787</v>
      </c>
      <c r="G165" s="43" t="n">
        <v>385.399</v>
      </c>
      <c r="H165" s="43" t="n">
        <v>80</v>
      </c>
      <c r="I165" s="42" t="n">
        <v>81</v>
      </c>
      <c r="J165" s="42" t="n">
        <v>66</v>
      </c>
    </row>
    <row r="166">
      <c r="A166" s="41" t="n">
        <v>45942</v>
      </c>
      <c r="B166" s="42" t="inlineStr">
        <is>
          <t>Sunday</t>
        </is>
      </c>
      <c r="C166" s="45" t="n">
        <v>1031.645</v>
      </c>
      <c r="D166" s="45" t="n">
        <v>390.822</v>
      </c>
      <c r="E166" s="43" t="n">
        <v>151.3810272727273</v>
      </c>
      <c r="F166" s="43" t="n">
        <v>61.00064000000001</v>
      </c>
      <c r="G166" s="43" t="n">
        <v>468.342</v>
      </c>
      <c r="H166" s="43" t="n">
        <v>140.067</v>
      </c>
      <c r="I166" s="42" t="n">
        <v>66</v>
      </c>
      <c r="J166" s="42" t="n">
        <v>75</v>
      </c>
    </row>
    <row r="167">
      <c r="A167" s="41" t="n">
        <v>45943</v>
      </c>
      <c r="B167" s="42" t="inlineStr">
        <is>
          <t>Monday</t>
        </is>
      </c>
      <c r="C167" s="45" t="n">
        <v>903.067</v>
      </c>
      <c r="D167" s="45" t="n">
        <v>982.8390000000001</v>
      </c>
      <c r="E167" s="43" t="n">
        <v>181.7130648648649</v>
      </c>
      <c r="F167" s="43" t="n">
        <v>82.65028813559321</v>
      </c>
      <c r="G167" s="43" t="n">
        <v>410.5338</v>
      </c>
      <c r="H167" s="43" t="n">
        <v>498.7862</v>
      </c>
      <c r="I167" s="42" t="n">
        <v>74</v>
      </c>
      <c r="J167" s="42" t="n">
        <v>59</v>
      </c>
    </row>
    <row r="168">
      <c r="A168" s="41" t="n">
        <v>45944</v>
      </c>
      <c r="B168" s="42" t="inlineStr">
        <is>
          <t>Tuesday</t>
        </is>
      </c>
      <c r="C168" s="45" t="n">
        <v>394.571</v>
      </c>
      <c r="D168" s="45" t="n">
        <v>1213.418</v>
      </c>
      <c r="E168" s="43" t="n">
        <v>166.976759375</v>
      </c>
      <c r="F168" s="43" t="n">
        <v>69.27906666666667</v>
      </c>
      <c r="G168" s="43" t="n">
        <v>391.703</v>
      </c>
      <c r="H168" s="43" t="n">
        <v>377.9732</v>
      </c>
      <c r="I168" s="42" t="n">
        <v>64</v>
      </c>
      <c r="J168" s="42" t="n">
        <v>84</v>
      </c>
    </row>
    <row r="169">
      <c r="A169" s="41" t="n">
        <v>45945</v>
      </c>
      <c r="B169" s="42" t="inlineStr">
        <is>
          <t>Wednesday</t>
        </is>
      </c>
      <c r="C169" s="45" t="n">
        <v>1472.427</v>
      </c>
      <c r="D169" s="45" t="n">
        <v>253.196</v>
      </c>
      <c r="E169" s="43" t="n">
        <v>233.4705891891891</v>
      </c>
      <c r="F169" s="43" t="n">
        <v>70.1409</v>
      </c>
      <c r="G169" s="43" t="n">
        <v>477.9822</v>
      </c>
      <c r="H169" s="43" t="n">
        <v>82.00000000000001</v>
      </c>
      <c r="I169" s="42" t="n">
        <v>74</v>
      </c>
      <c r="J169" s="42" t="n">
        <v>70</v>
      </c>
    </row>
    <row r="170">
      <c r="A170" s="41" t="n">
        <v>45946</v>
      </c>
      <c r="B170" s="42" t="inlineStr">
        <is>
          <t>Thursday</t>
        </is>
      </c>
      <c r="C170" s="45" t="n">
        <v>3174.875</v>
      </c>
      <c r="D170" s="45" t="n">
        <v>224.758</v>
      </c>
      <c r="E170" s="43" t="n">
        <v>203.9614045454546</v>
      </c>
      <c r="F170" s="43" t="n">
        <v>70.51777966101695</v>
      </c>
      <c r="G170" s="43" t="n">
        <v>454.6264</v>
      </c>
      <c r="H170" s="43" t="n">
        <v>82.00000000000001</v>
      </c>
      <c r="I170" s="42" t="n">
        <v>88</v>
      </c>
      <c r="J170" s="42" t="n">
        <v>59</v>
      </c>
    </row>
    <row r="171">
      <c r="A171" s="41" t="n">
        <v>45947</v>
      </c>
      <c r="B171" s="42" t="inlineStr">
        <is>
          <t>Friday</t>
        </is>
      </c>
      <c r="C171" s="45" t="n">
        <v>1948.909</v>
      </c>
      <c r="D171" s="45" t="n">
        <v>744.297</v>
      </c>
      <c r="E171" s="43" t="n">
        <v>187.7386219178082</v>
      </c>
      <c r="F171" s="43" t="n">
        <v>58.69363768115942</v>
      </c>
      <c r="G171" s="43" t="n">
        <v>401.4797999999999</v>
      </c>
      <c r="H171" s="43" t="n">
        <v>109.3364</v>
      </c>
      <c r="I171" s="42" t="n">
        <v>73</v>
      </c>
      <c r="J171" s="42" t="n">
        <v>69</v>
      </c>
    </row>
    <row r="172">
      <c r="A172" s="41" t="n">
        <v>45948</v>
      </c>
      <c r="B172" s="42" t="inlineStr">
        <is>
          <t>Saturday</t>
        </is>
      </c>
      <c r="C172" s="45" t="n">
        <v>2801.563</v>
      </c>
      <c r="D172" s="45" t="n">
        <v>122.502</v>
      </c>
      <c r="E172" s="43" t="n">
        <v>201.1125036144578</v>
      </c>
      <c r="F172" s="43" t="n">
        <v>67.81711228070176</v>
      </c>
      <c r="G172" s="43" t="n">
        <v>396.7464</v>
      </c>
      <c r="H172" s="43" t="n">
        <v>90</v>
      </c>
      <c r="I172" s="42" t="n">
        <v>83</v>
      </c>
      <c r="J172" s="42" t="n">
        <v>57</v>
      </c>
    </row>
    <row r="173">
      <c r="A173" s="41" t="n">
        <v>45949</v>
      </c>
      <c r="B173" s="42" t="inlineStr">
        <is>
          <t>Sunday</t>
        </is>
      </c>
      <c r="C173" s="45" t="n">
        <v>29.907</v>
      </c>
      <c r="D173" s="45" t="n">
        <v>2287.415</v>
      </c>
      <c r="E173" s="43" t="n">
        <v>141.529558490566</v>
      </c>
      <c r="F173" s="43" t="n">
        <v>63.64204731182794</v>
      </c>
      <c r="G173" s="43" t="n">
        <v>343.5468</v>
      </c>
      <c r="H173" s="43" t="n">
        <v>333.5588</v>
      </c>
      <c r="I173" s="42" t="n">
        <v>53</v>
      </c>
      <c r="J173" s="42" t="n">
        <v>93</v>
      </c>
    </row>
    <row r="174">
      <c r="A174" s="41" t="n">
        <v>45950</v>
      </c>
      <c r="B174" s="42" t="inlineStr">
        <is>
          <t>Monday</t>
        </is>
      </c>
      <c r="C174" s="45" t="n">
        <v>1155.074</v>
      </c>
      <c r="D174" s="45" t="n">
        <v>1922.443</v>
      </c>
      <c r="E174" s="43" t="n">
        <v>221.5139535714286</v>
      </c>
      <c r="F174" s="43" t="n">
        <v>43.54128493150685</v>
      </c>
      <c r="G174" s="43" t="n">
        <v>487.7725999999999</v>
      </c>
      <c r="H174" s="43" t="n">
        <v>90</v>
      </c>
      <c r="I174" s="42" t="n">
        <v>56</v>
      </c>
      <c r="J174" s="42" t="n">
        <v>73</v>
      </c>
    </row>
    <row r="175">
      <c r="A175" s="41" t="n">
        <v>45951</v>
      </c>
      <c r="B175" s="42" t="inlineStr">
        <is>
          <t>Tuesday</t>
        </is>
      </c>
      <c r="C175" s="45" t="n">
        <v>301.594</v>
      </c>
      <c r="D175" s="45" t="n">
        <v>714.0120000000001</v>
      </c>
      <c r="E175" s="43" t="n">
        <v>164.503184375</v>
      </c>
      <c r="F175" s="43" t="n">
        <v>56.60876511627906</v>
      </c>
      <c r="G175" s="43" t="n">
        <v>426.1838</v>
      </c>
      <c r="H175" s="43" t="n">
        <v>360.2584</v>
      </c>
      <c r="I175" s="42" t="n">
        <v>64</v>
      </c>
      <c r="J175" s="42" t="n">
        <v>86</v>
      </c>
    </row>
    <row r="176">
      <c r="A176" s="41" t="n">
        <v>45952</v>
      </c>
      <c r="B176" s="42" t="inlineStr">
        <is>
          <t>Wednesday</t>
        </is>
      </c>
      <c r="C176" s="45" t="n">
        <v>364.105</v>
      </c>
      <c r="D176" s="45" t="n">
        <v>832.696</v>
      </c>
      <c r="E176" s="43" t="n">
        <v>178.6374633333334</v>
      </c>
      <c r="F176" s="43" t="n">
        <v>60.32171111111111</v>
      </c>
      <c r="G176" s="43" t="n">
        <v>428.1046</v>
      </c>
      <c r="H176" s="43" t="n">
        <v>275.9744</v>
      </c>
      <c r="I176" s="42" t="n">
        <v>60</v>
      </c>
      <c r="J176" s="42" t="n">
        <v>81</v>
      </c>
    </row>
    <row r="177">
      <c r="A177" s="41" t="n">
        <v>45953</v>
      </c>
      <c r="B177" s="42" t="inlineStr">
        <is>
          <t>Thursday</t>
        </is>
      </c>
      <c r="C177" s="45" t="n">
        <v>2997.084</v>
      </c>
      <c r="D177" s="45" t="n">
        <v>289.824</v>
      </c>
      <c r="E177" s="43" t="n">
        <v>195.5900921052632</v>
      </c>
      <c r="F177" s="43" t="n">
        <v>64.42553968253968</v>
      </c>
      <c r="G177" s="43" t="n">
        <v>375.072</v>
      </c>
      <c r="H177" s="43" t="n">
        <v>80.00000000000001</v>
      </c>
      <c r="I177" s="42" t="n">
        <v>76</v>
      </c>
      <c r="J177" s="42" t="n">
        <v>63</v>
      </c>
    </row>
    <row r="178">
      <c r="A178" s="41" t="n">
        <v>45954</v>
      </c>
      <c r="B178" s="42" t="inlineStr">
        <is>
          <t>Friday</t>
        </is>
      </c>
      <c r="C178" s="45" t="n">
        <v>1547.162</v>
      </c>
      <c r="D178" s="45" t="n">
        <v>1969.522</v>
      </c>
      <c r="E178" s="43" t="n">
        <v>151.334625</v>
      </c>
      <c r="F178" s="43" t="n">
        <v>60.79781842105263</v>
      </c>
      <c r="G178" s="43" t="n">
        <v>227.94</v>
      </c>
      <c r="H178" s="43" t="n">
        <v>408.9956</v>
      </c>
      <c r="I178" s="42" t="n">
        <v>64</v>
      </c>
      <c r="J178" s="42" t="n">
        <v>76</v>
      </c>
    </row>
    <row r="179">
      <c r="A179" s="41" t="n">
        <v>45955</v>
      </c>
      <c r="B179" s="42" t="inlineStr">
        <is>
          <t>Saturday</t>
        </is>
      </c>
      <c r="C179" s="45" t="n">
        <v>327.317</v>
      </c>
      <c r="D179" s="45" t="n">
        <v>1601.892</v>
      </c>
      <c r="E179" s="43" t="n">
        <v>145.48241875</v>
      </c>
      <c r="F179" s="43" t="n">
        <v>41.30301818181818</v>
      </c>
      <c r="G179" s="43" t="n">
        <v>354.656</v>
      </c>
      <c r="H179" s="43" t="n">
        <v>307.8978</v>
      </c>
      <c r="I179" s="42" t="n">
        <v>64</v>
      </c>
      <c r="J179" s="42" t="n">
        <v>88</v>
      </c>
    </row>
    <row r="180">
      <c r="A180" s="41" t="n">
        <v>45956</v>
      </c>
      <c r="B180" s="42" t="inlineStr">
        <is>
          <t>Sunday</t>
        </is>
      </c>
      <c r="C180" s="45" t="n">
        <v>3707.97</v>
      </c>
      <c r="D180" s="45" t="n">
        <v>456.152</v>
      </c>
      <c r="E180" s="43" t="n">
        <v>133.607849382716</v>
      </c>
      <c r="F180" s="43" t="n">
        <v>70.42697971014492</v>
      </c>
      <c r="G180" s="43" t="n">
        <v>290.6756</v>
      </c>
      <c r="H180" s="43" t="n">
        <v>435.8736</v>
      </c>
      <c r="I180" s="42" t="n">
        <v>81</v>
      </c>
      <c r="J180" s="42" t="n">
        <v>69</v>
      </c>
    </row>
    <row r="181">
      <c r="A181" s="41" t="n">
        <v>45957</v>
      </c>
      <c r="B181" s="42" t="inlineStr">
        <is>
          <t>Monday</t>
        </is>
      </c>
      <c r="C181" s="45" t="n">
        <v>1801.531</v>
      </c>
      <c r="D181" s="45" t="n">
        <v>1643.404</v>
      </c>
      <c r="E181" s="43" t="n">
        <v>192.4316535714286</v>
      </c>
      <c r="F181" s="43" t="n">
        <v>69.58177631578947</v>
      </c>
      <c r="G181" s="43" t="n">
        <v>462.7268</v>
      </c>
      <c r="H181" s="43" t="n">
        <v>499.7958</v>
      </c>
      <c r="I181" s="42" t="n">
        <v>56</v>
      </c>
      <c r="J181" s="42" t="n">
        <v>76</v>
      </c>
    </row>
    <row r="182">
      <c r="A182" s="41" t="n">
        <v>45958</v>
      </c>
      <c r="B182" s="42" t="inlineStr">
        <is>
          <t>Tuesday</t>
        </is>
      </c>
      <c r="C182" s="45" t="n">
        <v>1569.143</v>
      </c>
      <c r="D182" s="45" t="n">
        <v>2127.43</v>
      </c>
      <c r="E182" s="43" t="n">
        <v>190.5464098360656</v>
      </c>
      <c r="F182" s="43" t="n">
        <v>60.3900742857143</v>
      </c>
      <c r="G182" s="43" t="n">
        <v>427.0502</v>
      </c>
      <c r="H182" s="43" t="n">
        <v>411.7662</v>
      </c>
      <c r="I182" s="42" t="n">
        <v>61</v>
      </c>
      <c r="J182" s="42" t="n">
        <v>70</v>
      </c>
    </row>
    <row r="183">
      <c r="A183" s="41" t="n">
        <v>45959</v>
      </c>
      <c r="B183" s="42" t="inlineStr">
        <is>
          <t>Wednesday</t>
        </is>
      </c>
      <c r="C183" s="45" t="n">
        <v>238.764</v>
      </c>
      <c r="D183" s="45" t="n">
        <v>1447.294</v>
      </c>
      <c r="E183" s="43" t="n">
        <v>150.84488</v>
      </c>
      <c r="F183" s="43" t="n">
        <v>63.54228461538462</v>
      </c>
      <c r="G183" s="43" t="n">
        <v>491.5921999999999</v>
      </c>
      <c r="H183" s="43" t="n">
        <v>388.1842</v>
      </c>
      <c r="I183" s="42" t="n">
        <v>70</v>
      </c>
      <c r="J183" s="42" t="n">
        <v>78</v>
      </c>
    </row>
    <row r="184">
      <c r="A184" s="41" t="n">
        <v>45960</v>
      </c>
      <c r="B184" s="42" t="inlineStr">
        <is>
          <t>Thursday</t>
        </is>
      </c>
      <c r="C184" s="45" t="n">
        <v>364.446</v>
      </c>
      <c r="D184" s="45" t="n">
        <v>852.255</v>
      </c>
      <c r="E184" s="43" t="n">
        <v>151.2759446153846</v>
      </c>
      <c r="F184" s="43" t="n">
        <v>51.025308045977</v>
      </c>
      <c r="G184" s="43" t="n">
        <v>399.1136</v>
      </c>
      <c r="H184" s="43" t="n">
        <v>80.00000000000001</v>
      </c>
      <c r="I184" s="42" t="n">
        <v>65</v>
      </c>
      <c r="J184" s="42" t="n">
        <v>87</v>
      </c>
    </row>
    <row r="185">
      <c r="A185" s="41" t="n">
        <v>45961</v>
      </c>
      <c r="B185" s="42" t="inlineStr">
        <is>
          <t>Friday</t>
        </is>
      </c>
      <c r="C185" s="45" t="n">
        <v>1599.671</v>
      </c>
      <c r="D185" s="45" t="n">
        <v>801.385</v>
      </c>
      <c r="E185" s="43" t="n">
        <v>197.0768583333333</v>
      </c>
      <c r="F185" s="43" t="n">
        <v>50.46844347826087</v>
      </c>
      <c r="G185" s="43" t="n">
        <v>460.9986</v>
      </c>
      <c r="H185" s="43" t="n">
        <v>81.00000000000001</v>
      </c>
      <c r="I185" s="42" t="n">
        <v>72</v>
      </c>
      <c r="J185" s="42" t="n">
        <v>69</v>
      </c>
    </row>
    <row r="186">
      <c r="A186" s="41" t="n">
        <v>45962</v>
      </c>
      <c r="B186" s="42" t="inlineStr">
        <is>
          <t>Saturday</t>
        </is>
      </c>
      <c r="C186" s="45" t="n">
        <v>164.437</v>
      </c>
      <c r="D186" s="45" t="n">
        <v>2382.6</v>
      </c>
      <c r="E186" s="43" t="n">
        <v>154.5022178571429</v>
      </c>
      <c r="F186" s="43" t="n">
        <v>68.63221666666666</v>
      </c>
      <c r="G186" s="43" t="n">
        <v>401.9458000000001</v>
      </c>
      <c r="H186" s="43" t="n">
        <v>483.6732</v>
      </c>
      <c r="I186" s="42" t="n">
        <v>56</v>
      </c>
      <c r="J186" s="42" t="n">
        <v>84</v>
      </c>
    </row>
    <row r="187">
      <c r="A187" s="41" t="n">
        <v>45963</v>
      </c>
      <c r="B187" s="42" t="inlineStr">
        <is>
          <t>Sunday</t>
        </is>
      </c>
      <c r="C187" s="45" t="n">
        <v>323.636</v>
      </c>
      <c r="D187" s="45" t="n">
        <v>1661.434</v>
      </c>
      <c r="E187" s="43" t="n">
        <v>140.032706060606</v>
      </c>
      <c r="F187" s="43" t="n">
        <v>40.87458095238095</v>
      </c>
      <c r="G187" s="43" t="n">
        <v>166.8782</v>
      </c>
      <c r="H187" s="43" t="n">
        <v>188.4758</v>
      </c>
      <c r="I187" s="42" t="n">
        <v>66</v>
      </c>
      <c r="J187" s="42" t="n">
        <v>84</v>
      </c>
    </row>
    <row r="188">
      <c r="A188" s="41" t="n">
        <v>45964</v>
      </c>
      <c r="B188" s="42" t="inlineStr">
        <is>
          <t>Monday</t>
        </is>
      </c>
      <c r="C188" s="45" t="n">
        <v>244.663</v>
      </c>
      <c r="D188" s="45" t="n">
        <v>2578.715</v>
      </c>
      <c r="E188" s="43" t="n">
        <v>142.1511320754717</v>
      </c>
      <c r="F188" s="43" t="n">
        <v>38.86063478260869</v>
      </c>
      <c r="G188" s="43" t="n">
        <v>254.653</v>
      </c>
      <c r="H188" s="43" t="n">
        <v>235.6312</v>
      </c>
      <c r="I188" s="42" t="n">
        <v>53</v>
      </c>
      <c r="J188" s="42" t="n">
        <v>92</v>
      </c>
    </row>
    <row r="189">
      <c r="A189" s="41" t="n">
        <v>45965</v>
      </c>
      <c r="B189" s="42" t="inlineStr">
        <is>
          <t>Tuesday</t>
        </is>
      </c>
      <c r="C189" s="45" t="n">
        <v>543.105</v>
      </c>
      <c r="D189" s="45" t="n">
        <v>1624.001</v>
      </c>
      <c r="E189" s="43" t="n">
        <v>163.966606779661</v>
      </c>
      <c r="F189" s="43" t="n">
        <v>52.00266436781609</v>
      </c>
      <c r="G189" s="43" t="n">
        <v>371.9068</v>
      </c>
      <c r="H189" s="43" t="n">
        <v>278.7798</v>
      </c>
      <c r="I189" s="42" t="n">
        <v>59</v>
      </c>
      <c r="J189" s="42" t="n">
        <v>87</v>
      </c>
    </row>
    <row r="190">
      <c r="A190" s="41" t="n">
        <v>45966</v>
      </c>
      <c r="B190" s="42" t="inlineStr">
        <is>
          <t>Wednesday</t>
        </is>
      </c>
      <c r="C190" s="45" t="n">
        <v>1119.503</v>
      </c>
      <c r="D190" s="45" t="n">
        <v>808.914</v>
      </c>
      <c r="E190" s="43" t="n">
        <v>192.7628666666667</v>
      </c>
      <c r="F190" s="43" t="n">
        <v>50.47024931506849</v>
      </c>
      <c r="G190" s="43" t="n">
        <v>476.2668</v>
      </c>
      <c r="H190" s="43" t="n">
        <v>80</v>
      </c>
      <c r="I190" s="42" t="n">
        <v>75</v>
      </c>
      <c r="J190" s="42" t="n">
        <v>73</v>
      </c>
    </row>
    <row r="191">
      <c r="A191" s="41" t="n">
        <v>45967</v>
      </c>
      <c r="B191" s="42" t="inlineStr">
        <is>
          <t>Thursday</t>
        </is>
      </c>
      <c r="C191" s="45" t="n">
        <v>328.772</v>
      </c>
      <c r="D191" s="45" t="n">
        <v>992.58</v>
      </c>
      <c r="E191" s="43" t="n">
        <v>149.661193442623</v>
      </c>
      <c r="F191" s="43" t="n">
        <v>56.99608395061729</v>
      </c>
      <c r="G191" s="43" t="n">
        <v>282.6466</v>
      </c>
      <c r="H191" s="43" t="n">
        <v>422.0902</v>
      </c>
      <c r="I191" s="42" t="n">
        <v>61</v>
      </c>
      <c r="J191" s="42" t="n">
        <v>81</v>
      </c>
    </row>
    <row r="192">
      <c r="A192" s="41" t="n">
        <v>45968</v>
      </c>
      <c r="B192" s="42" t="inlineStr">
        <is>
          <t>Friday</t>
        </is>
      </c>
      <c r="C192" s="45" t="n">
        <v>2677.086</v>
      </c>
      <c r="D192" s="45" t="n">
        <v>592.5650000000001</v>
      </c>
      <c r="E192" s="43" t="n">
        <v>218.3649549295774</v>
      </c>
      <c r="F192" s="43" t="n">
        <v>55.43818507462687</v>
      </c>
      <c r="G192" s="43" t="n">
        <v>452.6086</v>
      </c>
      <c r="H192" s="43" t="n">
        <v>80.20000000000002</v>
      </c>
      <c r="I192" s="42" t="n">
        <v>71</v>
      </c>
      <c r="J192" s="42" t="n">
        <v>67</v>
      </c>
    </row>
    <row r="193">
      <c r="A193" s="41" t="n">
        <v>45969</v>
      </c>
      <c r="B193" s="42" t="inlineStr">
        <is>
          <t>Saturday</t>
        </is>
      </c>
      <c r="C193" s="45" t="n">
        <v>479.511</v>
      </c>
      <c r="D193" s="45" t="n">
        <v>3260.206</v>
      </c>
      <c r="E193" s="43" t="n">
        <v>169.66662</v>
      </c>
      <c r="F193" s="43" t="n">
        <v>36.87202857142857</v>
      </c>
      <c r="G193" s="43" t="n">
        <v>496.9542</v>
      </c>
      <c r="H193" s="43" t="n">
        <v>230.1184</v>
      </c>
      <c r="I193" s="42" t="n">
        <v>60</v>
      </c>
      <c r="J193" s="42" t="n">
        <v>77</v>
      </c>
    </row>
    <row r="194">
      <c r="A194" s="41" t="n">
        <v>45970</v>
      </c>
      <c r="B194" s="42" t="inlineStr">
        <is>
          <t>Sunday</t>
        </is>
      </c>
      <c r="C194" s="45" t="n">
        <v>1226.502</v>
      </c>
      <c r="D194" s="45" t="n">
        <v>957.9590000000001</v>
      </c>
      <c r="E194" s="43" t="n">
        <v>165.0056461538462</v>
      </c>
      <c r="F194" s="43" t="n">
        <v>56.32883111111111</v>
      </c>
      <c r="G194" s="43" t="n">
        <v>320.1858000000001</v>
      </c>
      <c r="H194" s="43" t="n">
        <v>100.9716</v>
      </c>
      <c r="I194" s="42" t="n">
        <v>65</v>
      </c>
      <c r="J194" s="42" t="n">
        <v>90</v>
      </c>
    </row>
    <row r="195">
      <c r="A195" s="41" t="n">
        <v>45971</v>
      </c>
      <c r="B195" s="42" t="inlineStr">
        <is>
          <t>Monday</t>
        </is>
      </c>
      <c r="C195" s="45" t="n">
        <v>1551.252</v>
      </c>
      <c r="D195" s="45" t="n">
        <v>371.596</v>
      </c>
      <c r="E195" s="43" t="n">
        <v>200.8597787878788</v>
      </c>
      <c r="F195" s="43" t="n">
        <v>68.58720750000001</v>
      </c>
      <c r="G195" s="43" t="n">
        <v>489.6402</v>
      </c>
      <c r="H195" s="43" t="n">
        <v>325.4346</v>
      </c>
      <c r="I195" s="42" t="n">
        <v>66</v>
      </c>
      <c r="J195" s="42" t="n">
        <v>80</v>
      </c>
    </row>
    <row r="196">
      <c r="A196" s="41" t="n">
        <v>45972</v>
      </c>
      <c r="B196" s="42" t="inlineStr">
        <is>
          <t>Tuesday</t>
        </is>
      </c>
      <c r="C196" s="45" t="n">
        <v>1977.346</v>
      </c>
      <c r="D196" s="45" t="n">
        <v>410.205</v>
      </c>
      <c r="E196" s="43" t="n">
        <v>179.2708971428572</v>
      </c>
      <c r="F196" s="43" t="n">
        <v>66.64104507042252</v>
      </c>
      <c r="G196" s="43" t="n">
        <v>402.2208</v>
      </c>
      <c r="H196" s="43" t="n">
        <v>398.4591999999999</v>
      </c>
      <c r="I196" s="42" t="n">
        <v>70</v>
      </c>
      <c r="J196" s="42" t="n">
        <v>71</v>
      </c>
    </row>
    <row r="197">
      <c r="A197" s="41" t="n">
        <v>45973</v>
      </c>
      <c r="B197" s="42" t="inlineStr">
        <is>
          <t>Wednesday</t>
        </is>
      </c>
      <c r="C197" s="45" t="n">
        <v>791.896</v>
      </c>
      <c r="D197" s="45" t="n">
        <v>366.397</v>
      </c>
      <c r="E197" s="43" t="n">
        <v>166.5070682926829</v>
      </c>
      <c r="F197" s="43" t="n">
        <v>64.52202222222223</v>
      </c>
      <c r="G197" s="43" t="n">
        <v>482.391</v>
      </c>
      <c r="H197" s="43" t="n">
        <v>80.20000000000002</v>
      </c>
      <c r="I197" s="42" t="n">
        <v>82</v>
      </c>
      <c r="J197" s="42" t="n">
        <v>72</v>
      </c>
    </row>
    <row r="198">
      <c r="A198" s="41" t="n">
        <v>45974</v>
      </c>
      <c r="B198" s="42" t="inlineStr">
        <is>
          <t>Thursday</t>
        </is>
      </c>
      <c r="C198" s="45" t="n">
        <v>1080.123</v>
      </c>
      <c r="D198" s="45" t="n">
        <v>336.829</v>
      </c>
      <c r="E198" s="43" t="n">
        <v>207.5614313253012</v>
      </c>
      <c r="F198" s="43" t="n">
        <v>61.81399692307693</v>
      </c>
      <c r="G198" s="43" t="n">
        <v>404.88</v>
      </c>
      <c r="H198" s="43" t="n">
        <v>80.00000000000001</v>
      </c>
      <c r="I198" s="42" t="n">
        <v>83</v>
      </c>
      <c r="J198" s="42" t="n">
        <v>65</v>
      </c>
    </row>
    <row r="199">
      <c r="A199" s="41" t="n">
        <v>45975</v>
      </c>
      <c r="B199" s="42" t="inlineStr">
        <is>
          <t>Friday</t>
        </is>
      </c>
      <c r="C199" s="45" t="n">
        <v>2088.326</v>
      </c>
      <c r="D199" s="45" t="n">
        <v>17.616</v>
      </c>
      <c r="E199" s="43" t="n">
        <v>220.7913279069767</v>
      </c>
      <c r="F199" s="43" t="n">
        <v>73.78840476190477</v>
      </c>
      <c r="G199" s="43" t="n">
        <v>477.0014</v>
      </c>
      <c r="H199" s="43" t="n">
        <v>81</v>
      </c>
      <c r="I199" s="42" t="n">
        <v>86</v>
      </c>
      <c r="J199" s="42" t="n">
        <v>42</v>
      </c>
    </row>
    <row r="200">
      <c r="A200" s="41" t="n">
        <v>45976</v>
      </c>
      <c r="B200" s="42" t="inlineStr">
        <is>
          <t>Saturday</t>
        </is>
      </c>
      <c r="C200" s="45" t="n">
        <v>2675.574</v>
      </c>
      <c r="D200" s="45" t="n">
        <v>668.486</v>
      </c>
      <c r="E200" s="43" t="n">
        <v>177.0669139240507</v>
      </c>
      <c r="F200" s="43" t="n">
        <v>53.57719240506329</v>
      </c>
      <c r="G200" s="43" t="n">
        <v>401.0954</v>
      </c>
      <c r="H200" s="43" t="n">
        <v>81.00000000000001</v>
      </c>
      <c r="I200" s="42" t="n">
        <v>79</v>
      </c>
      <c r="J200" s="42" t="n">
        <v>79</v>
      </c>
    </row>
    <row r="201">
      <c r="A201" s="41" t="n">
        <v>45977</v>
      </c>
      <c r="B201" s="42" t="inlineStr">
        <is>
          <t>Sunday</t>
        </is>
      </c>
      <c r="C201" s="45" t="n">
        <v>2213.858</v>
      </c>
      <c r="D201" s="45" t="n">
        <v>429.315</v>
      </c>
      <c r="E201" s="43" t="n">
        <v>189.5068821917808</v>
      </c>
      <c r="F201" s="43" t="n">
        <v>67.25282258064514</v>
      </c>
      <c r="G201" s="43" t="n">
        <v>393.3811999999999</v>
      </c>
      <c r="H201" s="43" t="n">
        <v>409.7452</v>
      </c>
      <c r="I201" s="42" t="n">
        <v>73</v>
      </c>
      <c r="J201" s="42" t="n">
        <v>62</v>
      </c>
    </row>
    <row r="202">
      <c r="A202" s="41" t="n">
        <v>45978</v>
      </c>
      <c r="B202" s="42" t="inlineStr">
        <is>
          <t>Monday</t>
        </is>
      </c>
      <c r="C202" s="45" t="n">
        <v>1193.769</v>
      </c>
      <c r="D202" s="45" t="n">
        <v>286.744</v>
      </c>
      <c r="E202" s="43" t="n">
        <v>186.98544</v>
      </c>
      <c r="F202" s="43" t="n">
        <v>61.34232432432433</v>
      </c>
      <c r="G202" s="43" t="n">
        <v>444.737</v>
      </c>
      <c r="H202" s="43" t="n">
        <v>80</v>
      </c>
      <c r="I202" s="42" t="n">
        <v>80</v>
      </c>
      <c r="J202" s="42" t="n">
        <v>74</v>
      </c>
    </row>
    <row r="203">
      <c r="A203" s="41" t="n">
        <v>45979</v>
      </c>
      <c r="B203" s="42" t="inlineStr">
        <is>
          <t>Tuesday</t>
        </is>
      </c>
      <c r="C203" s="45" t="n">
        <v>2075.35</v>
      </c>
      <c r="D203" s="45" t="n">
        <v>1126.228</v>
      </c>
      <c r="E203" s="43" t="n">
        <v>195.7579586206897</v>
      </c>
      <c r="F203" s="43" t="n">
        <v>51.95109117647058</v>
      </c>
      <c r="G203" s="43" t="n">
        <v>498.945</v>
      </c>
      <c r="H203" s="43" t="n">
        <v>494.2134</v>
      </c>
      <c r="I203" s="42" t="n">
        <v>58</v>
      </c>
      <c r="J203" s="42" t="n">
        <v>68</v>
      </c>
    </row>
    <row r="204">
      <c r="A204" s="41" t="n">
        <v>45980</v>
      </c>
      <c r="B204" s="42" t="inlineStr">
        <is>
          <t>Wednesday</t>
        </is>
      </c>
      <c r="C204" s="45" t="n">
        <v>2152.046</v>
      </c>
      <c r="D204" s="45" t="n">
        <v>855.671</v>
      </c>
      <c r="E204" s="43" t="n">
        <v>221.4081090909091</v>
      </c>
      <c r="F204" s="43" t="n">
        <v>50.74368928571429</v>
      </c>
      <c r="G204" s="43" t="n">
        <v>477.072</v>
      </c>
      <c r="H204" s="43" t="n">
        <v>329.7312</v>
      </c>
      <c r="I204" s="42" t="n">
        <v>66</v>
      </c>
      <c r="J204" s="42" t="n">
        <v>56</v>
      </c>
    </row>
    <row r="205">
      <c r="A205" s="41" t="n">
        <v>45981</v>
      </c>
      <c r="B205" s="42" t="inlineStr">
        <is>
          <t>Thursday</t>
        </is>
      </c>
      <c r="C205" s="45" t="n">
        <v>1221.367</v>
      </c>
      <c r="D205" s="45" t="n">
        <v>472.496</v>
      </c>
      <c r="E205" s="43" t="n">
        <v>192.2215567567568</v>
      </c>
      <c r="F205" s="43" t="n">
        <v>70.07495999999999</v>
      </c>
      <c r="G205" s="43" t="n">
        <v>476.5478</v>
      </c>
      <c r="H205" s="43" t="n">
        <v>345.8416</v>
      </c>
      <c r="I205" s="42" t="n">
        <v>74</v>
      </c>
      <c r="J205" s="42" t="n">
        <v>70</v>
      </c>
    </row>
    <row r="206">
      <c r="A206" s="41" t="n">
        <v>45982</v>
      </c>
      <c r="B206" s="42" t="inlineStr">
        <is>
          <t>Friday</t>
        </is>
      </c>
      <c r="C206" s="45" t="n">
        <v>801.385</v>
      </c>
      <c r="D206" s="45" t="n">
        <v>1297.348</v>
      </c>
      <c r="E206" s="43" t="n">
        <v>172.6623846153846</v>
      </c>
      <c r="F206" s="43" t="n">
        <v>68.7710325</v>
      </c>
      <c r="G206" s="43" t="n">
        <v>407.2646</v>
      </c>
      <c r="H206" s="43" t="n">
        <v>491.0762</v>
      </c>
      <c r="I206" s="42" t="n">
        <v>78</v>
      </c>
      <c r="J206" s="42" t="n">
        <v>80</v>
      </c>
    </row>
    <row r="207">
      <c r="A207" s="41" t="n">
        <v>45983</v>
      </c>
      <c r="B207" s="42" t="inlineStr">
        <is>
          <t>Saturday</t>
        </is>
      </c>
      <c r="C207" s="45" t="n">
        <v>1713.239</v>
      </c>
      <c r="D207" s="45" t="n">
        <v>501.389</v>
      </c>
      <c r="E207" s="43" t="n">
        <v>193.489384375</v>
      </c>
      <c r="F207" s="43" t="n">
        <v>73.47406249999999</v>
      </c>
      <c r="G207" s="43" t="n">
        <v>472.629</v>
      </c>
      <c r="H207" s="43" t="n">
        <v>476.3008</v>
      </c>
      <c r="I207" s="42" t="n">
        <v>64</v>
      </c>
      <c r="J207" s="42" t="n">
        <v>64</v>
      </c>
    </row>
    <row r="208">
      <c r="A208" s="41" t="n">
        <v>45984</v>
      </c>
      <c r="B208" s="42" t="inlineStr">
        <is>
          <t>Sunday</t>
        </is>
      </c>
      <c r="C208" s="45" t="n">
        <v>3303.443</v>
      </c>
      <c r="D208" s="45" t="n">
        <v>620.746</v>
      </c>
      <c r="E208" s="43" t="n">
        <v>212.9395787878788</v>
      </c>
      <c r="F208" s="43" t="n">
        <v>53.11637999999999</v>
      </c>
      <c r="G208" s="43" t="n">
        <v>498.7984</v>
      </c>
      <c r="H208" s="43" t="n">
        <v>238.0692</v>
      </c>
      <c r="I208" s="42" t="n">
        <v>66</v>
      </c>
      <c r="J208" s="42" t="n">
        <v>50</v>
      </c>
    </row>
    <row r="209">
      <c r="A209" s="41" t="n">
        <v>45985</v>
      </c>
      <c r="B209" s="42" t="inlineStr">
        <is>
          <t>Monday</t>
        </is>
      </c>
      <c r="C209" s="45" t="n">
        <v>430.337</v>
      </c>
      <c r="D209" s="45" t="n">
        <v>2554.039</v>
      </c>
      <c r="E209" s="43" t="n">
        <v>148.7739666666667</v>
      </c>
      <c r="F209" s="43" t="n">
        <v>50.0853</v>
      </c>
      <c r="G209" s="43" t="n">
        <v>464.1788</v>
      </c>
      <c r="H209" s="43" t="n">
        <v>483.29</v>
      </c>
      <c r="I209" s="42" t="n">
        <v>60</v>
      </c>
      <c r="J209" s="42" t="n">
        <v>92</v>
      </c>
    </row>
    <row r="210">
      <c r="A210" s="41" t="n">
        <v>45986</v>
      </c>
      <c r="B210" s="42" t="inlineStr">
        <is>
          <t>Tuesday</t>
        </is>
      </c>
      <c r="C210" s="45" t="n">
        <v>235.662</v>
      </c>
      <c r="D210" s="45" t="n">
        <v>1604.185</v>
      </c>
      <c r="E210" s="43" t="n">
        <v>165.0556419354839</v>
      </c>
      <c r="F210" s="43" t="n">
        <v>41.13089756097561</v>
      </c>
      <c r="G210" s="43" t="n">
        <v>469.9312</v>
      </c>
      <c r="H210" s="43" t="n">
        <v>291.9192</v>
      </c>
      <c r="I210" s="42" t="n">
        <v>62</v>
      </c>
      <c r="J210" s="42" t="n">
        <v>82</v>
      </c>
    </row>
    <row r="211">
      <c r="A211" s="41" t="n">
        <v>45987</v>
      </c>
      <c r="B211" s="42" t="inlineStr">
        <is>
          <t>Wednesday</t>
        </is>
      </c>
      <c r="C211" s="45" t="n">
        <v>1554.294</v>
      </c>
      <c r="D211" s="45" t="n">
        <v>978.914</v>
      </c>
      <c r="E211" s="43" t="n">
        <v>205.7667617021277</v>
      </c>
      <c r="F211" s="43" t="n">
        <v>57.22005135135135</v>
      </c>
      <c r="G211" s="43" t="n">
        <v>463.7466000000001</v>
      </c>
      <c r="H211" s="43" t="n">
        <v>307.818</v>
      </c>
      <c r="I211" s="42" t="n">
        <v>47</v>
      </c>
      <c r="J211" s="42" t="n">
        <v>74</v>
      </c>
    </row>
    <row r="212">
      <c r="A212" s="41" t="n">
        <v>45988</v>
      </c>
      <c r="B212" s="42" t="inlineStr">
        <is>
          <t>Thursday</t>
        </is>
      </c>
      <c r="C212" s="45" t="n">
        <v>1969.337</v>
      </c>
      <c r="D212" s="45" t="n">
        <v>235.71</v>
      </c>
      <c r="E212" s="43" t="n">
        <v>197.2857518072289</v>
      </c>
      <c r="F212" s="43" t="n">
        <v>68.40492352941178</v>
      </c>
      <c r="G212" s="43" t="n">
        <v>494.4736</v>
      </c>
      <c r="H212" s="43" t="n">
        <v>127.3122</v>
      </c>
      <c r="I212" s="42" t="n">
        <v>83</v>
      </c>
      <c r="J212" s="42" t="n">
        <v>68</v>
      </c>
    </row>
    <row r="213">
      <c r="A213" s="41" t="n">
        <v>45989</v>
      </c>
      <c r="B213" s="42" t="inlineStr">
        <is>
          <t>Friday</t>
        </is>
      </c>
      <c r="C213" s="45" t="n">
        <v>1171.748</v>
      </c>
      <c r="D213" s="45" t="n">
        <v>507.957</v>
      </c>
      <c r="E213" s="43" t="n">
        <v>204.7878432432432</v>
      </c>
      <c r="F213" s="43" t="n">
        <v>60.55033150684931</v>
      </c>
      <c r="G213" s="43" t="n">
        <v>431.8954</v>
      </c>
      <c r="H213" s="43" t="n">
        <v>80</v>
      </c>
      <c r="I213" s="42" t="n">
        <v>74</v>
      </c>
      <c r="J213" s="42" t="n">
        <v>73</v>
      </c>
    </row>
    <row r="214">
      <c r="A214" s="41" t="n">
        <v>45990</v>
      </c>
      <c r="B214" s="42" t="inlineStr">
        <is>
          <t>Saturday</t>
        </is>
      </c>
      <c r="C214" s="45" t="n">
        <v>808.671</v>
      </c>
      <c r="D214" s="45" t="n">
        <v>3145.027</v>
      </c>
      <c r="E214" s="43" t="n">
        <v>181.2973032258064</v>
      </c>
      <c r="F214" s="43" t="n">
        <v>41.95123720930233</v>
      </c>
      <c r="G214" s="43" t="n">
        <v>423.4046</v>
      </c>
      <c r="H214" s="43" t="n">
        <v>300.8302</v>
      </c>
      <c r="I214" s="42" t="n">
        <v>62</v>
      </c>
      <c r="J214" s="42" t="n">
        <v>86</v>
      </c>
    </row>
    <row r="215">
      <c r="A215" s="41" t="n">
        <v>45991</v>
      </c>
      <c r="B215" s="42" t="inlineStr">
        <is>
          <t>Sunday</t>
        </is>
      </c>
      <c r="C215" s="45" t="n">
        <v>2351.697</v>
      </c>
      <c r="D215" s="45" t="n">
        <v>1691.019</v>
      </c>
      <c r="E215" s="43" t="n">
        <v>186.0294197183098</v>
      </c>
      <c r="F215" s="43" t="n">
        <v>53.26081749999999</v>
      </c>
      <c r="G215" s="43" t="n">
        <v>450.4388</v>
      </c>
      <c r="H215" s="43" t="n">
        <v>496.6666</v>
      </c>
      <c r="I215" s="42" t="n">
        <v>71</v>
      </c>
      <c r="J215" s="42" t="n">
        <v>80</v>
      </c>
    </row>
    <row r="216">
      <c r="A216" s="41" t="n">
        <v>45992</v>
      </c>
      <c r="B216" s="42" t="inlineStr">
        <is>
          <t>Monday</t>
        </is>
      </c>
      <c r="C216" s="45" t="n">
        <v>978.5649999999999</v>
      </c>
      <c r="D216" s="45" t="n">
        <v>2000.931</v>
      </c>
      <c r="E216" s="43" t="n">
        <v>192.6220461538461</v>
      </c>
      <c r="F216" s="43" t="n">
        <v>62.40541518987343</v>
      </c>
      <c r="G216" s="43" t="n">
        <v>453.7278</v>
      </c>
      <c r="H216" s="43" t="n">
        <v>391.4066</v>
      </c>
      <c r="I216" s="42" t="n">
        <v>65</v>
      </c>
      <c r="J216" s="42" t="n">
        <v>79</v>
      </c>
    </row>
    <row r="217">
      <c r="A217" s="41" t="n">
        <v>45993</v>
      </c>
      <c r="B217" s="42" t="inlineStr">
        <is>
          <t>Tuesday</t>
        </is>
      </c>
      <c r="C217" s="45" t="n">
        <v>631.149</v>
      </c>
      <c r="D217" s="45" t="n">
        <v>849.513</v>
      </c>
      <c r="E217" s="43" t="n">
        <v>179.0676333333333</v>
      </c>
      <c r="F217" s="43" t="n">
        <v>61.87388529411763</v>
      </c>
      <c r="G217" s="43" t="n">
        <v>480.3102</v>
      </c>
      <c r="H217" s="43" t="n">
        <v>314.332</v>
      </c>
      <c r="I217" s="42" t="n">
        <v>66</v>
      </c>
      <c r="J217" s="42" t="n">
        <v>68</v>
      </c>
    </row>
    <row r="218">
      <c r="A218" s="41" t="n">
        <v>45994</v>
      </c>
      <c r="B218" s="42" t="inlineStr">
        <is>
          <t>Wednesday</t>
        </is>
      </c>
      <c r="C218" s="45" t="n">
        <v>219.829</v>
      </c>
      <c r="D218" s="45" t="n">
        <v>1171.815</v>
      </c>
      <c r="E218" s="43" t="n">
        <v>169.1941238095238</v>
      </c>
      <c r="F218" s="43" t="n">
        <v>54.4509788235294</v>
      </c>
      <c r="G218" s="43" t="n">
        <v>490.0768</v>
      </c>
      <c r="H218" s="43" t="n">
        <v>369.1492000000001</v>
      </c>
      <c r="I218" s="42" t="n">
        <v>63</v>
      </c>
      <c r="J218" s="42" t="n">
        <v>85</v>
      </c>
    </row>
    <row r="219">
      <c r="A219" s="41" t="n">
        <v>45995</v>
      </c>
      <c r="B219" s="42" t="inlineStr">
        <is>
          <t>Thursday</t>
        </is>
      </c>
      <c r="C219" s="45" t="n">
        <v>110.844</v>
      </c>
      <c r="D219" s="45" t="n">
        <v>2407.778</v>
      </c>
      <c r="E219" s="43" t="n">
        <v>140.4073811320755</v>
      </c>
      <c r="F219" s="43" t="n">
        <v>54.31386593406593</v>
      </c>
      <c r="G219" s="43" t="n">
        <v>255.4424</v>
      </c>
      <c r="H219" s="43" t="n">
        <v>430.1732</v>
      </c>
      <c r="I219" s="42" t="n">
        <v>53</v>
      </c>
      <c r="J219" s="42" t="n">
        <v>91</v>
      </c>
    </row>
    <row r="220">
      <c r="A220" s="41" t="n">
        <v>45996</v>
      </c>
      <c r="B220" s="42" t="inlineStr">
        <is>
          <t>Friday</t>
        </is>
      </c>
      <c r="C220" s="45" t="n">
        <v>394.416</v>
      </c>
      <c r="D220" s="45" t="n">
        <v>1972.596</v>
      </c>
      <c r="E220" s="43" t="n">
        <v>167.7571135135135</v>
      </c>
      <c r="F220" s="43" t="n">
        <v>56.47535000000001</v>
      </c>
      <c r="G220" s="43" t="n">
        <v>253.6924</v>
      </c>
      <c r="H220" s="43" t="n">
        <v>260.6994</v>
      </c>
      <c r="I220" s="42" t="n">
        <v>37</v>
      </c>
      <c r="J220" s="42" t="n">
        <v>84</v>
      </c>
    </row>
    <row r="221">
      <c r="A221" s="41" t="n">
        <v>45997</v>
      </c>
      <c r="B221" s="42" t="inlineStr">
        <is>
          <t>Saturday</t>
        </is>
      </c>
      <c r="C221" s="45" t="n">
        <v>129.128</v>
      </c>
      <c r="D221" s="45" t="n">
        <v>3431.703</v>
      </c>
      <c r="E221" s="43" t="n">
        <v>162.6563333333334</v>
      </c>
      <c r="F221" s="43" t="n">
        <v>43.39506888888889</v>
      </c>
      <c r="G221" s="43" t="n">
        <v>374.6504000000001</v>
      </c>
      <c r="H221" s="43" t="n">
        <v>417.8894</v>
      </c>
      <c r="I221" s="42" t="n">
        <v>36</v>
      </c>
      <c r="J221" s="42" t="n">
        <v>90</v>
      </c>
    </row>
    <row r="222">
      <c r="A222" s="41" t="n">
        <v>45998</v>
      </c>
      <c r="B222" s="42" t="inlineStr">
        <is>
          <t>Sunday</t>
        </is>
      </c>
      <c r="C222" s="45" t="n">
        <v>234.242</v>
      </c>
      <c r="D222" s="45" t="n">
        <v>1390.678</v>
      </c>
      <c r="E222" s="43" t="n">
        <v>160.6170535714286</v>
      </c>
      <c r="F222" s="43" t="n">
        <v>54.15534567901235</v>
      </c>
      <c r="G222" s="43" t="n">
        <v>379.9324</v>
      </c>
      <c r="H222" s="43" t="n">
        <v>247.0994</v>
      </c>
      <c r="I222" s="42" t="n">
        <v>56</v>
      </c>
      <c r="J222" s="42" t="n">
        <v>81</v>
      </c>
    </row>
    <row r="223">
      <c r="A223" s="41" t="n">
        <v>45999</v>
      </c>
      <c r="B223" s="42" t="inlineStr">
        <is>
          <t>Monday</t>
        </is>
      </c>
      <c r="C223" s="45" t="n">
        <v>2353.563</v>
      </c>
      <c r="D223" s="45" t="n">
        <v>780.544</v>
      </c>
      <c r="E223" s="43" t="n">
        <v>188.1751731343283</v>
      </c>
      <c r="F223" s="43" t="n">
        <v>64.44473580246914</v>
      </c>
      <c r="G223" s="43" t="n">
        <v>464.348</v>
      </c>
      <c r="H223" s="43" t="n">
        <v>354.0466</v>
      </c>
      <c r="I223" s="42" t="n">
        <v>67</v>
      </c>
      <c r="J223" s="42" t="n">
        <v>81</v>
      </c>
    </row>
    <row r="224">
      <c r="A224" s="41" t="n">
        <v>46000</v>
      </c>
      <c r="B224" s="42" t="inlineStr">
        <is>
          <t>Tuesday</t>
        </is>
      </c>
      <c r="C224" s="45" t="n">
        <v>484.567</v>
      </c>
      <c r="D224" s="45" t="n">
        <v>543.457</v>
      </c>
      <c r="E224" s="43" t="n">
        <v>174.0108507462687</v>
      </c>
      <c r="F224" s="43" t="n">
        <v>80.84080243902439</v>
      </c>
      <c r="G224" s="43" t="n">
        <v>334.8328</v>
      </c>
      <c r="H224" s="43" t="n">
        <v>383.8238</v>
      </c>
      <c r="I224" s="42" t="n">
        <v>67</v>
      </c>
      <c r="J224" s="42" t="n">
        <v>82</v>
      </c>
    </row>
    <row r="225">
      <c r="A225" s="41" t="n">
        <v>46001</v>
      </c>
      <c r="B225" s="42" t="inlineStr">
        <is>
          <t>Wednesday</t>
        </is>
      </c>
      <c r="C225" s="45" t="n">
        <v>519.438</v>
      </c>
      <c r="D225" s="45" t="n">
        <v>1807.651</v>
      </c>
      <c r="E225" s="43" t="n">
        <v>174.1733036144578</v>
      </c>
      <c r="F225" s="43" t="n">
        <v>45.8906947368421</v>
      </c>
      <c r="G225" s="43" t="n">
        <v>402.3376</v>
      </c>
      <c r="H225" s="43" t="n">
        <v>80</v>
      </c>
      <c r="I225" s="42" t="n">
        <v>83</v>
      </c>
      <c r="J225" s="42" t="n">
        <v>76</v>
      </c>
    </row>
    <row r="226">
      <c r="A226" s="41" t="n">
        <v>46002</v>
      </c>
      <c r="B226" s="42" t="inlineStr">
        <is>
          <t>Thursday</t>
        </is>
      </c>
      <c r="C226" s="45" t="n">
        <v>149.728</v>
      </c>
      <c r="D226" s="45" t="n">
        <v>606.588</v>
      </c>
      <c r="E226" s="43" t="n">
        <v>148.262793442623</v>
      </c>
      <c r="F226" s="43" t="n">
        <v>58.16124827586208</v>
      </c>
      <c r="G226" s="43" t="n">
        <v>183.5132</v>
      </c>
      <c r="H226" s="43" t="n">
        <v>152.3004</v>
      </c>
      <c r="I226" s="42" t="n">
        <v>61</v>
      </c>
      <c r="J226" s="42" t="n">
        <v>87</v>
      </c>
    </row>
    <row r="227">
      <c r="A227" s="41" t="n">
        <v>46003</v>
      </c>
      <c r="B227" s="42" t="inlineStr">
        <is>
          <t>Friday</t>
        </is>
      </c>
      <c r="C227" s="45" t="n">
        <v>647.171</v>
      </c>
      <c r="D227" s="45" t="n">
        <v>265.216</v>
      </c>
      <c r="E227" s="43" t="n">
        <v>177.7325521126761</v>
      </c>
      <c r="F227" s="43" t="n">
        <v>64.23025588235294</v>
      </c>
      <c r="G227" s="43" t="n">
        <v>471.8656</v>
      </c>
      <c r="H227" s="43" t="n">
        <v>80.00000000000001</v>
      </c>
      <c r="I227" s="42" t="n">
        <v>71</v>
      </c>
      <c r="J227" s="42" t="n">
        <v>68</v>
      </c>
    </row>
    <row r="228">
      <c r="A228" s="41" t="n">
        <v>46004</v>
      </c>
      <c r="B228" s="42" t="inlineStr">
        <is>
          <t>Saturday</t>
        </is>
      </c>
      <c r="C228" s="45" t="n">
        <v>330.644</v>
      </c>
      <c r="D228" s="45" t="n">
        <v>236.143</v>
      </c>
      <c r="E228" s="43" t="n">
        <v>157.0885382716049</v>
      </c>
      <c r="F228" s="43" t="n">
        <v>66.10212105263156</v>
      </c>
      <c r="G228" s="43" t="n">
        <v>229.7652</v>
      </c>
      <c r="H228" s="43" t="n">
        <v>80</v>
      </c>
      <c r="I228" s="42" t="n">
        <v>81</v>
      </c>
      <c r="J228" s="42" t="n">
        <v>76</v>
      </c>
    </row>
    <row r="229">
      <c r="A229" s="41" t="n">
        <v>46005</v>
      </c>
      <c r="B229" s="42" t="inlineStr">
        <is>
          <t>Sunday</t>
        </is>
      </c>
      <c r="C229" s="45" t="n">
        <v>1113.072</v>
      </c>
      <c r="D229" s="45" t="n">
        <v>1381.676</v>
      </c>
      <c r="E229" s="43" t="n">
        <v>167.5977684210526</v>
      </c>
      <c r="F229" s="43" t="n">
        <v>48.4846506329114</v>
      </c>
      <c r="G229" s="43" t="n">
        <v>335.6758</v>
      </c>
      <c r="H229" s="43" t="n">
        <v>317.7364</v>
      </c>
      <c r="I229" s="42" t="n">
        <v>57</v>
      </c>
      <c r="J229" s="42" t="n">
        <v>79</v>
      </c>
    </row>
    <row r="230">
      <c r="A230" s="41" t="n">
        <v>46006</v>
      </c>
      <c r="B230" s="42" t="inlineStr">
        <is>
          <t>Monday</t>
        </is>
      </c>
      <c r="C230" s="45" t="n">
        <v>1912.897</v>
      </c>
      <c r="D230" s="45" t="n">
        <v>163.062</v>
      </c>
      <c r="E230" s="43" t="n">
        <v>198.49774375</v>
      </c>
      <c r="F230" s="43" t="n">
        <v>62.20150877192982</v>
      </c>
      <c r="G230" s="43" t="n">
        <v>486.6856</v>
      </c>
      <c r="H230" s="43" t="n">
        <v>80.20000000000002</v>
      </c>
      <c r="I230" s="42" t="n">
        <v>64</v>
      </c>
      <c r="J230" s="42" t="n">
        <v>57</v>
      </c>
    </row>
    <row r="231">
      <c r="A231" s="41" t="n">
        <v>46007</v>
      </c>
      <c r="B231" s="42" t="inlineStr">
        <is>
          <t>Tuesday</t>
        </is>
      </c>
      <c r="C231" s="45" t="n">
        <v>1553.784</v>
      </c>
      <c r="D231" s="45" t="n">
        <v>143.829</v>
      </c>
      <c r="E231" s="43" t="n">
        <v>208.2761210526316</v>
      </c>
      <c r="F231" s="43" t="n">
        <v>68.87977241379311</v>
      </c>
      <c r="G231" s="43" t="n">
        <v>483.5554</v>
      </c>
      <c r="H231" s="43" t="n">
        <v>80.20000000000002</v>
      </c>
      <c r="I231" s="42" t="n">
        <v>76</v>
      </c>
      <c r="J231" s="42" t="n">
        <v>58</v>
      </c>
    </row>
    <row r="232">
      <c r="A232" s="41" t="n">
        <v>46008</v>
      </c>
      <c r="B232" s="42" t="inlineStr">
        <is>
          <t>Wednesday</t>
        </is>
      </c>
      <c r="C232" s="45" t="n">
        <v>2128.377</v>
      </c>
      <c r="D232" s="45" t="n">
        <v>273.417</v>
      </c>
      <c r="E232" s="43" t="n">
        <v>198.9509763157895</v>
      </c>
      <c r="F232" s="43" t="n">
        <v>64.91452173913044</v>
      </c>
      <c r="G232" s="43" t="n">
        <v>424.7792000000001</v>
      </c>
      <c r="H232" s="43" t="n">
        <v>134.7892</v>
      </c>
      <c r="I232" s="42" t="n">
        <v>76</v>
      </c>
      <c r="J232" s="42" t="n">
        <v>69</v>
      </c>
    </row>
    <row r="233">
      <c r="A233" s="41" t="n">
        <v>46009</v>
      </c>
      <c r="B233" s="42" t="inlineStr">
        <is>
          <t>Thursday</t>
        </is>
      </c>
      <c r="C233" s="45" t="n">
        <v>465.101</v>
      </c>
      <c r="D233" s="45" t="n">
        <v>1265.615</v>
      </c>
      <c r="E233" s="43" t="n">
        <v>152.9706866666667</v>
      </c>
      <c r="F233" s="43" t="n">
        <v>68.19122696629213</v>
      </c>
      <c r="G233" s="43" t="n">
        <v>286.6148000000001</v>
      </c>
      <c r="H233" s="43" t="n">
        <v>389.9786</v>
      </c>
      <c r="I233" s="42" t="n">
        <v>60</v>
      </c>
      <c r="J233" s="42" t="n">
        <v>89</v>
      </c>
    </row>
    <row r="234">
      <c r="A234" s="41" t="n">
        <v>46010</v>
      </c>
      <c r="B234" s="42" t="inlineStr">
        <is>
          <t>Friday</t>
        </is>
      </c>
      <c r="C234" s="45" t="n">
        <v>65.254</v>
      </c>
      <c r="D234" s="45" t="n">
        <v>4572.919</v>
      </c>
      <c r="E234" s="43" t="n">
        <v>151.338562962963</v>
      </c>
      <c r="F234" s="43" t="n">
        <v>55.80313191489361</v>
      </c>
      <c r="G234" s="43" t="n">
        <v>486.2446</v>
      </c>
      <c r="H234" s="43" t="n">
        <v>427.792</v>
      </c>
      <c r="I234" s="42" t="n">
        <v>27</v>
      </c>
      <c r="J234" s="42" t="n">
        <v>94</v>
      </c>
    </row>
    <row r="235">
      <c r="A235" s="41" t="n">
        <v>46011</v>
      </c>
      <c r="B235" s="42" t="inlineStr">
        <is>
          <t>Saturday</t>
        </is>
      </c>
      <c r="C235" s="45" t="n">
        <v>1404.541</v>
      </c>
      <c r="D235" s="45" t="n">
        <v>27.819</v>
      </c>
      <c r="E235" s="43" t="n">
        <v>182.7285625</v>
      </c>
      <c r="F235" s="43" t="n">
        <v>64.57563333333333</v>
      </c>
      <c r="G235" s="43" t="n">
        <v>360.9596</v>
      </c>
      <c r="H235" s="43" t="n">
        <v>80</v>
      </c>
      <c r="I235" s="42" t="n">
        <v>80</v>
      </c>
      <c r="J235" s="42" t="n">
        <v>24</v>
      </c>
    </row>
    <row r="236">
      <c r="A236" s="41" t="n">
        <v>46012</v>
      </c>
      <c r="B236" s="42" t="inlineStr">
        <is>
          <t>Sunday</t>
        </is>
      </c>
      <c r="C236" s="45" t="n">
        <v>572.924</v>
      </c>
      <c r="D236" s="45" t="n">
        <v>185.011</v>
      </c>
      <c r="E236" s="43" t="n">
        <v>168.4797911764706</v>
      </c>
      <c r="F236" s="43" t="n">
        <v>69.90832758620689</v>
      </c>
      <c r="G236" s="43" t="n">
        <v>379.879</v>
      </c>
      <c r="H236" s="43" t="n">
        <v>80.00000000000001</v>
      </c>
      <c r="I236" s="42" t="n">
        <v>68</v>
      </c>
      <c r="J236" s="42" t="n">
        <v>58</v>
      </c>
    </row>
    <row r="237">
      <c r="A237" s="41" t="n">
        <v>46013</v>
      </c>
      <c r="B237" s="42" t="inlineStr">
        <is>
          <t>Monday</t>
        </is>
      </c>
      <c r="C237" s="45" t="n">
        <v>2162.829</v>
      </c>
      <c r="D237" s="45" t="n">
        <v>1064.781</v>
      </c>
      <c r="E237" s="43" t="n">
        <v>205.1656304347826</v>
      </c>
      <c r="F237" s="43" t="n">
        <v>48.30521842105263</v>
      </c>
      <c r="G237" s="43" t="n">
        <v>469.0486</v>
      </c>
      <c r="H237" s="43" t="n">
        <v>109.8516</v>
      </c>
      <c r="I237" s="42" t="n">
        <v>46</v>
      </c>
      <c r="J237" s="42" t="n">
        <v>76</v>
      </c>
    </row>
    <row r="238">
      <c r="A238" s="41" t="n">
        <v>46014</v>
      </c>
      <c r="B238" s="42" t="inlineStr">
        <is>
          <t>Tuesday</t>
        </is>
      </c>
      <c r="C238" s="45" t="n">
        <v>3896.024</v>
      </c>
      <c r="D238" s="45" t="n">
        <v>184.371</v>
      </c>
      <c r="E238" s="43" t="n">
        <v>203.0410025</v>
      </c>
      <c r="F238" s="43" t="n">
        <v>66.00720677966099</v>
      </c>
      <c r="G238" s="43" t="n">
        <v>394.8378</v>
      </c>
      <c r="H238" s="43" t="n">
        <v>80</v>
      </c>
      <c r="I238" s="42" t="n">
        <v>80</v>
      </c>
      <c r="J238" s="42" t="n">
        <v>59</v>
      </c>
    </row>
    <row r="239">
      <c r="A239" s="41" t="n">
        <v>46015</v>
      </c>
      <c r="B239" s="42" t="inlineStr">
        <is>
          <t>Wednesday</t>
        </is>
      </c>
      <c r="C239" s="45" t="n">
        <v>1265.565</v>
      </c>
      <c r="D239" s="45" t="n">
        <v>1702.654</v>
      </c>
      <c r="E239" s="43" t="n">
        <v>200.3547357142857</v>
      </c>
      <c r="F239" s="43" t="n">
        <v>53.21125060240964</v>
      </c>
      <c r="G239" s="43" t="n">
        <v>494.8332</v>
      </c>
      <c r="H239" s="43" t="n">
        <v>191.2346</v>
      </c>
      <c r="I239" s="42" t="n">
        <v>56</v>
      </c>
      <c r="J239" s="42" t="n">
        <v>83</v>
      </c>
    </row>
    <row r="240">
      <c r="A240" s="41" t="n">
        <v>46016</v>
      </c>
      <c r="B240" s="42" t="inlineStr">
        <is>
          <t>Thursday</t>
        </is>
      </c>
      <c r="C240" s="45" t="n">
        <v>2397.272</v>
      </c>
      <c r="D240" s="45" t="n">
        <v>452.68</v>
      </c>
      <c r="E240" s="43" t="n">
        <v>175.9430689655172</v>
      </c>
      <c r="F240" s="43" t="n">
        <v>49.16788085106383</v>
      </c>
      <c r="G240" s="43" t="n">
        <v>491.2596</v>
      </c>
      <c r="H240" s="43" t="n">
        <v>80.00000000000001</v>
      </c>
      <c r="I240" s="42" t="n">
        <v>87</v>
      </c>
      <c r="J240" s="42" t="n">
        <v>47</v>
      </c>
    </row>
    <row r="241">
      <c r="A241" s="41" t="n">
        <v>46017</v>
      </c>
      <c r="B241" s="42" t="inlineStr">
        <is>
          <t>Friday</t>
        </is>
      </c>
      <c r="C241" s="45" t="n">
        <v>2766.002</v>
      </c>
      <c r="D241" s="45" t="n">
        <v>373.48</v>
      </c>
      <c r="E241" s="43" t="n">
        <v>170.8707532467532</v>
      </c>
      <c r="F241" s="43" t="n">
        <v>57.87970129870128</v>
      </c>
      <c r="G241" s="43" t="n">
        <v>319.6426</v>
      </c>
      <c r="H241" s="43" t="n">
        <v>80</v>
      </c>
      <c r="I241" s="42" t="n">
        <v>77</v>
      </c>
      <c r="J241" s="42" t="n">
        <v>77</v>
      </c>
    </row>
    <row r="242">
      <c r="A242" s="41" t="n">
        <v>46018</v>
      </c>
      <c r="B242" s="42" t="inlineStr">
        <is>
          <t>Saturday</t>
        </is>
      </c>
      <c r="C242" s="45" t="n">
        <v>325.689</v>
      </c>
      <c r="D242" s="45" t="n">
        <v>3071.74</v>
      </c>
      <c r="E242" s="43" t="n">
        <v>162.1548363636364</v>
      </c>
      <c r="F242" s="43" t="n">
        <v>26.6826735632184</v>
      </c>
      <c r="G242" s="43" t="n">
        <v>270.588</v>
      </c>
      <c r="H242" s="43" t="n">
        <v>80</v>
      </c>
      <c r="I242" s="42" t="n">
        <v>44</v>
      </c>
      <c r="J242" s="42" t="n">
        <v>87</v>
      </c>
    </row>
    <row r="243">
      <c r="A243" s="41" t="n">
        <v>46019</v>
      </c>
      <c r="B243" s="42" t="inlineStr">
        <is>
          <t>Sunday</t>
        </is>
      </c>
      <c r="C243" s="45" t="n">
        <v>1231.503</v>
      </c>
      <c r="D243" s="45" t="n">
        <v>828.547</v>
      </c>
      <c r="E243" s="43" t="n">
        <v>167.6902</v>
      </c>
      <c r="F243" s="43" t="n">
        <v>54.66695890410959</v>
      </c>
      <c r="G243" s="43" t="n">
        <v>413.2152</v>
      </c>
      <c r="H243" s="43" t="n">
        <v>347.095</v>
      </c>
      <c r="I243" s="42" t="n">
        <v>63</v>
      </c>
      <c r="J243" s="42" t="n">
        <v>73</v>
      </c>
    </row>
    <row r="244">
      <c r="A244" s="41" t="n">
        <v>46020</v>
      </c>
      <c r="B244" s="42" t="inlineStr">
        <is>
          <t>Monday</t>
        </is>
      </c>
      <c r="C244" s="45" t="n">
        <v>1366.072</v>
      </c>
      <c r="D244" s="45" t="n">
        <v>1687.426</v>
      </c>
      <c r="E244" s="43" t="n">
        <v>179.13238</v>
      </c>
      <c r="F244" s="43" t="n">
        <v>48.62645301204819</v>
      </c>
      <c r="G244" s="43" t="n">
        <v>477.9482</v>
      </c>
      <c r="H244" s="43" t="n">
        <v>357.1266</v>
      </c>
      <c r="I244" s="42" t="n">
        <v>50</v>
      </c>
      <c r="J244" s="42" t="n">
        <v>83</v>
      </c>
    </row>
    <row r="245">
      <c r="A245" s="41" t="n">
        <v>46021</v>
      </c>
      <c r="B245" s="42" t="inlineStr">
        <is>
          <t>Tuesday</t>
        </is>
      </c>
      <c r="C245" s="45" t="n">
        <v>3352.578</v>
      </c>
      <c r="D245" s="45" t="n">
        <v>407.634</v>
      </c>
      <c r="E245" s="43" t="n">
        <v>200.5486450704225</v>
      </c>
      <c r="F245" s="43" t="n">
        <v>54.62884561403509</v>
      </c>
      <c r="G245" s="43" t="n">
        <v>474.6526</v>
      </c>
      <c r="H245" s="43" t="n">
        <v>145.7576</v>
      </c>
      <c r="I245" s="42" t="n">
        <v>71</v>
      </c>
      <c r="J245" s="42" t="n">
        <v>57</v>
      </c>
    </row>
    <row r="246">
      <c r="A246" s="41" t="n">
        <v>46022</v>
      </c>
      <c r="B246" s="42" t="inlineStr">
        <is>
          <t>Wednesday</t>
        </is>
      </c>
      <c r="C246" s="45" t="n">
        <v>2041.357</v>
      </c>
      <c r="D246" s="45" t="n">
        <v>1828.257</v>
      </c>
      <c r="E246" s="43" t="n">
        <v>177.4773420289855</v>
      </c>
      <c r="F246" s="43" t="n">
        <v>43.6856075</v>
      </c>
      <c r="G246" s="43" t="n">
        <v>394.6334</v>
      </c>
      <c r="H246" s="43" t="n">
        <v>178.1884</v>
      </c>
      <c r="I246" s="42" t="n">
        <v>69</v>
      </c>
      <c r="J246" s="42" t="n">
        <v>80</v>
      </c>
    </row>
    <row r="247">
      <c r="A247" s="41" t="n">
        <v>46023</v>
      </c>
      <c r="B247" s="42" t="inlineStr">
        <is>
          <t>Thursday</t>
        </is>
      </c>
      <c r="C247" s="45" t="n">
        <v>1515.92</v>
      </c>
      <c r="D247" s="45" t="n">
        <v>818.708</v>
      </c>
      <c r="E247" s="43" t="n">
        <v>154.9790547945206</v>
      </c>
      <c r="F247" s="43" t="n">
        <v>47.80271428571428</v>
      </c>
      <c r="G247" s="43" t="n">
        <v>263.3354</v>
      </c>
      <c r="H247" s="43" t="n">
        <v>86.08799999999999</v>
      </c>
      <c r="I247" s="42" t="n">
        <v>73</v>
      </c>
      <c r="J247" s="42" t="n">
        <v>63</v>
      </c>
    </row>
    <row r="248">
      <c r="A248" s="41" t="n">
        <v>46024</v>
      </c>
      <c r="B248" s="42" t="inlineStr">
        <is>
          <t>Friday</t>
        </is>
      </c>
      <c r="C248" s="45" t="n">
        <v>2236.758</v>
      </c>
      <c r="D248" s="45" t="n">
        <v>239.766</v>
      </c>
      <c r="E248" s="43" t="n">
        <v>187.404676056338</v>
      </c>
      <c r="F248" s="43" t="n">
        <v>66.38842142857143</v>
      </c>
      <c r="G248" s="43" t="n">
        <v>475.4852</v>
      </c>
      <c r="H248" s="43" t="n">
        <v>453.0556</v>
      </c>
      <c r="I248" s="42" t="n">
        <v>71</v>
      </c>
      <c r="J248" s="42" t="n">
        <v>56</v>
      </c>
    </row>
    <row r="249">
      <c r="A249" s="41" t="n">
        <v>46025</v>
      </c>
      <c r="B249" s="42" t="inlineStr">
        <is>
          <t>Saturday</t>
        </is>
      </c>
      <c r="C249" s="45" t="n">
        <v>2006.117</v>
      </c>
      <c r="D249" s="45" t="n">
        <v>1178.893</v>
      </c>
      <c r="E249" s="43" t="n">
        <v>178.2185127272727</v>
      </c>
      <c r="F249" s="43" t="n">
        <v>47.59842820512821</v>
      </c>
      <c r="G249" s="43" t="n">
        <v>355.538</v>
      </c>
      <c r="H249" s="43" t="n">
        <v>229.7336</v>
      </c>
      <c r="I249" s="42" t="n">
        <v>55</v>
      </c>
      <c r="J249" s="42" t="n">
        <v>78</v>
      </c>
    </row>
    <row r="250">
      <c r="A250" s="41" t="n">
        <v>46026</v>
      </c>
      <c r="B250" s="42" t="inlineStr">
        <is>
          <t>Sunday</t>
        </is>
      </c>
      <c r="C250" s="45" t="n">
        <v>1237.393</v>
      </c>
      <c r="D250" s="45" t="n">
        <v>567.145</v>
      </c>
      <c r="E250" s="43" t="n">
        <v>159.9350871794872</v>
      </c>
      <c r="F250" s="43" t="n">
        <v>60.52155820895522</v>
      </c>
      <c r="G250" s="43" t="n">
        <v>300.9048</v>
      </c>
      <c r="H250" s="43" t="n">
        <v>368.7404</v>
      </c>
      <c r="I250" s="42" t="n">
        <v>78</v>
      </c>
      <c r="J250" s="42" t="n">
        <v>67</v>
      </c>
    </row>
    <row r="251">
      <c r="A251" s="41" t="n">
        <v>46027</v>
      </c>
      <c r="B251" s="42" t="inlineStr">
        <is>
          <t>Monday</t>
        </is>
      </c>
      <c r="C251" s="45" t="n">
        <v>3972.846</v>
      </c>
      <c r="D251" s="45" t="n">
        <v>544.509</v>
      </c>
      <c r="E251" s="43" t="n">
        <v>215.1362608695652</v>
      </c>
      <c r="F251" s="43" t="n">
        <v>58.21028928571429</v>
      </c>
      <c r="G251" s="43" t="n">
        <v>476.8398</v>
      </c>
      <c r="H251" s="43" t="n">
        <v>467.5738</v>
      </c>
      <c r="I251" s="42" t="n">
        <v>69</v>
      </c>
      <c r="J251" s="42" t="n">
        <v>56</v>
      </c>
    </row>
    <row r="252">
      <c r="A252" s="41" t="n">
        <v>46028</v>
      </c>
      <c r="B252" s="42" t="inlineStr">
        <is>
          <t>Tuesday</t>
        </is>
      </c>
      <c r="C252" s="45" t="n">
        <v>2357.473</v>
      </c>
      <c r="D252" s="45" t="n">
        <v>970.245</v>
      </c>
      <c r="E252" s="43" t="n">
        <v>204.223991780822</v>
      </c>
      <c r="F252" s="43" t="n">
        <v>56.72781</v>
      </c>
      <c r="G252" s="43" t="n">
        <v>495.7312</v>
      </c>
      <c r="H252" s="43" t="n">
        <v>119.9336</v>
      </c>
      <c r="I252" s="42" t="n">
        <v>73</v>
      </c>
      <c r="J252" s="42" t="n">
        <v>60</v>
      </c>
    </row>
    <row r="253">
      <c r="A253" s="41" t="n">
        <v>46029</v>
      </c>
      <c r="B253" s="42" t="inlineStr">
        <is>
          <t>Wednesday</t>
        </is>
      </c>
      <c r="C253" s="45" t="n">
        <v>1132.713</v>
      </c>
      <c r="D253" s="45" t="n">
        <v>1092.892</v>
      </c>
      <c r="E253" s="43" t="n">
        <v>182.123594520548</v>
      </c>
      <c r="F253" s="43" t="n">
        <v>48.69005714285714</v>
      </c>
      <c r="G253" s="43" t="n">
        <v>345.1742</v>
      </c>
      <c r="H253" s="43" t="n">
        <v>136.82</v>
      </c>
      <c r="I253" s="42" t="n">
        <v>73</v>
      </c>
      <c r="J253" s="42" t="n">
        <v>63</v>
      </c>
    </row>
    <row r="254">
      <c r="A254" s="41" t="n">
        <v>46030</v>
      </c>
      <c r="B254" s="42" t="inlineStr">
        <is>
          <t>Thursday</t>
        </is>
      </c>
      <c r="C254" s="45" t="n">
        <v>11483.781</v>
      </c>
      <c r="D254" s="45" t="n">
        <v>375.098</v>
      </c>
      <c r="E254" s="43" t="n">
        <v>270.6049636363637</v>
      </c>
      <c r="F254" s="43" t="n">
        <v>62.1215593220339</v>
      </c>
      <c r="G254" s="43" t="n">
        <v>457.6418</v>
      </c>
      <c r="H254" s="43" t="n">
        <v>81.2</v>
      </c>
      <c r="I254" s="42" t="n">
        <v>77</v>
      </c>
      <c r="J254" s="42" t="n">
        <v>59</v>
      </c>
    </row>
    <row r="255">
      <c r="A255" s="41" t="n">
        <v>46031</v>
      </c>
      <c r="B255" s="42" t="inlineStr">
        <is>
          <t>Friday</t>
        </is>
      </c>
      <c r="C255" s="45" t="n">
        <v>1265.336</v>
      </c>
      <c r="D255" s="45" t="n">
        <v>571.946</v>
      </c>
      <c r="E255" s="43" t="n">
        <v>168.5789811764706</v>
      </c>
      <c r="F255" s="43" t="n">
        <v>62.47573766233766</v>
      </c>
      <c r="G255" s="43" t="n">
        <v>490.6558</v>
      </c>
      <c r="H255" s="43" t="n">
        <v>169.6812</v>
      </c>
      <c r="I255" s="42" t="n">
        <v>85</v>
      </c>
      <c r="J255" s="42" t="n">
        <v>77</v>
      </c>
    </row>
    <row r="256">
      <c r="A256" s="41" t="n">
        <v>46032</v>
      </c>
      <c r="B256" s="42" t="inlineStr">
        <is>
          <t>Saturday</t>
        </is>
      </c>
      <c r="C256" s="45" t="n">
        <v>1076.753</v>
      </c>
      <c r="D256" s="45" t="n">
        <v>412.553</v>
      </c>
      <c r="E256" s="43" t="n">
        <v>171.2664594594595</v>
      </c>
      <c r="F256" s="43" t="n">
        <v>60.187712</v>
      </c>
      <c r="G256" s="43" t="n">
        <v>434.2430000000001</v>
      </c>
      <c r="H256" s="43" t="n">
        <v>80</v>
      </c>
      <c r="I256" s="42" t="n">
        <v>74</v>
      </c>
      <c r="J256" s="42" t="n">
        <v>75</v>
      </c>
    </row>
    <row r="257">
      <c r="A257" s="41" t="n">
        <v>46033</v>
      </c>
      <c r="B257" s="42" t="inlineStr">
        <is>
          <t>Sunday</t>
        </is>
      </c>
      <c r="C257" s="45" t="n">
        <v>3165.804</v>
      </c>
      <c r="D257" s="45" t="n">
        <v>1094.465</v>
      </c>
      <c r="E257" s="43" t="n">
        <v>175.4567432432432</v>
      </c>
      <c r="F257" s="43" t="n">
        <v>51.02262278481013</v>
      </c>
      <c r="G257" s="43" t="n">
        <v>496.4446</v>
      </c>
      <c r="H257" s="43" t="n">
        <v>269.2468</v>
      </c>
      <c r="I257" s="42" t="n">
        <v>74</v>
      </c>
      <c r="J257" s="42" t="n">
        <v>79</v>
      </c>
    </row>
    <row r="258">
      <c r="A258" s="41" t="n">
        <v>46034</v>
      </c>
      <c r="B258" s="42" t="inlineStr">
        <is>
          <t>Monday</t>
        </is>
      </c>
      <c r="C258" s="45" t="n">
        <v>1684.599</v>
      </c>
      <c r="D258" s="45" t="n">
        <v>924.2569999999999</v>
      </c>
      <c r="E258" s="43" t="n">
        <v>194.828306329114</v>
      </c>
      <c r="F258" s="43" t="n">
        <v>46.73402388059701</v>
      </c>
      <c r="G258" s="43" t="n">
        <v>433.3214</v>
      </c>
      <c r="H258" s="43" t="n">
        <v>82</v>
      </c>
      <c r="I258" s="42" t="n">
        <v>79</v>
      </c>
      <c r="J258" s="42" t="n">
        <v>67</v>
      </c>
    </row>
    <row r="259">
      <c r="A259" s="41" t="n">
        <v>46035</v>
      </c>
      <c r="B259" s="42" t="inlineStr">
        <is>
          <t>Tuesday</t>
        </is>
      </c>
      <c r="C259" s="45" t="n">
        <v>1894.881</v>
      </c>
      <c r="D259" s="45" t="n">
        <v>73.113</v>
      </c>
      <c r="E259" s="43" t="n">
        <v>240.9032329113924</v>
      </c>
      <c r="F259" s="43" t="n">
        <v>74.18908846153846</v>
      </c>
      <c r="G259" s="43" t="n">
        <v>487.0638</v>
      </c>
      <c r="H259" s="43" t="n">
        <v>82</v>
      </c>
      <c r="I259" s="42" t="n">
        <v>79</v>
      </c>
      <c r="J259" s="42" t="n">
        <v>52</v>
      </c>
    </row>
    <row r="260">
      <c r="A260" s="41" t="n">
        <v>46036</v>
      </c>
      <c r="B260" s="42" t="inlineStr">
        <is>
          <t>Wednesday</t>
        </is>
      </c>
      <c r="C260" s="45" t="n">
        <v>1707.34</v>
      </c>
      <c r="D260" s="45" t="n">
        <v>546.745</v>
      </c>
      <c r="E260" s="43" t="n">
        <v>209.5406972222222</v>
      </c>
      <c r="F260" s="43" t="n">
        <v>64.44058333333334</v>
      </c>
      <c r="G260" s="43" t="n">
        <v>426.165</v>
      </c>
      <c r="H260" s="43" t="n">
        <v>172.5106</v>
      </c>
      <c r="I260" s="42" t="n">
        <v>72</v>
      </c>
      <c r="J260" s="42" t="n">
        <v>72</v>
      </c>
    </row>
    <row r="261">
      <c r="A261" s="41" t="n">
        <v>46037</v>
      </c>
      <c r="B261" s="42" t="inlineStr">
        <is>
          <t>Thursday</t>
        </is>
      </c>
      <c r="C261" s="45" t="n">
        <v>484.805</v>
      </c>
      <c r="D261" s="45" t="n">
        <v>493.435</v>
      </c>
      <c r="E261" s="43" t="n">
        <v>186.5419222222222</v>
      </c>
      <c r="F261" s="43" t="n">
        <v>71.2488265060241</v>
      </c>
      <c r="G261" s="43" t="n">
        <v>418.8398</v>
      </c>
      <c r="H261" s="43" t="n">
        <v>314.355</v>
      </c>
      <c r="I261" s="42" t="n">
        <v>72</v>
      </c>
      <c r="J261" s="42" t="n">
        <v>83</v>
      </c>
    </row>
    <row r="262">
      <c r="A262" s="41" t="n">
        <v>46038</v>
      </c>
      <c r="B262" s="42" t="inlineStr">
        <is>
          <t>Friday</t>
        </is>
      </c>
      <c r="C262" s="45" t="n">
        <v>1191.573</v>
      </c>
      <c r="D262" s="45" t="n">
        <v>304.875</v>
      </c>
      <c r="E262" s="43" t="n">
        <v>186.4633890410959</v>
      </c>
      <c r="F262" s="43" t="n">
        <v>74.6911890410959</v>
      </c>
      <c r="G262" s="43" t="n">
        <v>296.221</v>
      </c>
      <c r="H262" s="43" t="n">
        <v>404.3976</v>
      </c>
      <c r="I262" s="42" t="n">
        <v>73</v>
      </c>
      <c r="J262" s="42" t="n">
        <v>73</v>
      </c>
    </row>
    <row r="263">
      <c r="A263" s="41" t="n">
        <v>46039</v>
      </c>
      <c r="B263" s="42" t="inlineStr">
        <is>
          <t>Saturday</t>
        </is>
      </c>
      <c r="C263" s="45" t="n">
        <v>3606.297</v>
      </c>
      <c r="D263" s="45" t="n">
        <v>268.555</v>
      </c>
      <c r="E263" s="43" t="n">
        <v>212.8992320987655</v>
      </c>
      <c r="F263" s="43" t="n">
        <v>75.41714339622642</v>
      </c>
      <c r="G263" s="43" t="n">
        <v>457.7604</v>
      </c>
      <c r="H263" s="43" t="n">
        <v>457.9554</v>
      </c>
      <c r="I263" s="42" t="n">
        <v>81</v>
      </c>
      <c r="J263" s="42" t="n">
        <v>53</v>
      </c>
    </row>
    <row r="264">
      <c r="A264" s="41" t="n">
        <v>46040</v>
      </c>
      <c r="B264" s="42" t="inlineStr">
        <is>
          <t>Sunday</t>
        </is>
      </c>
      <c r="C264" s="45" t="n">
        <v>2859.628</v>
      </c>
      <c r="D264" s="45" t="n">
        <v>294.032</v>
      </c>
      <c r="E264" s="43" t="n">
        <v>203.5133304347826</v>
      </c>
      <c r="F264" s="43" t="n">
        <v>93.89606206896552</v>
      </c>
      <c r="G264" s="43" t="n">
        <v>487.1434</v>
      </c>
      <c r="H264" s="43" t="n">
        <v>489.3684</v>
      </c>
      <c r="I264" s="42" t="n">
        <v>92</v>
      </c>
      <c r="J264" s="42" t="n">
        <v>58</v>
      </c>
    </row>
    <row r="265">
      <c r="A265" s="41" t="n">
        <v>46041</v>
      </c>
      <c r="B265" s="42" t="inlineStr">
        <is>
          <t>Monday</t>
        </is>
      </c>
      <c r="C265" s="45" t="n">
        <v>2453.007</v>
      </c>
      <c r="D265" s="45" t="n">
        <v>449.511</v>
      </c>
      <c r="E265" s="43" t="n">
        <v>220.0515662650602</v>
      </c>
      <c r="F265" s="43" t="n">
        <v>89.30241379310345</v>
      </c>
      <c r="G265" s="43" t="n">
        <v>450.0112</v>
      </c>
      <c r="H265" s="43" t="n">
        <v>455.1692</v>
      </c>
      <c r="I265" s="42" t="n">
        <v>83</v>
      </c>
      <c r="J265" s="42" t="n">
        <v>58</v>
      </c>
    </row>
    <row r="266">
      <c r="A266" s="41" t="n">
        <v>46042</v>
      </c>
      <c r="B266" s="42" t="inlineStr">
        <is>
          <t>Tuesday</t>
        </is>
      </c>
      <c r="C266" s="45" t="n">
        <v>3208.894</v>
      </c>
      <c r="D266" s="45" t="n">
        <v>1493.706</v>
      </c>
      <c r="E266" s="43" t="n">
        <v>301.8459095890411</v>
      </c>
      <c r="F266" s="43" t="n">
        <v>62.25010196078431</v>
      </c>
      <c r="G266" s="43" t="n">
        <v>496.3312</v>
      </c>
      <c r="H266" s="43" t="n">
        <v>346.2542</v>
      </c>
      <c r="I266" s="42" t="n">
        <v>73</v>
      </c>
      <c r="J266" s="42" t="n">
        <v>51</v>
      </c>
    </row>
    <row r="267">
      <c r="A267" s="41" t="n">
        <v>46043</v>
      </c>
      <c r="B267" s="42" t="inlineStr">
        <is>
          <t>Wednesday</t>
        </is>
      </c>
      <c r="C267" s="45" t="n">
        <v>9168.934999999999</v>
      </c>
      <c r="D267" s="45" t="n">
        <v>216.941</v>
      </c>
      <c r="E267" s="43" t="n">
        <v>242.2216753246753</v>
      </c>
      <c r="F267" s="43" t="n">
        <v>83.38794153846155</v>
      </c>
      <c r="G267" s="43" t="n">
        <v>463.4476</v>
      </c>
      <c r="H267" s="43" t="n">
        <v>200</v>
      </c>
      <c r="I267" s="42" t="n">
        <v>77</v>
      </c>
      <c r="J267" s="42" t="n">
        <v>65</v>
      </c>
    </row>
    <row r="268">
      <c r="A268" s="41" t="n">
        <v>46044</v>
      </c>
      <c r="B268" s="42" t="inlineStr">
        <is>
          <t>Thursday</t>
        </is>
      </c>
      <c r="C268" s="45" t="n">
        <v>1604.332</v>
      </c>
      <c r="D268" s="45" t="n">
        <v>868.077</v>
      </c>
      <c r="E268" s="43" t="n">
        <v>265.9840212121212</v>
      </c>
      <c r="F268" s="43" t="n">
        <v>83.68434999999999</v>
      </c>
      <c r="G268" s="43" t="n">
        <v>488.7692</v>
      </c>
      <c r="H268" s="43" t="n">
        <v>219.2894</v>
      </c>
      <c r="I268" s="42" t="n">
        <v>66</v>
      </c>
      <c r="J268" s="42" t="n">
        <v>72</v>
      </c>
    </row>
    <row r="269">
      <c r="A269" s="41" t="n">
        <v>46045</v>
      </c>
      <c r="B269" s="42" t="inlineStr">
        <is>
          <t>Friday</t>
        </is>
      </c>
      <c r="C269" s="45" t="n">
        <v>436.397</v>
      </c>
      <c r="D269" s="45" t="n">
        <v>851.0119999999999</v>
      </c>
      <c r="E269" s="43" t="n">
        <v>215.8524794871795</v>
      </c>
      <c r="F269" s="43" t="n">
        <v>73.78281123595505</v>
      </c>
      <c r="G269" s="43" t="n">
        <v>398.6664</v>
      </c>
      <c r="H269" s="43" t="n">
        <v>170.1736</v>
      </c>
      <c r="I269" s="42" t="n">
        <v>78</v>
      </c>
      <c r="J269" s="42" t="n">
        <v>89</v>
      </c>
    </row>
    <row r="270">
      <c r="A270" s="41" t="n">
        <v>46046</v>
      </c>
      <c r="B270" s="42" t="inlineStr">
        <is>
          <t>Saturday</t>
        </is>
      </c>
      <c r="C270" s="45" t="n">
        <v>2657.192</v>
      </c>
      <c r="D270" s="45" t="n">
        <v>54.52</v>
      </c>
      <c r="E270" s="43" t="n">
        <v>246.4963954022989</v>
      </c>
      <c r="F270" s="43" t="n">
        <v>69.33547</v>
      </c>
      <c r="G270" s="43" t="n">
        <v>484.8994</v>
      </c>
      <c r="H270" s="43" t="n">
        <v>82</v>
      </c>
      <c r="I270" s="42" t="n">
        <v>87</v>
      </c>
      <c r="J270" s="42" t="n">
        <v>40</v>
      </c>
    </row>
    <row r="271">
      <c r="A271" s="41" t="n">
        <v>46047</v>
      </c>
      <c r="B271" s="42" t="inlineStr">
        <is>
          <t>Sunday</t>
        </is>
      </c>
      <c r="C271" s="45" t="n">
        <v>2579.16</v>
      </c>
      <c r="D271" s="45" t="n">
        <v>321.205</v>
      </c>
      <c r="E271" s="43" t="n">
        <v>213.5444430379747</v>
      </c>
      <c r="F271" s="43" t="n">
        <v>75.49080967741935</v>
      </c>
      <c r="G271" s="43" t="n">
        <v>449.6204</v>
      </c>
      <c r="H271" s="43" t="n">
        <v>308.4982</v>
      </c>
      <c r="I271" s="42" t="n">
        <v>79</v>
      </c>
      <c r="J271" s="42" t="n">
        <v>62</v>
      </c>
    </row>
    <row r="272">
      <c r="A272" s="41" t="n">
        <v>46048</v>
      </c>
      <c r="B272" s="42" t="inlineStr">
        <is>
          <t>Monday</t>
        </is>
      </c>
      <c r="C272" s="45" t="n">
        <v>3225.446</v>
      </c>
      <c r="D272" s="45" t="n">
        <v>689.995</v>
      </c>
      <c r="E272" s="43" t="n">
        <v>225.8707</v>
      </c>
      <c r="F272" s="43" t="n">
        <v>70.58090632911393</v>
      </c>
      <c r="G272" s="43" t="n">
        <v>454.1318</v>
      </c>
      <c r="H272" s="43" t="n">
        <v>354.9006</v>
      </c>
      <c r="I272" s="42" t="n">
        <v>80</v>
      </c>
      <c r="J272" s="42" t="n">
        <v>79</v>
      </c>
    </row>
    <row r="273">
      <c r="A273" s="41" t="n">
        <v>46049</v>
      </c>
      <c r="B273" s="42" t="inlineStr">
        <is>
          <t>Tuesday</t>
        </is>
      </c>
      <c r="C273" s="45" t="n">
        <v>324.155</v>
      </c>
      <c r="D273" s="45" t="n">
        <v>1389.844</v>
      </c>
      <c r="E273" s="43" t="n">
        <v>220.7660625</v>
      </c>
      <c r="F273" s="43" t="n">
        <v>64.078768</v>
      </c>
      <c r="G273" s="43" t="n">
        <v>367.128</v>
      </c>
      <c r="H273" s="43" t="n">
        <v>295.9464</v>
      </c>
      <c r="I273" s="42" t="n">
        <v>64</v>
      </c>
      <c r="J273" s="42" t="n">
        <v>75</v>
      </c>
    </row>
    <row r="274">
      <c r="A274" s="41" t="n">
        <v>46050</v>
      </c>
      <c r="B274" s="42" t="inlineStr">
        <is>
          <t>Wednesday</t>
        </is>
      </c>
      <c r="C274" s="45" t="n">
        <v>347.234</v>
      </c>
      <c r="D274" s="45" t="n">
        <v>1234.509</v>
      </c>
      <c r="E274" s="43" t="n">
        <v>198.9345515151515</v>
      </c>
      <c r="F274" s="43" t="n">
        <v>48.17778352941177</v>
      </c>
      <c r="G274" s="43" t="n">
        <v>462.6576</v>
      </c>
      <c r="H274" s="43" t="n">
        <v>200</v>
      </c>
      <c r="I274" s="42" t="n">
        <v>66</v>
      </c>
      <c r="J274" s="42" t="n">
        <v>85</v>
      </c>
    </row>
    <row r="275">
      <c r="A275" s="41" t="n">
        <v>46051</v>
      </c>
      <c r="B275" s="42" t="inlineStr">
        <is>
          <t>Thursday</t>
        </is>
      </c>
      <c r="C275" s="45" t="n">
        <v>1905.55</v>
      </c>
      <c r="D275" s="45" t="n">
        <v>653.1950000000001</v>
      </c>
      <c r="E275" s="43" t="n">
        <v>211.3968815789474</v>
      </c>
      <c r="F275" s="43" t="n">
        <v>60.42828857142857</v>
      </c>
      <c r="G275" s="43" t="n">
        <v>453.8258</v>
      </c>
      <c r="H275" s="43" t="n">
        <v>150</v>
      </c>
      <c r="I275" s="42" t="n">
        <v>76</v>
      </c>
      <c r="J275" s="42" t="n">
        <v>70</v>
      </c>
    </row>
    <row r="276">
      <c r="A276" s="41" t="n">
        <v>46052</v>
      </c>
      <c r="B276" s="42" t="inlineStr">
        <is>
          <t>Friday</t>
        </is>
      </c>
      <c r="C276" s="45" t="n">
        <v>659.379</v>
      </c>
      <c r="D276" s="45" t="n">
        <v>1301.977</v>
      </c>
      <c r="E276" s="43" t="n">
        <v>193.7295217391304</v>
      </c>
      <c r="F276" s="43" t="n">
        <v>44.0205</v>
      </c>
      <c r="G276" s="43" t="n">
        <v>442.1578000000001</v>
      </c>
      <c r="H276" s="43" t="n">
        <v>100</v>
      </c>
      <c r="I276" s="42" t="n">
        <v>69</v>
      </c>
      <c r="J276" s="42" t="n">
        <v>84</v>
      </c>
    </row>
    <row r="277">
      <c r="A277" s="41" t="n">
        <v>46053</v>
      </c>
      <c r="B277" s="42" t="inlineStr">
        <is>
          <t>Saturday</t>
        </is>
      </c>
      <c r="C277" s="45" t="n">
        <v>4334.048</v>
      </c>
      <c r="D277" s="45" t="n">
        <v>193.945</v>
      </c>
      <c r="E277" s="43" t="n">
        <v>215.2857311111111</v>
      </c>
      <c r="F277" s="43" t="n">
        <v>75.46349696969696</v>
      </c>
      <c r="G277" s="43" t="n">
        <v>494.2326</v>
      </c>
      <c r="H277" s="43" t="n">
        <v>114.0412</v>
      </c>
      <c r="I277" s="42" t="n">
        <v>90</v>
      </c>
      <c r="J277" s="42" t="n">
        <v>66</v>
      </c>
    </row>
    <row r="278">
      <c r="A278" s="41" t="n">
        <v>46054</v>
      </c>
      <c r="B278" s="42" t="inlineStr">
        <is>
          <t>Sunday</t>
        </is>
      </c>
      <c r="C278" s="45" t="n">
        <v>1963.296</v>
      </c>
      <c r="D278" s="45" t="n">
        <v>478.78</v>
      </c>
      <c r="E278" s="43" t="n">
        <v>201.4141323943662</v>
      </c>
      <c r="F278" s="43" t="n">
        <v>60.2811303030303</v>
      </c>
      <c r="G278" s="43" t="n">
        <v>336.1862</v>
      </c>
      <c r="H278" s="43" t="n">
        <v>100</v>
      </c>
      <c r="I278" s="42" t="n">
        <v>71</v>
      </c>
      <c r="J278" s="42" t="n">
        <v>66</v>
      </c>
    </row>
    <row r="279">
      <c r="A279" s="41" t="n">
        <v>46055</v>
      </c>
      <c r="B279" s="42" t="inlineStr">
        <is>
          <t>Monday</t>
        </is>
      </c>
      <c r="C279" s="45" t="n">
        <v>840.813</v>
      </c>
      <c r="D279" s="45" t="n">
        <v>500.045</v>
      </c>
      <c r="E279" s="43" t="n">
        <v>206.683675</v>
      </c>
      <c r="F279" s="43" t="n">
        <v>61.70396338028169</v>
      </c>
      <c r="G279" s="43" t="n">
        <v>489.6462000000001</v>
      </c>
      <c r="H279" s="43" t="n">
        <v>100</v>
      </c>
      <c r="I279" s="42" t="n">
        <v>88</v>
      </c>
      <c r="J279" s="42" t="n">
        <v>71</v>
      </c>
    </row>
    <row r="280">
      <c r="A280" s="41" t="n">
        <v>46056</v>
      </c>
      <c r="B280" s="42" t="inlineStr">
        <is>
          <t>Tuesday</t>
        </is>
      </c>
      <c r="C280" s="45" t="n">
        <v>1377.516</v>
      </c>
      <c r="D280" s="45" t="n">
        <v>351.856</v>
      </c>
      <c r="E280" s="43" t="n">
        <v>203.7582955555555</v>
      </c>
      <c r="F280" s="43" t="n">
        <v>66.91793066666666</v>
      </c>
      <c r="G280" s="43" t="n">
        <v>426.3524000000001</v>
      </c>
      <c r="H280" s="43" t="n">
        <v>100.2</v>
      </c>
      <c r="I280" s="42" t="n">
        <v>90</v>
      </c>
      <c r="J280" s="42" t="n">
        <v>75</v>
      </c>
    </row>
    <row r="281">
      <c r="A281" s="41" t="n">
        <v>46057</v>
      </c>
      <c r="B281" s="42" t="inlineStr">
        <is>
          <t>Wednesday</t>
        </is>
      </c>
      <c r="C281" s="45" t="n">
        <v>578.451</v>
      </c>
      <c r="D281" s="45" t="n">
        <v>1778.132</v>
      </c>
      <c r="E281" s="43" t="n">
        <v>184.96587</v>
      </c>
      <c r="F281" s="43" t="n">
        <v>58.78256043956043</v>
      </c>
      <c r="G281" s="43" t="n">
        <v>460.6192</v>
      </c>
      <c r="H281" s="43" t="n">
        <v>424.6586</v>
      </c>
      <c r="I281" s="42" t="n">
        <v>60</v>
      </c>
      <c r="J281" s="42" t="n">
        <v>91</v>
      </c>
    </row>
    <row r="282">
      <c r="A282" s="41" t="n">
        <v>46058</v>
      </c>
      <c r="B282" s="42" t="inlineStr">
        <is>
          <t>Thursday</t>
        </is>
      </c>
      <c r="C282" s="45" t="n">
        <v>1222.908</v>
      </c>
      <c r="D282" s="45" t="n">
        <v>693.54</v>
      </c>
      <c r="E282" s="43" t="n">
        <v>210.43765</v>
      </c>
      <c r="F282" s="43" t="n">
        <v>61.18789818181817</v>
      </c>
      <c r="G282" s="43" t="n">
        <v>492.5514</v>
      </c>
      <c r="H282" s="43" t="n">
        <v>356.9016</v>
      </c>
      <c r="I282" s="42" t="n">
        <v>64</v>
      </c>
      <c r="J282" s="42" t="n">
        <v>55</v>
      </c>
    </row>
    <row r="283">
      <c r="A283" s="41" t="n">
        <v>46059</v>
      </c>
      <c r="B283" s="42" t="inlineStr">
        <is>
          <t>Friday</t>
        </is>
      </c>
      <c r="C283" s="45" t="n">
        <v>487.719</v>
      </c>
      <c r="D283" s="45" t="n">
        <v>1239.874</v>
      </c>
      <c r="E283" s="43" t="n">
        <v>193.2183973684211</v>
      </c>
      <c r="F283" s="43" t="n">
        <v>64.94824166666666</v>
      </c>
      <c r="G283" s="43" t="n">
        <v>469.8892</v>
      </c>
      <c r="H283" s="43" t="n">
        <v>374.4074</v>
      </c>
      <c r="I283" s="42" t="n">
        <v>76</v>
      </c>
      <c r="J283" s="42" t="n">
        <v>72</v>
      </c>
    </row>
    <row r="284">
      <c r="A284" s="41" t="n">
        <v>46060</v>
      </c>
      <c r="B284" s="42" t="inlineStr">
        <is>
          <t>Saturday</t>
        </is>
      </c>
      <c r="C284" s="45" t="n">
        <v>868.1560000000001</v>
      </c>
      <c r="D284" s="45" t="n">
        <v>269.57</v>
      </c>
      <c r="E284" s="43" t="n">
        <v>184.2058649350649</v>
      </c>
      <c r="F284" s="43" t="n">
        <v>74.24899743589745</v>
      </c>
      <c r="G284" s="43" t="n">
        <v>379.9188</v>
      </c>
      <c r="H284" s="43" t="n">
        <v>140</v>
      </c>
      <c r="I284" s="42" t="n">
        <v>77</v>
      </c>
      <c r="J284" s="42" t="n">
        <v>78</v>
      </c>
    </row>
    <row r="285">
      <c r="A285" s="41" t="n">
        <v>46061</v>
      </c>
      <c r="B285" s="42" t="inlineStr">
        <is>
          <t>Sunday</t>
        </is>
      </c>
      <c r="C285" s="45" t="n">
        <v>784.914</v>
      </c>
      <c r="D285" s="45" t="n">
        <v>1231.033</v>
      </c>
      <c r="E285" s="43" t="n">
        <v>148.9744405797101</v>
      </c>
      <c r="F285" s="43" t="n">
        <v>50.28195172413795</v>
      </c>
      <c r="G285" s="43" t="n">
        <v>190.0794</v>
      </c>
      <c r="H285" s="43" t="n">
        <v>252.6996</v>
      </c>
      <c r="I285" s="42" t="n">
        <v>69</v>
      </c>
      <c r="J285" s="42" t="n">
        <v>87</v>
      </c>
    </row>
    <row r="286">
      <c r="A286" s="41" t="n">
        <v>46062</v>
      </c>
      <c r="B286" s="42" t="inlineStr">
        <is>
          <t>Monday</t>
        </is>
      </c>
      <c r="C286" s="45" t="n">
        <v>3060.739</v>
      </c>
      <c r="D286" s="45" t="n">
        <v>1314.991</v>
      </c>
      <c r="E286" s="43" t="n">
        <v>229.2835333333334</v>
      </c>
      <c r="F286" s="43" t="n">
        <v>59.64323437500001</v>
      </c>
      <c r="G286" s="43" t="n">
        <v>408.2782</v>
      </c>
      <c r="H286" s="43" t="n">
        <v>438.7310000000001</v>
      </c>
      <c r="I286" s="42" t="n">
        <v>72</v>
      </c>
      <c r="J286" s="42" t="n">
        <v>64</v>
      </c>
    </row>
    <row r="287">
      <c r="A287" s="41" t="n">
        <v>46063</v>
      </c>
      <c r="B287" s="42" t="inlineStr">
        <is>
          <t>Tuesday</t>
        </is>
      </c>
      <c r="C287" s="45" t="n">
        <v>2941.045</v>
      </c>
      <c r="D287" s="45" t="n">
        <v>247.715</v>
      </c>
      <c r="E287" s="43" t="n">
        <v>214.9858481927711</v>
      </c>
      <c r="F287" s="43" t="n">
        <v>68.5071346153846</v>
      </c>
      <c r="G287" s="43" t="n">
        <v>497.0752000000001</v>
      </c>
      <c r="H287" s="43" t="n">
        <v>100.2</v>
      </c>
      <c r="I287" s="42" t="n">
        <v>83</v>
      </c>
      <c r="J287" s="42" t="n">
        <v>52</v>
      </c>
    </row>
    <row r="288">
      <c r="A288" s="41" t="n">
        <v>46064</v>
      </c>
      <c r="B288" s="42" t="inlineStr">
        <is>
          <t>Wednesday</t>
        </is>
      </c>
      <c r="C288" s="45" t="n">
        <v>726.115</v>
      </c>
      <c r="D288" s="45" t="n">
        <v>1792.551</v>
      </c>
      <c r="E288" s="43" t="n">
        <v>167.4575341772152</v>
      </c>
      <c r="F288" s="43" t="n">
        <v>56.20464675324676</v>
      </c>
      <c r="G288" s="43" t="n">
        <v>387.5255999999999</v>
      </c>
      <c r="H288" s="43" t="n">
        <v>222.9214</v>
      </c>
      <c r="I288" s="42" t="n">
        <v>79</v>
      </c>
      <c r="J288" s="42" t="n">
        <v>77</v>
      </c>
    </row>
    <row r="289">
      <c r="A289" s="41" t="n">
        <v>46065</v>
      </c>
      <c r="B289" s="42" t="inlineStr">
        <is>
          <t>Thursday</t>
        </is>
      </c>
      <c r="C289" s="45" t="n">
        <v>341.417</v>
      </c>
      <c r="D289" s="45" t="n">
        <v>2270.505</v>
      </c>
      <c r="E289" s="43" t="n">
        <v>147.9234</v>
      </c>
      <c r="F289" s="43" t="n">
        <v>64.58128139534884</v>
      </c>
      <c r="G289" s="43" t="n">
        <v>388.2652000000001</v>
      </c>
      <c r="H289" s="43" t="n">
        <v>410.321</v>
      </c>
      <c r="I289" s="42" t="n">
        <v>48</v>
      </c>
      <c r="J289" s="42" t="n">
        <v>86</v>
      </c>
    </row>
    <row r="290">
      <c r="A290" s="41" t="n">
        <v>46066</v>
      </c>
      <c r="B290" s="42" t="inlineStr">
        <is>
          <t>Friday</t>
        </is>
      </c>
      <c r="C290" s="45" t="n">
        <v>190.615</v>
      </c>
      <c r="D290" s="45" t="n">
        <v>553.198</v>
      </c>
      <c r="E290" s="43" t="n">
        <v>143.6041014084506</v>
      </c>
      <c r="F290" s="43" t="n">
        <v>55.33790361445782</v>
      </c>
      <c r="G290" s="43" t="n">
        <v>459.5189999999999</v>
      </c>
      <c r="H290" s="43" t="n">
        <v>222.5848</v>
      </c>
      <c r="I290" s="42" t="n">
        <v>71</v>
      </c>
      <c r="J290" s="42" t="n">
        <v>83</v>
      </c>
    </row>
    <row r="291">
      <c r="A291" s="41" t="n">
        <v>46067</v>
      </c>
      <c r="B291" s="42" t="inlineStr">
        <is>
          <t>Saturday</t>
        </is>
      </c>
      <c r="C291" s="45" t="n">
        <v>388.378</v>
      </c>
      <c r="D291" s="45" t="n">
        <v>3141.471</v>
      </c>
      <c r="E291" s="43" t="n">
        <v>139.95191875</v>
      </c>
      <c r="F291" s="43" t="n">
        <v>49.30321176470589</v>
      </c>
      <c r="G291" s="43" t="n">
        <v>463.0207999999999</v>
      </c>
      <c r="H291" s="43" t="n">
        <v>354.669</v>
      </c>
      <c r="I291" s="42" t="n">
        <v>64</v>
      </c>
      <c r="J291" s="42" t="n">
        <v>85</v>
      </c>
    </row>
    <row r="292">
      <c r="A292" s="41" t="n">
        <v>46068</v>
      </c>
      <c r="B292" s="42" t="inlineStr">
        <is>
          <t>Sunday</t>
        </is>
      </c>
      <c r="C292" s="45" t="n">
        <v>5488.812</v>
      </c>
      <c r="D292" s="45" t="n">
        <v>748.067</v>
      </c>
      <c r="E292" s="43" t="n">
        <v>138.0995</v>
      </c>
      <c r="F292" s="43" t="n">
        <v>63.91219245283019</v>
      </c>
      <c r="G292" s="43" t="n">
        <v>470.2706</v>
      </c>
      <c r="H292" s="43" t="n">
        <v>305.5916</v>
      </c>
      <c r="I292" s="42" t="n">
        <v>78</v>
      </c>
      <c r="J292" s="42" t="n">
        <v>53</v>
      </c>
    </row>
    <row r="293">
      <c r="A293" s="41" t="n">
        <v>46069</v>
      </c>
      <c r="B293" s="42" t="inlineStr">
        <is>
          <t>Monday</t>
        </is>
      </c>
      <c r="C293" s="45" t="n">
        <v>515.8200000000001</v>
      </c>
      <c r="D293" s="45" t="n">
        <v>2149.205</v>
      </c>
      <c r="E293" s="43" t="n">
        <v>189.5845265306122</v>
      </c>
      <c r="F293" s="43" t="n">
        <v>67.17801265822784</v>
      </c>
      <c r="G293" s="43" t="n">
        <v>487.4434</v>
      </c>
      <c r="H293" s="43" t="n">
        <v>440.4086</v>
      </c>
      <c r="I293" s="42" t="n">
        <v>49</v>
      </c>
      <c r="J293" s="42" t="n">
        <v>79</v>
      </c>
    </row>
    <row r="294">
      <c r="A294" s="41" t="n">
        <v>46070</v>
      </c>
      <c r="B294" s="42" t="inlineStr">
        <is>
          <t>Tuesday</t>
        </is>
      </c>
      <c r="C294" s="45" t="n">
        <v>2390.019</v>
      </c>
      <c r="D294" s="45" t="n">
        <v>140.788</v>
      </c>
      <c r="E294" s="43" t="n">
        <v>186.682202247191</v>
      </c>
      <c r="F294" s="43" t="n">
        <v>81.93951914893616</v>
      </c>
      <c r="G294" s="43" t="n">
        <v>459.1492</v>
      </c>
      <c r="H294" s="43" t="n">
        <v>435.0556</v>
      </c>
      <c r="I294" s="42" t="n">
        <v>89</v>
      </c>
      <c r="J294" s="42" t="n">
        <v>47</v>
      </c>
    </row>
    <row r="295">
      <c r="A295" s="41" t="n">
        <v>46071</v>
      </c>
      <c r="B295" s="42" t="inlineStr">
        <is>
          <t>Wednesday</t>
        </is>
      </c>
      <c r="C295" s="45" t="n">
        <v>2302.814</v>
      </c>
      <c r="D295" s="45" t="n">
        <v>856.711</v>
      </c>
      <c r="E295" s="43" t="n">
        <v>151.3095893333333</v>
      </c>
      <c r="F295" s="43" t="n">
        <v>50.34287272727272</v>
      </c>
      <c r="G295" s="43" t="n">
        <v>256.8912</v>
      </c>
      <c r="H295" s="43" t="n">
        <v>172.6676</v>
      </c>
      <c r="I295" s="42" t="n">
        <v>75</v>
      </c>
      <c r="J295" s="42" t="n">
        <v>66</v>
      </c>
    </row>
    <row r="296">
      <c r="A296" s="41" t="n">
        <v>46072</v>
      </c>
      <c r="B296" s="42" t="inlineStr">
        <is>
          <t>Thursday</t>
        </is>
      </c>
      <c r="C296" s="45" t="n">
        <v>418.626</v>
      </c>
      <c r="D296" s="45" t="n">
        <v>1559.62</v>
      </c>
      <c r="E296" s="43" t="n">
        <v>145.2042166666667</v>
      </c>
      <c r="F296" s="43" t="n">
        <v>50.88283555555555</v>
      </c>
      <c r="G296" s="43" t="n">
        <v>274.3324</v>
      </c>
      <c r="H296" s="43" t="n">
        <v>317.0434</v>
      </c>
      <c r="I296" s="42" t="n">
        <v>60</v>
      </c>
      <c r="J296" s="42" t="n">
        <v>90</v>
      </c>
    </row>
    <row r="297">
      <c r="A297" s="41" t="n">
        <v>46073</v>
      </c>
      <c r="B297" s="42" t="inlineStr">
        <is>
          <t>Friday</t>
        </is>
      </c>
      <c r="C297" s="45" t="n">
        <v>529.3679999999999</v>
      </c>
      <c r="D297" s="45" t="n">
        <v>2307.839</v>
      </c>
      <c r="E297" s="43" t="n">
        <v>165.9854226415094</v>
      </c>
      <c r="F297" s="43" t="n">
        <v>55.04027857142857</v>
      </c>
      <c r="G297" s="43" t="n">
        <v>475.3052</v>
      </c>
      <c r="H297" s="43" t="n">
        <v>431.4212000000001</v>
      </c>
      <c r="I297" s="42" t="n">
        <v>53</v>
      </c>
      <c r="J297" s="42" t="n">
        <v>84</v>
      </c>
    </row>
    <row r="298">
      <c r="A298" s="41" t="n">
        <v>46074</v>
      </c>
      <c r="B298" s="42" t="inlineStr">
        <is>
          <t>Saturday</t>
        </is>
      </c>
      <c r="C298" s="45" t="n">
        <v>2743.137</v>
      </c>
      <c r="D298" s="45" t="n">
        <v>301.238</v>
      </c>
      <c r="E298" s="43" t="n">
        <v>163.2568421052631</v>
      </c>
      <c r="F298" s="43" t="n">
        <v>49.66612</v>
      </c>
      <c r="G298" s="43" t="n">
        <v>493.5100000000001</v>
      </c>
      <c r="H298" s="43" t="n">
        <v>80.00000000000001</v>
      </c>
      <c r="I298" s="42" t="n">
        <v>76</v>
      </c>
      <c r="J298" s="42" t="n">
        <v>60</v>
      </c>
    </row>
    <row r="299">
      <c r="A299" s="41" t="n">
        <v>46075</v>
      </c>
      <c r="B299" s="42" t="inlineStr">
        <is>
          <t>Sunday</t>
        </is>
      </c>
      <c r="C299" s="45" t="n">
        <v>999.3920000000001</v>
      </c>
      <c r="D299" s="45" t="n">
        <v>1840.296</v>
      </c>
      <c r="E299" s="43" t="n">
        <v>130.6559587301587</v>
      </c>
      <c r="F299" s="43" t="n">
        <v>61.04263571428572</v>
      </c>
      <c r="G299" s="43" t="n">
        <v>365.0246</v>
      </c>
      <c r="H299" s="43" t="n">
        <v>483.7358</v>
      </c>
      <c r="I299" s="42" t="n">
        <v>63</v>
      </c>
      <c r="J299" s="42" t="n">
        <v>84</v>
      </c>
    </row>
    <row r="300">
      <c r="A300" s="41" t="n">
        <v>46076</v>
      </c>
      <c r="B300" s="42" t="inlineStr">
        <is>
          <t>Monday</t>
        </is>
      </c>
      <c r="C300" s="45" t="n">
        <v>129.803</v>
      </c>
      <c r="D300" s="45" t="n">
        <v>2259.629</v>
      </c>
      <c r="E300" s="43" t="n">
        <v>107.2348857142857</v>
      </c>
      <c r="F300" s="43" t="n">
        <v>53.48590217391304</v>
      </c>
      <c r="G300" s="43" t="n">
        <v>194.2714</v>
      </c>
      <c r="H300" s="43" t="n">
        <v>489.951</v>
      </c>
      <c r="I300" s="42" t="n">
        <v>56</v>
      </c>
      <c r="J300" s="42" t="n">
        <v>92</v>
      </c>
    </row>
    <row r="301">
      <c r="A301" s="41" t="n">
        <v>46077</v>
      </c>
      <c r="B301" s="42" t="inlineStr">
        <is>
          <t>Tuesday</t>
        </is>
      </c>
      <c r="C301" s="45" t="n">
        <v>1002.603</v>
      </c>
      <c r="D301" s="45" t="n">
        <v>2237.53</v>
      </c>
      <c r="E301" s="43" t="n">
        <v>156.6423435897436</v>
      </c>
      <c r="F301" s="43" t="n">
        <v>33.8271012345679</v>
      </c>
      <c r="G301" s="43" t="n">
        <v>490.0546000000001</v>
      </c>
      <c r="H301" s="43" t="n">
        <v>100</v>
      </c>
      <c r="I301" s="42" t="n">
        <v>78</v>
      </c>
      <c r="J301" s="42" t="n">
        <v>81</v>
      </c>
    </row>
    <row r="302">
      <c r="A302" s="41" t="n">
        <v>46078</v>
      </c>
      <c r="B302" s="42" t="inlineStr">
        <is>
          <t>Wednesday</t>
        </is>
      </c>
      <c r="C302" s="45" t="n">
        <v>422.557</v>
      </c>
      <c r="D302" s="45" t="n">
        <v>2528.049</v>
      </c>
      <c r="E302" s="43" t="n">
        <v>135.5250459459459</v>
      </c>
      <c r="F302" s="43" t="n">
        <v>46.02610697674419</v>
      </c>
      <c r="G302" s="43" t="n">
        <v>477.1144000000001</v>
      </c>
      <c r="H302" s="43" t="n">
        <v>180.5724</v>
      </c>
      <c r="I302" s="42" t="n">
        <v>74</v>
      </c>
      <c r="J302" s="42" t="n">
        <v>86</v>
      </c>
    </row>
    <row r="303">
      <c r="A303" s="41" t="n">
        <v>46079</v>
      </c>
      <c r="B303" s="42" t="inlineStr">
        <is>
          <t>Thursday</t>
        </is>
      </c>
      <c r="C303" s="45" t="n">
        <v>681.574</v>
      </c>
      <c r="D303" s="45" t="n">
        <v>2889.737</v>
      </c>
      <c r="E303" s="43" t="n">
        <v>143.2254540540541</v>
      </c>
      <c r="F303" s="43" t="n">
        <v>61.9910888888889</v>
      </c>
      <c r="G303" s="43" t="n">
        <v>327.3122</v>
      </c>
      <c r="H303" s="43" t="n">
        <v>382.0534</v>
      </c>
      <c r="I303" s="42" t="n">
        <v>74</v>
      </c>
      <c r="J303" s="42" t="n">
        <v>81</v>
      </c>
    </row>
    <row r="304">
      <c r="A304" s="41" t="n">
        <v>46080</v>
      </c>
      <c r="B304" s="42" t="inlineStr">
        <is>
          <t>Friday</t>
        </is>
      </c>
      <c r="C304" s="45" t="n">
        <v>692.201</v>
      </c>
      <c r="D304" s="45" t="n">
        <v>2081.185</v>
      </c>
      <c r="E304" s="43" t="n">
        <v>158.271478125</v>
      </c>
      <c r="F304" s="43" t="n">
        <v>100.2058529411764</v>
      </c>
      <c r="G304" s="43" t="n">
        <v>328.0586</v>
      </c>
      <c r="H304" s="43" t="n">
        <v>472.9852</v>
      </c>
      <c r="I304" s="42" t="n">
        <v>64</v>
      </c>
      <c r="J304" s="42" t="n">
        <v>68</v>
      </c>
    </row>
    <row r="305">
      <c r="A305" s="41" t="n">
        <v>46081</v>
      </c>
      <c r="B305" s="42" t="inlineStr">
        <is>
          <t>Saturday</t>
        </is>
      </c>
      <c r="C305" s="45" t="n">
        <v>5515.699</v>
      </c>
      <c r="D305" s="45" t="n">
        <v>332.835</v>
      </c>
      <c r="E305" s="43" t="n">
        <v>140.6393621052631</v>
      </c>
      <c r="F305" s="43" t="n">
        <v>90.35816206896551</v>
      </c>
      <c r="G305" s="43" t="n">
        <v>275.392</v>
      </c>
      <c r="H305" s="43" t="n">
        <v>442.4434</v>
      </c>
      <c r="I305" s="42" t="n">
        <v>95</v>
      </c>
      <c r="J305" s="42" t="n">
        <v>58</v>
      </c>
    </row>
    <row r="306">
      <c r="A306" s="41" t="n">
        <v>46082</v>
      </c>
      <c r="B306" s="42" t="inlineStr">
        <is>
          <t>Sunday</t>
        </is>
      </c>
      <c r="C306" s="45" t="n">
        <v>4477.731</v>
      </c>
      <c r="D306" s="45" t="n">
        <v>296.813</v>
      </c>
      <c r="E306" s="43" t="n">
        <v>169.2520170731707</v>
      </c>
      <c r="F306" s="43" t="n">
        <v>66.75215094339623</v>
      </c>
      <c r="G306" s="43" t="n">
        <v>470.2492</v>
      </c>
      <c r="H306" s="43" t="n">
        <v>368.2535999999999</v>
      </c>
      <c r="I306" s="42" t="n">
        <v>82</v>
      </c>
      <c r="J306" s="42" t="n">
        <v>53</v>
      </c>
    </row>
    <row r="307">
      <c r="A307" s="41" t="n">
        <v>46083</v>
      </c>
      <c r="B307" s="42" t="inlineStr">
        <is>
          <t>Monday</t>
        </is>
      </c>
      <c r="C307" s="45" t="n">
        <v>4860.812</v>
      </c>
      <c r="D307" s="45" t="n">
        <v>734.826</v>
      </c>
      <c r="E307" s="43" t="n">
        <v>172.6419292682927</v>
      </c>
      <c r="F307" s="43" t="n">
        <v>72.05446268656718</v>
      </c>
      <c r="G307" s="43" t="n">
        <v>363.7886</v>
      </c>
      <c r="H307" s="43" t="n">
        <v>430.1052</v>
      </c>
      <c r="I307" s="42" t="n">
        <v>82</v>
      </c>
      <c r="J307" s="42" t="n">
        <v>67</v>
      </c>
    </row>
    <row r="308">
      <c r="A308" s="41" t="n">
        <v>46084</v>
      </c>
      <c r="B308" s="42" t="inlineStr">
        <is>
          <t>Tuesday</t>
        </is>
      </c>
      <c r="C308" s="45" t="n">
        <v>176.719</v>
      </c>
      <c r="D308" s="45" t="n">
        <v>5605.501</v>
      </c>
      <c r="E308" s="43" t="n">
        <v>153.2354192307693</v>
      </c>
      <c r="F308" s="43" t="n">
        <v>77.20411702127659</v>
      </c>
      <c r="G308" s="43" t="n">
        <v>317.1782</v>
      </c>
      <c r="H308" s="43" t="n">
        <v>467.9928</v>
      </c>
      <c r="I308" s="42" t="n">
        <v>52</v>
      </c>
      <c r="J308" s="42" t="n">
        <v>94</v>
      </c>
    </row>
    <row r="309">
      <c r="A309" s="41" t="n">
        <v>46085</v>
      </c>
      <c r="B309" s="42" t="inlineStr">
        <is>
          <t>Wednesday</t>
        </is>
      </c>
      <c r="C309" s="45" t="n">
        <v>121.337</v>
      </c>
      <c r="D309" s="45" t="n">
        <v>3855.817</v>
      </c>
      <c r="E309" s="43" t="n">
        <v>153.8183689655172</v>
      </c>
      <c r="F309" s="43" t="n">
        <v>81.15230114942528</v>
      </c>
      <c r="G309" s="43" t="n">
        <v>249.2302</v>
      </c>
      <c r="H309" s="43" t="n">
        <v>477.8042</v>
      </c>
      <c r="I309" s="42" t="n">
        <v>58</v>
      </c>
      <c r="J309" s="42" t="n">
        <v>87</v>
      </c>
    </row>
    <row r="310">
      <c r="A310" s="41" t="n">
        <v>46086</v>
      </c>
      <c r="B310" s="42" t="inlineStr">
        <is>
          <t>Thursday</t>
        </is>
      </c>
      <c r="C310" s="45" t="n">
        <v>211.65</v>
      </c>
      <c r="D310" s="45" t="n">
        <v>5161.609</v>
      </c>
      <c r="E310" s="43" t="n">
        <v>161.0166425531915</v>
      </c>
      <c r="F310" s="43" t="n">
        <v>59.52784615384615</v>
      </c>
      <c r="G310" s="43" t="n">
        <v>453.1262</v>
      </c>
      <c r="H310" s="43" t="n">
        <v>413.9816</v>
      </c>
      <c r="I310" s="42" t="n">
        <v>47</v>
      </c>
      <c r="J310" s="42" t="n">
        <v>91</v>
      </c>
    </row>
    <row r="311">
      <c r="A311" s="41" t="n">
        <v>46087</v>
      </c>
      <c r="B311" s="42" t="inlineStr">
        <is>
          <t>Friday</t>
        </is>
      </c>
      <c r="C311" s="45" t="n">
        <v>1332.236</v>
      </c>
      <c r="D311" s="45" t="n">
        <v>5072.674</v>
      </c>
      <c r="E311" s="43" t="n">
        <v>188.6874375</v>
      </c>
      <c r="F311" s="43" t="n">
        <v>66.36762133333333</v>
      </c>
      <c r="G311" s="43" t="n">
        <v>449.2638</v>
      </c>
      <c r="H311" s="43" t="n">
        <v>475.9928</v>
      </c>
      <c r="I311" s="42" t="n">
        <v>64</v>
      </c>
      <c r="J311" s="42" t="n">
        <v>75</v>
      </c>
    </row>
    <row r="312">
      <c r="A312" s="41" t="n">
        <v>46088</v>
      </c>
      <c r="B312" s="42" t="inlineStr">
        <is>
          <t>Saturday</t>
        </is>
      </c>
      <c r="C312" s="45" t="n">
        <v>349.163</v>
      </c>
      <c r="D312" s="45" t="n">
        <v>1595.06</v>
      </c>
      <c r="E312" s="43" t="n">
        <v>176.10739375</v>
      </c>
      <c r="F312" s="43" t="n">
        <v>40.996464</v>
      </c>
      <c r="G312" s="43" t="n">
        <v>306.7988</v>
      </c>
      <c r="H312" s="43" t="n">
        <v>484.2802</v>
      </c>
      <c r="I312" s="42" t="n">
        <v>64</v>
      </c>
      <c r="J312" s="42" t="n">
        <v>75</v>
      </c>
    </row>
    <row r="313">
      <c r="A313" s="41" t="n">
        <v>46089</v>
      </c>
      <c r="B313" s="42" t="inlineStr">
        <is>
          <t>Sunday</t>
        </is>
      </c>
      <c r="C313" s="45" t="n">
        <v>334.915</v>
      </c>
      <c r="D313" s="45" t="n">
        <v>1306.561</v>
      </c>
      <c r="E313" s="43" t="n">
        <v>178.7597344827586</v>
      </c>
      <c r="F313" s="43" t="n">
        <v>74.60664871794872</v>
      </c>
      <c r="G313" s="43" t="n">
        <v>484.0854000000001</v>
      </c>
      <c r="H313" s="43" t="n">
        <v>476.5908000000001</v>
      </c>
      <c r="I313" s="42" t="n">
        <v>58</v>
      </c>
      <c r="J313" s="42" t="n">
        <v>78</v>
      </c>
    </row>
    <row r="314">
      <c r="A314" s="41" t="n">
        <v>46090</v>
      </c>
      <c r="B314" s="42" t="inlineStr">
        <is>
          <t>Monday</t>
        </is>
      </c>
      <c r="C314" s="45" t="n">
        <v>138.862</v>
      </c>
      <c r="D314" s="45" t="n">
        <v>6203.281</v>
      </c>
      <c r="E314" s="43" t="n">
        <v>166.6720217391305</v>
      </c>
      <c r="F314" s="43" t="n">
        <v>97.55113086419753</v>
      </c>
      <c r="G314" s="43" t="n">
        <v>312.7906</v>
      </c>
      <c r="H314" s="43" t="n">
        <v>360.2384</v>
      </c>
      <c r="I314" s="42" t="n">
        <v>46</v>
      </c>
      <c r="J314" s="42" t="n">
        <v>81</v>
      </c>
    </row>
    <row r="315">
      <c r="A315" s="41" t="n">
        <v>46091</v>
      </c>
      <c r="B315" s="42" t="inlineStr">
        <is>
          <t>Tuesday</t>
        </is>
      </c>
      <c r="C315" s="45" t="n">
        <v>797.3100000000001</v>
      </c>
      <c r="D315" s="45" t="n">
        <v>2726.054</v>
      </c>
      <c r="E315" s="43" t="n">
        <v>192.3689205479452</v>
      </c>
      <c r="F315" s="43" t="n">
        <v>48.59683235294118</v>
      </c>
      <c r="G315" s="43" t="n">
        <v>384.4236</v>
      </c>
      <c r="H315" s="43" t="n">
        <v>315.7184</v>
      </c>
      <c r="I315" s="42" t="n">
        <v>73</v>
      </c>
      <c r="J315" s="42" t="n">
        <v>68</v>
      </c>
    </row>
    <row r="316">
      <c r="A316" s="41" t="n">
        <v>46092</v>
      </c>
      <c r="B316" s="42" t="inlineStr">
        <is>
          <t>Wednesday</t>
        </is>
      </c>
      <c r="C316" s="45" t="n">
        <v>813.086</v>
      </c>
      <c r="D316" s="45" t="n">
        <v>2942.867</v>
      </c>
      <c r="E316" s="43" t="n">
        <v>164.2147666666666</v>
      </c>
      <c r="F316" s="43" t="n">
        <v>39.98323589743589</v>
      </c>
      <c r="G316" s="43" t="n">
        <v>311.5702</v>
      </c>
      <c r="H316" s="43" t="n">
        <v>199.314</v>
      </c>
      <c r="I316" s="42" t="n">
        <v>66</v>
      </c>
      <c r="J316" s="42" t="n">
        <v>78</v>
      </c>
    </row>
    <row r="317">
      <c r="A317" s="41" t="n">
        <v>46093</v>
      </c>
      <c r="B317" s="42" t="inlineStr">
        <is>
          <t>Thursday</t>
        </is>
      </c>
      <c r="C317" s="45" t="n">
        <v>1032.552</v>
      </c>
      <c r="D317" s="45" t="n">
        <v>1549.853</v>
      </c>
      <c r="E317" s="43" t="n">
        <v>195.6906028169014</v>
      </c>
      <c r="F317" s="43" t="n">
        <v>58.86685142857144</v>
      </c>
      <c r="G317" s="43" t="n">
        <v>452.7288</v>
      </c>
      <c r="H317" s="43" t="n">
        <v>399.658</v>
      </c>
      <c r="I317" s="42" t="n">
        <v>71</v>
      </c>
      <c r="J317" s="42" t="n">
        <v>70</v>
      </c>
    </row>
    <row r="318">
      <c r="A318" s="41" t="n">
        <v>46094</v>
      </c>
      <c r="B318" s="42" t="inlineStr">
        <is>
          <t>Friday</t>
        </is>
      </c>
      <c r="C318" s="45" t="n">
        <v>303.925</v>
      </c>
      <c r="D318" s="45" t="n">
        <v>1978.105</v>
      </c>
      <c r="E318" s="43" t="n">
        <v>156.4163714285714</v>
      </c>
      <c r="F318" s="43" t="n">
        <v>49.50440470588236</v>
      </c>
      <c r="G318" s="43" t="n">
        <v>244.1782</v>
      </c>
      <c r="H318" s="43" t="n">
        <v>402.3532</v>
      </c>
      <c r="I318" s="42" t="n">
        <v>63</v>
      </c>
      <c r="J318" s="42" t="n">
        <v>85</v>
      </c>
    </row>
    <row r="319">
      <c r="A319" s="41" t="n">
        <v>46095</v>
      </c>
      <c r="B319" s="42" t="inlineStr">
        <is>
          <t>Saturday</t>
        </is>
      </c>
      <c r="C319" s="45" t="n">
        <v>2475.311</v>
      </c>
      <c r="D319" s="45" t="n">
        <v>784.807</v>
      </c>
      <c r="E319" s="43" t="n">
        <v>180.7733084337349</v>
      </c>
      <c r="F319" s="43" t="n">
        <v>45.02332881355933</v>
      </c>
      <c r="G319" s="43" t="n">
        <v>428.9314000000001</v>
      </c>
      <c r="H319" s="43" t="n">
        <v>80</v>
      </c>
      <c r="I319" s="42" t="n">
        <v>83</v>
      </c>
      <c r="J319" s="42" t="n">
        <v>59</v>
      </c>
    </row>
    <row r="320">
      <c r="A320" s="41" t="n">
        <v>46096</v>
      </c>
      <c r="B320" s="42" t="inlineStr">
        <is>
          <t>Sunday</t>
        </is>
      </c>
      <c r="C320" s="45" t="n">
        <v>891.308</v>
      </c>
      <c r="D320" s="45" t="n">
        <v>2317.267</v>
      </c>
      <c r="E320" s="43" t="n">
        <v>192.6678095238095</v>
      </c>
      <c r="F320" s="43" t="n">
        <v>35.38750243902439</v>
      </c>
      <c r="G320" s="43" t="n">
        <v>431.564</v>
      </c>
      <c r="H320" s="43" t="n">
        <v>483.367</v>
      </c>
      <c r="I320" s="42" t="n">
        <v>63</v>
      </c>
      <c r="J320" s="42" t="n">
        <v>82</v>
      </c>
    </row>
    <row r="321">
      <c r="A321" s="41" t="n">
        <v>46097</v>
      </c>
      <c r="B321" s="42" t="inlineStr">
        <is>
          <t>Monday</t>
        </is>
      </c>
      <c r="C321" s="45" t="n">
        <v>164.999</v>
      </c>
      <c r="D321" s="45" t="n">
        <v>1922.544</v>
      </c>
      <c r="E321" s="43" t="n">
        <v>162.9248038461538</v>
      </c>
      <c r="F321" s="43" t="n">
        <v>60.16578157894738</v>
      </c>
      <c r="G321" s="43" t="n">
        <v>399.7768</v>
      </c>
      <c r="H321" s="43" t="n">
        <v>497.6240000000001</v>
      </c>
      <c r="I321" s="42" t="n">
        <v>52</v>
      </c>
      <c r="J321" s="42" t="n">
        <v>76</v>
      </c>
    </row>
    <row r="322">
      <c r="A322" s="41" t="n">
        <v>46098</v>
      </c>
      <c r="B322" s="42" t="inlineStr">
        <is>
          <t>Tuesday</t>
        </is>
      </c>
      <c r="C322" s="45" t="n">
        <v>590.048</v>
      </c>
      <c r="D322" s="45" t="n">
        <v>4494.586</v>
      </c>
      <c r="E322" s="43" t="n">
        <v>180.4061962264151</v>
      </c>
      <c r="F322" s="43" t="n">
        <v>40.29567142857143</v>
      </c>
      <c r="G322" s="43" t="n">
        <v>405.814</v>
      </c>
      <c r="H322" s="43" t="n">
        <v>198.9416</v>
      </c>
      <c r="I322" s="42" t="n">
        <v>53</v>
      </c>
      <c r="J322" s="42" t="n">
        <v>84</v>
      </c>
    </row>
    <row r="323">
      <c r="A323" s="41" t="n">
        <v>46099</v>
      </c>
      <c r="B323" s="42" t="inlineStr">
        <is>
          <t>Wednesday</t>
        </is>
      </c>
      <c r="C323" s="45" t="n">
        <v>979.636</v>
      </c>
      <c r="D323" s="45" t="n">
        <v>2456.424</v>
      </c>
      <c r="E323" s="43" t="n">
        <v>176.2849307692308</v>
      </c>
      <c r="F323" s="43" t="n">
        <v>53.05691641791044</v>
      </c>
      <c r="G323" s="43" t="n">
        <v>304.7728</v>
      </c>
      <c r="H323" s="43" t="n">
        <v>420.3294</v>
      </c>
      <c r="I323" s="42" t="n">
        <v>52</v>
      </c>
      <c r="J323" s="42" t="n">
        <v>67</v>
      </c>
    </row>
    <row r="324">
      <c r="A324" s="41" t="n">
        <v>46100</v>
      </c>
      <c r="B324" s="42" t="inlineStr">
        <is>
          <t>Thursday</t>
        </is>
      </c>
      <c r="C324" s="45" t="n">
        <v>6868.623</v>
      </c>
      <c r="D324" s="45" t="n">
        <v>420.881</v>
      </c>
      <c r="E324" s="43" t="n">
        <v>219.649624691358</v>
      </c>
      <c r="F324" s="43" t="n">
        <v>67.02219512195123</v>
      </c>
      <c r="G324" s="43" t="n">
        <v>458.5852</v>
      </c>
      <c r="H324" s="43" t="n">
        <v>223.4094</v>
      </c>
      <c r="I324" s="42" t="n">
        <v>81</v>
      </c>
      <c r="J324" s="42" t="n">
        <v>41</v>
      </c>
    </row>
    <row r="325">
      <c r="A325" s="41" t="n">
        <v>46101</v>
      </c>
      <c r="B325" s="42" t="inlineStr">
        <is>
          <t>Friday</t>
        </is>
      </c>
      <c r="C325" s="45" t="n">
        <v>2785.802</v>
      </c>
      <c r="D325" s="45" t="n">
        <v>1406.539</v>
      </c>
      <c r="E325" s="43" t="n">
        <v>207.2339916666666</v>
      </c>
      <c r="F325" s="43" t="n">
        <v>42.43855409836064</v>
      </c>
      <c r="G325" s="43" t="n">
        <v>404.3514</v>
      </c>
      <c r="H325" s="43" t="n">
        <v>390.9908</v>
      </c>
      <c r="I325" s="42" t="n">
        <v>72</v>
      </c>
      <c r="J325" s="42" t="n">
        <v>61</v>
      </c>
    </row>
    <row r="326">
      <c r="A326" s="41" t="n">
        <v>46102</v>
      </c>
      <c r="B326" s="42" t="inlineStr">
        <is>
          <t>Saturday</t>
        </is>
      </c>
      <c r="C326" s="45" t="n">
        <v>474.349</v>
      </c>
      <c r="D326" s="45" t="n">
        <v>1611.151</v>
      </c>
      <c r="E326" s="43" t="n">
        <v>156.3101034482759</v>
      </c>
      <c r="F326" s="43" t="n">
        <v>39.19530117647058</v>
      </c>
      <c r="G326" s="43" t="n">
        <v>380.0028</v>
      </c>
      <c r="H326" s="43" t="n">
        <v>349.3862</v>
      </c>
      <c r="I326" s="42" t="n">
        <v>58</v>
      </c>
      <c r="J326" s="42" t="n">
        <v>85</v>
      </c>
    </row>
    <row r="327">
      <c r="A327" s="41" t="n">
        <v>46103</v>
      </c>
      <c r="B327" s="42" t="inlineStr">
        <is>
          <t>Sunday</t>
        </is>
      </c>
      <c r="C327" s="45" t="n">
        <v>296.531</v>
      </c>
      <c r="D327" s="45" t="n">
        <v>2564.816</v>
      </c>
      <c r="E327" s="43" t="n">
        <v>141.1341538461538</v>
      </c>
      <c r="F327" s="43" t="n">
        <v>35.81947333333333</v>
      </c>
      <c r="G327" s="43" t="n">
        <v>207.41</v>
      </c>
      <c r="H327" s="43" t="n">
        <v>284.694</v>
      </c>
      <c r="I327" s="42" t="n">
        <v>65</v>
      </c>
      <c r="J327" s="42" t="n">
        <v>90</v>
      </c>
    </row>
    <row r="328">
      <c r="A328" s="41" t="n">
        <v>46104</v>
      </c>
      <c r="B328" s="42" t="inlineStr">
        <is>
          <t>Monday</t>
        </is>
      </c>
      <c r="C328" s="45" t="n">
        <v>1092.302</v>
      </c>
      <c r="D328" s="45" t="n">
        <v>2848.44</v>
      </c>
      <c r="E328" s="43" t="n">
        <v>191.0658714285714</v>
      </c>
      <c r="F328" s="43" t="n">
        <v>27.69277142857143</v>
      </c>
      <c r="G328" s="43" t="n">
        <v>479.6247999999999</v>
      </c>
      <c r="H328" s="43" t="n">
        <v>100</v>
      </c>
      <c r="I328" s="42" t="n">
        <v>70</v>
      </c>
      <c r="J328" s="42" t="n">
        <v>84</v>
      </c>
    </row>
    <row r="329">
      <c r="A329" s="41" t="n">
        <v>46105</v>
      </c>
      <c r="B329" s="42" t="inlineStr">
        <is>
          <t>Tuesday</t>
        </is>
      </c>
      <c r="C329" s="45" t="n">
        <v>1719.294</v>
      </c>
      <c r="D329" s="45" t="n">
        <v>3981.452</v>
      </c>
      <c r="E329" s="43" t="n">
        <v>169.76078</v>
      </c>
      <c r="F329" s="43" t="n">
        <v>38.93042000000001</v>
      </c>
      <c r="G329" s="43" t="n">
        <v>480.705</v>
      </c>
      <c r="H329" s="43" t="n">
        <v>220.5708</v>
      </c>
      <c r="I329" s="42" t="n">
        <v>60</v>
      </c>
      <c r="J329" s="42" t="n">
        <v>80</v>
      </c>
    </row>
    <row r="330">
      <c r="A330" s="41" t="n">
        <v>46106</v>
      </c>
      <c r="B330" s="42" t="inlineStr">
        <is>
          <t>Wednesday</t>
        </is>
      </c>
      <c r="C330" s="45" t="n">
        <v>345.95</v>
      </c>
      <c r="D330" s="45" t="n">
        <v>2637.483</v>
      </c>
      <c r="E330" s="43" t="n">
        <v>160.4673925925926</v>
      </c>
      <c r="F330" s="43" t="n">
        <v>39.37812</v>
      </c>
      <c r="G330" s="43" t="n">
        <v>473.0888</v>
      </c>
      <c r="H330" s="43" t="n">
        <v>223.8832</v>
      </c>
      <c r="I330" s="42" t="n">
        <v>54</v>
      </c>
      <c r="J330" s="42" t="n">
        <v>85</v>
      </c>
    </row>
    <row r="331">
      <c r="A331" s="41" t="n">
        <v>46107</v>
      </c>
      <c r="B331" s="42" t="inlineStr">
        <is>
          <t>Thursday</t>
        </is>
      </c>
      <c r="C331" s="45" t="n">
        <v>829.624</v>
      </c>
      <c r="D331" s="45" t="n">
        <v>1709.083</v>
      </c>
      <c r="E331" s="43" t="n">
        <v>158.1506727272727</v>
      </c>
      <c r="F331" s="43" t="n">
        <v>45.30443902439025</v>
      </c>
      <c r="G331" s="43" t="n">
        <v>487.9692</v>
      </c>
      <c r="H331" s="43" t="n">
        <v>465.8372000000001</v>
      </c>
      <c r="I331" s="42" t="n">
        <v>66</v>
      </c>
      <c r="J331" s="42" t="n">
        <v>82</v>
      </c>
    </row>
    <row r="332">
      <c r="A332" s="41" t="n">
        <v>46108</v>
      </c>
      <c r="B332" s="42" t="inlineStr">
        <is>
          <t>Friday</t>
        </is>
      </c>
      <c r="C332" s="45" t="n">
        <v>1848.831</v>
      </c>
      <c r="D332" s="45" t="n">
        <v>393.616</v>
      </c>
      <c r="E332" s="43" t="n">
        <v>193.1023428571428</v>
      </c>
      <c r="F332" s="43" t="n">
        <v>58.10262769230769</v>
      </c>
      <c r="G332" s="43" t="n">
        <v>424.9838</v>
      </c>
      <c r="H332" s="43" t="n">
        <v>279.2972</v>
      </c>
      <c r="I332" s="42" t="n">
        <v>84</v>
      </c>
      <c r="J332" s="42" t="n">
        <v>65</v>
      </c>
    </row>
    <row r="333">
      <c r="A333" s="41" t="n">
        <v>46109</v>
      </c>
      <c r="B333" s="42" t="inlineStr">
        <is>
          <t>Saturday</t>
        </is>
      </c>
      <c r="C333" s="45" t="n">
        <v>2448.601</v>
      </c>
      <c r="D333" s="45" t="n">
        <v>452.424</v>
      </c>
      <c r="E333" s="43" t="n">
        <v>159.2789605263158</v>
      </c>
      <c r="F333" s="43" t="n">
        <v>53.55034929577464</v>
      </c>
      <c r="G333" s="43" t="n">
        <v>453.1716</v>
      </c>
      <c r="H333" s="43" t="n">
        <v>189.148</v>
      </c>
      <c r="I333" s="42" t="n">
        <v>76</v>
      </c>
      <c r="J333" s="42" t="n">
        <v>71</v>
      </c>
    </row>
    <row r="334">
      <c r="A334" s="41" t="n">
        <v>46110</v>
      </c>
      <c r="B334" s="42" t="inlineStr">
        <is>
          <t>Sunday</t>
        </is>
      </c>
      <c r="C334" s="45" t="n">
        <v>356.688</v>
      </c>
      <c r="D334" s="45" t="n">
        <v>1404.658</v>
      </c>
      <c r="E334" s="43" t="n">
        <v>149.2587741935484</v>
      </c>
      <c r="F334" s="43" t="n">
        <v>43.05705853658536</v>
      </c>
      <c r="G334" s="43" t="n">
        <v>241.9984</v>
      </c>
      <c r="H334" s="43" t="n">
        <v>488.8538</v>
      </c>
      <c r="I334" s="42" t="n">
        <v>62</v>
      </c>
      <c r="J334" s="42" t="n">
        <v>82</v>
      </c>
    </row>
    <row r="335">
      <c r="A335" s="41" t="n">
        <v>46111</v>
      </c>
      <c r="B335" s="42" t="inlineStr">
        <is>
          <t>Monday</t>
        </is>
      </c>
      <c r="C335" s="45" t="n">
        <v>1155.885</v>
      </c>
      <c r="D335" s="45" t="n">
        <v>738.258</v>
      </c>
      <c r="E335" s="43" t="n">
        <v>165.741859375</v>
      </c>
      <c r="F335" s="43" t="n">
        <v>64.62641249999999</v>
      </c>
      <c r="G335" s="43" t="n">
        <v>426.8334</v>
      </c>
      <c r="H335" s="43" t="n">
        <v>405.2424</v>
      </c>
      <c r="I335" s="42" t="n">
        <v>64</v>
      </c>
      <c r="J335" s="42" t="n">
        <v>80</v>
      </c>
    </row>
    <row r="336">
      <c r="A336" s="41" t="n">
        <v>46112</v>
      </c>
      <c r="B336" s="42" t="inlineStr">
        <is>
          <t>Tuesday</t>
        </is>
      </c>
      <c r="C336" s="45" t="n">
        <v>575.514</v>
      </c>
      <c r="D336" s="45" t="n">
        <v>681.99</v>
      </c>
      <c r="E336" s="43" t="n">
        <v>180.2609151515151</v>
      </c>
      <c r="F336" s="43" t="n">
        <v>48.80481162790696</v>
      </c>
      <c r="G336" s="43" t="n">
        <v>355.7764</v>
      </c>
      <c r="H336" s="43" t="n">
        <v>282.492</v>
      </c>
      <c r="I336" s="42" t="n">
        <v>66</v>
      </c>
      <c r="J336" s="42" t="n">
        <v>86</v>
      </c>
    </row>
    <row r="337">
      <c r="A337" s="41" t="n">
        <v>46113</v>
      </c>
      <c r="B337" s="42" t="inlineStr">
        <is>
          <t>Wednesday</t>
        </is>
      </c>
      <c r="C337" s="45" t="n">
        <v>267.444</v>
      </c>
      <c r="D337" s="45" t="n">
        <v>3797.512</v>
      </c>
      <c r="E337" s="43" t="n">
        <v>170.68504</v>
      </c>
      <c r="F337" s="43" t="n">
        <v>63.81676829268292</v>
      </c>
      <c r="G337" s="43" t="n">
        <v>378.448</v>
      </c>
      <c r="H337" s="43" t="n">
        <v>491.249</v>
      </c>
      <c r="I337" s="42" t="n">
        <v>50</v>
      </c>
      <c r="J337" s="42" t="n">
        <v>82</v>
      </c>
    </row>
    <row r="338">
      <c r="A338" s="41" t="n">
        <v>46114</v>
      </c>
      <c r="B338" s="42" t="inlineStr">
        <is>
          <t>Thursday</t>
        </is>
      </c>
      <c r="C338" s="45" t="n">
        <v>3242.834</v>
      </c>
      <c r="D338" s="45" t="n">
        <v>350.428</v>
      </c>
      <c r="E338" s="43" t="n">
        <v>212.6620909090909</v>
      </c>
      <c r="F338" s="43" t="n">
        <v>65.60238064516129</v>
      </c>
      <c r="G338" s="43" t="n">
        <v>442.4524</v>
      </c>
      <c r="H338" s="43" t="n">
        <v>458.7479999999999</v>
      </c>
      <c r="I338" s="42" t="n">
        <v>77</v>
      </c>
      <c r="J338" s="42" t="n">
        <v>62</v>
      </c>
    </row>
    <row r="339">
      <c r="A339" s="41" t="n">
        <v>46115</v>
      </c>
      <c r="B339" s="42" t="inlineStr">
        <is>
          <t>Friday</t>
        </is>
      </c>
      <c r="C339" s="45" t="n">
        <v>143.595</v>
      </c>
      <c r="D339" s="45" t="n">
        <v>1251.367</v>
      </c>
      <c r="E339" s="43" t="n">
        <v>166.8105876923077</v>
      </c>
      <c r="F339" s="43" t="n">
        <v>50.52912093023254</v>
      </c>
      <c r="G339" s="43" t="n">
        <v>260.0068</v>
      </c>
      <c r="H339" s="43" t="n">
        <v>346.7206</v>
      </c>
      <c r="I339" s="42" t="n">
        <v>65</v>
      </c>
      <c r="J339" s="42" t="n">
        <v>86</v>
      </c>
    </row>
    <row r="340">
      <c r="A340" s="41" t="n">
        <v>46116</v>
      </c>
      <c r="B340" s="42" t="inlineStr">
        <is>
          <t>Saturday</t>
        </is>
      </c>
      <c r="C340" s="45" t="n">
        <v>214.435</v>
      </c>
      <c r="D340" s="45" t="n">
        <v>2575.057</v>
      </c>
      <c r="E340" s="43" t="n">
        <v>143.3935114754098</v>
      </c>
      <c r="F340" s="43" t="n">
        <v>41.225025</v>
      </c>
      <c r="G340" s="43" t="n">
        <v>275.6948</v>
      </c>
      <c r="H340" s="43" t="n">
        <v>405.244</v>
      </c>
      <c r="I340" s="42" t="n">
        <v>61</v>
      </c>
      <c r="J340" s="42" t="n">
        <v>80</v>
      </c>
    </row>
    <row r="341">
      <c r="A341" s="41" t="n">
        <v>46117</v>
      </c>
      <c r="B341" s="42" t="inlineStr">
        <is>
          <t>Sunday</t>
        </is>
      </c>
      <c r="C341" s="45" t="n">
        <v>58.813</v>
      </c>
      <c r="D341" s="45" t="n">
        <v>5459.501999999999</v>
      </c>
      <c r="E341" s="43" t="n">
        <v>110.8148666666667</v>
      </c>
      <c r="F341" s="43" t="n">
        <v>77.34801126760566</v>
      </c>
      <c r="G341" s="43" t="n">
        <v>177.5612</v>
      </c>
      <c r="H341" s="43" t="n">
        <v>496.8776</v>
      </c>
      <c r="I341" s="42" t="n">
        <v>45</v>
      </c>
      <c r="J341" s="42" t="n">
        <v>71</v>
      </c>
    </row>
    <row r="342">
      <c r="A342" s="41" t="n">
        <v>46118</v>
      </c>
      <c r="B342" s="42" t="inlineStr">
        <is>
          <t>Monday</t>
        </is>
      </c>
      <c r="C342" s="45" t="n">
        <v>535.468</v>
      </c>
      <c r="D342" s="45" t="n">
        <v>5154.509</v>
      </c>
      <c r="E342" s="43" t="n">
        <v>143.5765571428572</v>
      </c>
      <c r="F342" s="43" t="n">
        <v>62.47716049382717</v>
      </c>
      <c r="G342" s="43" t="n">
        <v>268.4936</v>
      </c>
      <c r="H342" s="43" t="n">
        <v>403.3698000000001</v>
      </c>
      <c r="I342" s="42" t="n">
        <v>42</v>
      </c>
      <c r="J342" s="42" t="n">
        <v>81</v>
      </c>
    </row>
    <row r="343">
      <c r="A343" s="41" t="n">
        <v>46119</v>
      </c>
      <c r="B343" s="42" t="inlineStr">
        <is>
          <t>Tuesday</t>
        </is>
      </c>
      <c r="C343" s="45" t="n">
        <v>788.076</v>
      </c>
      <c r="D343" s="45" t="n">
        <v>2945.231</v>
      </c>
      <c r="E343" s="43" t="n">
        <v>169.3181862068965</v>
      </c>
      <c r="F343" s="43" t="n">
        <v>57.8747493670886</v>
      </c>
      <c r="G343" s="43" t="n">
        <v>480.652</v>
      </c>
      <c r="H343" s="43" t="n">
        <v>465.7556</v>
      </c>
      <c r="I343" s="42" t="n">
        <v>58</v>
      </c>
      <c r="J343" s="42" t="n">
        <v>79</v>
      </c>
    </row>
    <row r="344">
      <c r="A344" s="41" t="n">
        <v>46120</v>
      </c>
      <c r="B344" s="42" t="inlineStr">
        <is>
          <t>Wednesday</t>
        </is>
      </c>
      <c r="C344" s="45" t="n">
        <v>1497.71</v>
      </c>
      <c r="D344" s="45" t="n">
        <v>2684.191</v>
      </c>
      <c r="E344" s="43" t="n">
        <v>178.0162705882352</v>
      </c>
      <c r="F344" s="43" t="n">
        <v>78.5360077922078</v>
      </c>
      <c r="G344" s="43" t="n">
        <v>439.0993999999999</v>
      </c>
      <c r="H344" s="43" t="n">
        <v>420.0876</v>
      </c>
      <c r="I344" s="42" t="n">
        <v>51</v>
      </c>
      <c r="J344" s="42" t="n">
        <v>77</v>
      </c>
    </row>
    <row r="345">
      <c r="A345" s="41" t="n">
        <v>46121</v>
      </c>
      <c r="B345" s="42" t="inlineStr">
        <is>
          <t>Thursday</t>
        </is>
      </c>
      <c r="C345" s="45" t="n">
        <v>547.304</v>
      </c>
      <c r="D345" s="45" t="n">
        <v>1440.074</v>
      </c>
      <c r="E345" s="43" t="n">
        <v>155.071346875</v>
      </c>
      <c r="F345" s="43" t="n">
        <v>44.86953023255813</v>
      </c>
      <c r="G345" s="43" t="n">
        <v>343.4978</v>
      </c>
      <c r="H345" s="43" t="n">
        <v>321.9842</v>
      </c>
      <c r="I345" s="42" t="n">
        <v>64</v>
      </c>
      <c r="J345" s="42" t="n">
        <v>86</v>
      </c>
    </row>
    <row r="346">
      <c r="A346" s="41" t="n">
        <v>46122</v>
      </c>
      <c r="B346" s="42" t="inlineStr">
        <is>
          <t>Friday</t>
        </is>
      </c>
      <c r="C346" s="45" t="n">
        <v>400.626</v>
      </c>
      <c r="D346" s="45" t="n">
        <v>505.661</v>
      </c>
      <c r="E346" s="43" t="n">
        <v>164.823623880597</v>
      </c>
      <c r="F346" s="43" t="n">
        <v>52.17584634146343</v>
      </c>
      <c r="G346" s="43" t="n">
        <v>291.7448</v>
      </c>
      <c r="H346" s="43" t="n">
        <v>421.7314</v>
      </c>
      <c r="I346" s="42" t="n">
        <v>67</v>
      </c>
      <c r="J346" s="42" t="n">
        <v>82</v>
      </c>
    </row>
    <row r="347">
      <c r="A347" s="41" t="n">
        <v>46123</v>
      </c>
      <c r="B347" s="42" t="inlineStr">
        <is>
          <t>Saturday</t>
        </is>
      </c>
      <c r="C347" s="45" t="n">
        <v>2308.576</v>
      </c>
      <c r="D347" s="45" t="n">
        <v>140.563</v>
      </c>
      <c r="E347" s="43" t="n">
        <v>176.2723717647058</v>
      </c>
      <c r="F347" s="43" t="n">
        <v>56.58402333333334</v>
      </c>
      <c r="G347" s="43" t="n">
        <v>412.9836</v>
      </c>
      <c r="H347" s="43" t="n">
        <v>143.7078</v>
      </c>
      <c r="I347" s="42" t="n">
        <v>85</v>
      </c>
      <c r="J347" s="42" t="n">
        <v>60</v>
      </c>
    </row>
    <row r="348">
      <c r="A348" s="41" t="n">
        <v>46124</v>
      </c>
      <c r="B348" s="42" t="inlineStr">
        <is>
          <t>Sunday</t>
        </is>
      </c>
      <c r="C348" s="45" t="n">
        <v>1069.913</v>
      </c>
      <c r="D348" s="45" t="n">
        <v>641.47</v>
      </c>
      <c r="E348" s="43" t="n">
        <v>157.3187736842105</v>
      </c>
      <c r="F348" s="43" t="n">
        <v>83.88327105263159</v>
      </c>
      <c r="G348" s="43" t="n">
        <v>368.3206</v>
      </c>
      <c r="H348" s="43" t="n">
        <v>496.4758</v>
      </c>
      <c r="I348" s="42" t="n">
        <v>76</v>
      </c>
      <c r="J348" s="42" t="n">
        <v>76</v>
      </c>
    </row>
    <row r="349">
      <c r="A349" s="41" t="n">
        <v>46125</v>
      </c>
      <c r="B349" s="42" t="inlineStr">
        <is>
          <t>Monday</t>
        </is>
      </c>
      <c r="C349" s="45" t="n">
        <v>1470.544</v>
      </c>
      <c r="D349" s="45" t="n">
        <v>209.808</v>
      </c>
      <c r="E349" s="43" t="n">
        <v>153.5085173333333</v>
      </c>
      <c r="F349" s="43" t="n">
        <v>68.74159272727272</v>
      </c>
      <c r="G349" s="43" t="n">
        <v>334.8352</v>
      </c>
      <c r="H349" s="43" t="n">
        <v>338.1456000000001</v>
      </c>
      <c r="I349" s="42" t="n">
        <v>75</v>
      </c>
      <c r="J349" s="42" t="n">
        <v>55</v>
      </c>
    </row>
    <row r="350">
      <c r="A350" s="41" t="n">
        <v>46126</v>
      </c>
      <c r="B350" s="42" t="inlineStr">
        <is>
          <t>Tuesday</t>
        </is>
      </c>
      <c r="C350" s="45" t="n">
        <v>83.238</v>
      </c>
      <c r="D350" s="45" t="n">
        <v>4665.314</v>
      </c>
      <c r="E350" s="43" t="n">
        <v>169.0211854545454</v>
      </c>
      <c r="F350" s="43" t="n">
        <v>53.16605111111112</v>
      </c>
      <c r="G350" s="43" t="n">
        <v>241.0444</v>
      </c>
      <c r="H350" s="43" t="n">
        <v>252.7482</v>
      </c>
      <c r="I350" s="42" t="n">
        <v>55</v>
      </c>
      <c r="J350" s="42" t="n">
        <v>90</v>
      </c>
    </row>
    <row r="351">
      <c r="A351" s="41" t="n">
        <v>46127</v>
      </c>
      <c r="B351" s="42" t="inlineStr">
        <is>
          <t>Wednesday</t>
        </is>
      </c>
      <c r="C351" s="45" t="n">
        <v>344.995</v>
      </c>
      <c r="D351" s="45" t="n">
        <v>3981.537</v>
      </c>
      <c r="E351" s="43" t="n">
        <v>191.88295</v>
      </c>
      <c r="F351" s="43" t="n">
        <v>47.01692967032967</v>
      </c>
      <c r="G351" s="43" t="n">
        <v>445.779</v>
      </c>
      <c r="H351" s="43" t="n">
        <v>475.5386</v>
      </c>
      <c r="I351" s="42" t="n">
        <v>52</v>
      </c>
      <c r="J351" s="42" t="n">
        <v>91</v>
      </c>
    </row>
    <row r="352">
      <c r="A352" s="41" t="n">
        <v>46128</v>
      </c>
      <c r="B352" s="42" t="inlineStr">
        <is>
          <t>Thursday</t>
        </is>
      </c>
      <c r="C352" s="45" t="n">
        <v>160.386</v>
      </c>
      <c r="D352" s="45" t="n">
        <v>3055.969</v>
      </c>
      <c r="E352" s="43" t="n">
        <v>165.1235304347826</v>
      </c>
      <c r="F352" s="43" t="n">
        <v>41.69350476190477</v>
      </c>
      <c r="G352" s="43" t="n">
        <v>260.7856</v>
      </c>
      <c r="H352" s="43" t="n">
        <v>430.1488000000001</v>
      </c>
      <c r="I352" s="42" t="n">
        <v>46</v>
      </c>
      <c r="J352" s="42" t="n">
        <v>84</v>
      </c>
    </row>
    <row r="353">
      <c r="A353" s="41" t="n">
        <v>46129</v>
      </c>
      <c r="B353" s="42" t="inlineStr">
        <is>
          <t>Friday</t>
        </is>
      </c>
      <c r="C353" s="45" t="n">
        <v>162.969</v>
      </c>
      <c r="D353" s="45" t="n">
        <v>1444.627</v>
      </c>
      <c r="E353" s="43" t="n">
        <v>156.08083</v>
      </c>
      <c r="F353" s="43" t="n">
        <v>34.28156739130434</v>
      </c>
      <c r="G353" s="43" t="n">
        <v>328.126</v>
      </c>
      <c r="H353" s="43" t="n">
        <v>180.9776</v>
      </c>
      <c r="I353" s="42" t="n">
        <v>60</v>
      </c>
      <c r="J353" s="42" t="n">
        <v>92</v>
      </c>
    </row>
    <row r="354">
      <c r="A354" s="41" t="n">
        <v>46130</v>
      </c>
      <c r="B354" s="42" t="inlineStr">
        <is>
          <t>Saturday</t>
        </is>
      </c>
      <c r="C354" s="45" t="n">
        <v>1884.92</v>
      </c>
      <c r="D354" s="45" t="n">
        <v>1708.496</v>
      </c>
      <c r="E354" s="43" t="n">
        <v>166.7525694444444</v>
      </c>
      <c r="F354" s="43" t="n">
        <v>51.12450410958904</v>
      </c>
      <c r="G354" s="43" t="n">
        <v>490.6568</v>
      </c>
      <c r="H354" s="43" t="n">
        <v>345.3568000000001</v>
      </c>
      <c r="I354" s="42" t="n">
        <v>72</v>
      </c>
      <c r="J354" s="42" t="n">
        <v>73</v>
      </c>
    </row>
    <row r="355">
      <c r="A355" s="41" t="n">
        <v>46131</v>
      </c>
      <c r="B355" s="42" t="inlineStr">
        <is>
          <t>Sunday</t>
        </is>
      </c>
      <c r="C355" s="45" t="n">
        <v>114.631</v>
      </c>
      <c r="D355" s="45" t="n">
        <v>1375.259</v>
      </c>
      <c r="E355" s="43" t="n">
        <v>132.3285709090909</v>
      </c>
      <c r="F355" s="43" t="n">
        <v>50.37866</v>
      </c>
      <c r="G355" s="43" t="n">
        <v>208.88</v>
      </c>
      <c r="H355" s="43" t="n">
        <v>281.1672</v>
      </c>
      <c r="I355" s="42" t="n">
        <v>55</v>
      </c>
      <c r="J355" s="42" t="n">
        <v>90</v>
      </c>
    </row>
    <row r="356">
      <c r="A356" s="41" t="n">
        <v>46132</v>
      </c>
      <c r="B356" s="42" t="inlineStr">
        <is>
          <t>Monday</t>
        </is>
      </c>
      <c r="C356" s="45" t="n">
        <v>357.325</v>
      </c>
      <c r="D356" s="45" t="n">
        <v>6510.008</v>
      </c>
      <c r="E356" s="43" t="n">
        <v>163.5701024390244</v>
      </c>
      <c r="F356" s="43" t="n">
        <v>47.66347857142858</v>
      </c>
      <c r="G356" s="43" t="n">
        <v>247.4478</v>
      </c>
      <c r="H356" s="43" t="n">
        <v>402.358</v>
      </c>
      <c r="I356" s="42" t="n">
        <v>41</v>
      </c>
      <c r="J356" s="42" t="n">
        <v>84</v>
      </c>
    </row>
    <row r="357">
      <c r="A357" s="41" t="n">
        <v>46133</v>
      </c>
      <c r="B357" s="42" t="inlineStr">
        <is>
          <t>Tuesday</t>
        </is>
      </c>
      <c r="C357" s="45" t="n">
        <v>1591.063</v>
      </c>
      <c r="D357" s="45" t="n">
        <v>1494.547</v>
      </c>
      <c r="E357" s="43" t="n">
        <v>206.2469756756757</v>
      </c>
      <c r="F357" s="43" t="n">
        <v>48.81993684210526</v>
      </c>
      <c r="G357" s="43" t="n">
        <v>454.972</v>
      </c>
      <c r="H357" s="43" t="n">
        <v>409.9402</v>
      </c>
      <c r="I357" s="42" t="n">
        <v>74</v>
      </c>
      <c r="J357" s="42" t="n">
        <v>76</v>
      </c>
    </row>
    <row r="358">
      <c r="A358" s="41" t="n">
        <v>46134</v>
      </c>
      <c r="B358" s="42" t="inlineStr">
        <is>
          <t>Wednesday</t>
        </is>
      </c>
      <c r="C358" s="45" t="n">
        <v>1439.495</v>
      </c>
      <c r="D358" s="45" t="n">
        <v>1512.711</v>
      </c>
      <c r="E358" s="43" t="n">
        <v>206.7479368421052</v>
      </c>
      <c r="F358" s="43" t="n">
        <v>48.86397142857144</v>
      </c>
      <c r="G358" s="43" t="n">
        <v>465.4707999999999</v>
      </c>
      <c r="H358" s="43" t="n">
        <v>100</v>
      </c>
      <c r="I358" s="42" t="n">
        <v>76</v>
      </c>
      <c r="J358" s="42" t="n">
        <v>63</v>
      </c>
    </row>
    <row r="359">
      <c r="A359" s="41" t="n">
        <v>46135</v>
      </c>
      <c r="B359" s="42" t="inlineStr">
        <is>
          <t>Thursday</t>
        </is>
      </c>
      <c r="C359" s="45" t="n">
        <v>1224.53</v>
      </c>
      <c r="D359" s="45" t="n">
        <v>7012.718</v>
      </c>
      <c r="E359" s="43" t="n">
        <v>173.9235423076923</v>
      </c>
      <c r="F359" s="43" t="n">
        <v>86.18003797468354</v>
      </c>
      <c r="G359" s="43" t="n">
        <v>432.8982</v>
      </c>
      <c r="H359" s="43" t="n">
        <v>455.7186</v>
      </c>
      <c r="I359" s="42" t="n">
        <v>52</v>
      </c>
      <c r="J359" s="42" t="n">
        <v>79</v>
      </c>
    </row>
    <row r="360">
      <c r="A360" s="41" t="n">
        <v>46136</v>
      </c>
      <c r="B360" s="42" t="inlineStr">
        <is>
          <t>Friday</t>
        </is>
      </c>
      <c r="C360" s="45" t="n">
        <v>1654.764</v>
      </c>
      <c r="D360" s="45" t="n">
        <v>1635.232</v>
      </c>
      <c r="E360" s="43" t="n">
        <v>189.4594212121212</v>
      </c>
      <c r="F360" s="43" t="n">
        <v>49.47823428571429</v>
      </c>
      <c r="G360" s="43" t="n">
        <v>493.9426</v>
      </c>
      <c r="H360" s="43" t="n">
        <v>412.3124</v>
      </c>
      <c r="I360" s="42" t="n">
        <v>66</v>
      </c>
      <c r="J360" s="42" t="n">
        <v>70</v>
      </c>
    </row>
    <row r="361">
      <c r="A361" s="41" t="n">
        <v>46137</v>
      </c>
      <c r="B361" s="42" t="inlineStr">
        <is>
          <t>Saturday</t>
        </is>
      </c>
      <c r="C361" s="45" t="n">
        <v>271.619</v>
      </c>
      <c r="D361" s="45" t="n">
        <v>1828.861</v>
      </c>
      <c r="E361" s="43" t="n">
        <v>160.148878125</v>
      </c>
      <c r="F361" s="43" t="n">
        <v>52.80877142857143</v>
      </c>
      <c r="G361" s="43" t="n">
        <v>423.5341999999999</v>
      </c>
      <c r="H361" s="43" t="n">
        <v>240.8786</v>
      </c>
      <c r="I361" s="42" t="n">
        <v>64</v>
      </c>
      <c r="J361" s="42" t="n">
        <v>84</v>
      </c>
    </row>
    <row r="362">
      <c r="A362" s="41" t="n">
        <v>46138</v>
      </c>
      <c r="B362" s="42" t="inlineStr">
        <is>
          <t>Sunday</t>
        </is>
      </c>
      <c r="C362" s="45" t="n">
        <v>851.455</v>
      </c>
      <c r="D362" s="45" t="n">
        <v>3287.933</v>
      </c>
      <c r="E362" s="43" t="n">
        <v>163.2703846153846</v>
      </c>
      <c r="F362" s="43" t="n">
        <v>103.2244260869565</v>
      </c>
      <c r="G362" s="43" t="n">
        <v>466.6952</v>
      </c>
      <c r="H362" s="43" t="n">
        <v>468.217</v>
      </c>
      <c r="I362" s="42" t="n">
        <v>52</v>
      </c>
      <c r="J362" s="42" t="n">
        <v>69</v>
      </c>
    </row>
    <row r="363">
      <c r="A363" s="41" t="n">
        <v>46139</v>
      </c>
      <c r="B363" s="42" t="inlineStr">
        <is>
          <t>Monday</t>
        </is>
      </c>
      <c r="C363" s="45" t="n">
        <v>311.921</v>
      </c>
      <c r="D363" s="45" t="n">
        <v>4857.391</v>
      </c>
      <c r="E363" s="43" t="n">
        <v>158.1119404255319</v>
      </c>
      <c r="F363" s="43" t="n">
        <v>70.55934418604652</v>
      </c>
      <c r="G363" s="43" t="n">
        <v>323.633</v>
      </c>
      <c r="H363" s="43" t="n">
        <v>495.6994</v>
      </c>
      <c r="I363" s="42" t="n">
        <v>47</v>
      </c>
      <c r="J363" s="42" t="n">
        <v>86</v>
      </c>
    </row>
    <row r="364">
      <c r="A364" s="41" t="n">
        <v>46140</v>
      </c>
      <c r="B364" s="42" t="inlineStr">
        <is>
          <t>Tuesday</t>
        </is>
      </c>
      <c r="C364" s="45" t="n">
        <v>199.558</v>
      </c>
      <c r="D364" s="45" t="n">
        <v>4349.098</v>
      </c>
      <c r="E364" s="43" t="n">
        <v>160.4671888888889</v>
      </c>
      <c r="F364" s="43" t="n">
        <v>40.11475106382978</v>
      </c>
      <c r="G364" s="43" t="n">
        <v>497.3706</v>
      </c>
      <c r="H364" s="43" t="n">
        <v>331.607</v>
      </c>
      <c r="I364" s="42" t="n">
        <v>54</v>
      </c>
      <c r="J364" s="42" t="n">
        <v>94</v>
      </c>
    </row>
    <row r="365">
      <c r="A365" s="41" t="n">
        <v>46141</v>
      </c>
      <c r="B365" s="42" t="inlineStr">
        <is>
          <t>Wednesday</t>
        </is>
      </c>
      <c r="C365" s="45" t="n">
        <v>244.849</v>
      </c>
      <c r="D365" s="45" t="n">
        <v>5213.507</v>
      </c>
      <c r="E365" s="43" t="n">
        <v>174.8585673469388</v>
      </c>
      <c r="F365" s="43" t="n">
        <v>66.25861219512194</v>
      </c>
      <c r="G365" s="43" t="n">
        <v>377.7571999999999</v>
      </c>
      <c r="H365" s="43" t="n">
        <v>497.0338</v>
      </c>
      <c r="I365" s="42" t="n">
        <v>49</v>
      </c>
      <c r="J365" s="42" t="n">
        <v>82</v>
      </c>
    </row>
    <row r="366">
      <c r="A366" s="41" t="n">
        <v>46142</v>
      </c>
      <c r="B366" s="42" t="inlineStr">
        <is>
          <t>Thursday</t>
        </is>
      </c>
      <c r="C366" s="45" t="n">
        <v>2415.945</v>
      </c>
      <c r="D366" s="45" t="n">
        <v>936.744</v>
      </c>
      <c r="E366" s="43" t="n">
        <v>176.8726428571429</v>
      </c>
      <c r="F366" s="43" t="n">
        <v>62.20657741935484</v>
      </c>
      <c r="G366" s="43" t="n">
        <v>323.802</v>
      </c>
      <c r="H366" s="43" t="n">
        <v>349.6848</v>
      </c>
      <c r="I366" s="42" t="n">
        <v>70</v>
      </c>
      <c r="J366" s="42" t="n">
        <v>62</v>
      </c>
    </row>
    <row r="367">
      <c r="A367" s="41" t="n">
        <v>46143</v>
      </c>
      <c r="B367" s="42" t="inlineStr">
        <is>
          <t>Friday</t>
        </is>
      </c>
      <c r="C367" s="45" t="n">
        <v>2131.215</v>
      </c>
      <c r="D367" s="45" t="n">
        <v>857.696</v>
      </c>
      <c r="E367" s="43" t="n">
        <v>209.8952594594595</v>
      </c>
      <c r="F367" s="43" t="n">
        <v>44.07651333333334</v>
      </c>
      <c r="G367" s="43" t="n">
        <v>470.6270000000001</v>
      </c>
      <c r="H367" s="43" t="n">
        <v>259.2596</v>
      </c>
      <c r="I367" s="42" t="n">
        <v>74</v>
      </c>
      <c r="J367" s="4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2026-05-04T20:23:13Z</dcterms:created>
  <dcterms:modified xmlns:dcterms="http://purl.org/dc/terms/" xmlns:xsi="http://www.w3.org/2001/XMLSchema-instance" xsi:type="dcterms:W3CDTF">2026-05-04T20:23:14Z</dcterms:modified>
</cp:coreProperties>
</file>